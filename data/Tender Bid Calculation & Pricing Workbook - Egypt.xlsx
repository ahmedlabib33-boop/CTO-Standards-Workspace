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tions" sheetId="1" state="visible" r:id="rId3"/>
    <sheet name="Fixed Material Prices" sheetId="2" state="visible" r:id="rId4"/>
    <sheet name="Concrete Mix Calculator" sheetId="3" state="visible" r:id="rId5"/>
    <sheet name="Labor &amp; Equipment Rates" sheetId="4" state="visible" r:id="rId6"/>
    <sheet name="Thresholds &amp; Assumptions" sheetId="5" state="visible" r:id="rId7"/>
    <sheet name="BOQ - Buildings" sheetId="6" state="visible" r:id="rId8"/>
    <sheet name="BOQ - Roads" sheetId="7" state="visible" r:id="rId9"/>
    <sheet name="BOQ - Bridges" sheetId="8" state="visible" r:id="rId10"/>
    <sheet name="BOQ - Tunnels" sheetId="9" state="visible" r:id="rId11"/>
    <sheet name="Bid Summary Dashboard" sheetId="10" state="visible" r:id="rId12"/>
  </sheets>
  <definedNames>
    <definedName function="false" hidden="false" name="MaterialCodes" vbProcedure="false">'Fixed Material Prices'!$A$5:$A$37</definedName>
    <definedName function="false" hidden="false" name="MaterialPrices" vbProcedure="false">'Fixed Material Prices'!$E$5:$E$37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<sst xmlns="http://schemas.openxmlformats.org/spreadsheetml/2006/main" count="929" uniqueCount="556">
  <si>
    <t xml:space="preserve">DYNAMIC TENDER BID CALCULATION &amp; PRICING WORKBOOK</t>
  </si>
  <si>
    <t xml:space="preserve">Contracting Company  |  Bridges  •  Tunnels  •  Buildings  •  Roads   —   Prepared 15 September 2026</t>
  </si>
  <si>
    <t xml:space="preserve">PURPOSE</t>
  </si>
  <si>
    <t xml:space="preserve">This workbook is a dynamic tender pricing model for a general contracting company active in Buildings, Roads, Bridges and Tunnels in Egypt. It links a fixed reference material-price list (averaged from Egyptian market data over the last 3 months) into project-specific Bills of Quantities, and rolls direct costs up through overheads, risk contingency, escalation, profit, bonds/insurance and VAT into a final bid price, using contractor-configurable thresholds.</t>
  </si>
  <si>
    <t xml:space="preserve">HOW TO USE</t>
  </si>
  <si>
    <t xml:space="preserve">1. Review / update 'Fixed Material Prices' with your own supplier quotations if more current data is available.</t>
  </si>
  <si>
    <t xml:space="preserve">2. Review 'Concrete Mix Calculator' — concrete cost per grade recalculates automatically from cement/sand/gravel prices.</t>
  </si>
  <si>
    <t xml:space="preserve">3. Check 'Labor &amp; Equipment Rates' and adjust to your actual crew wages / owned or rented plant rates.</t>
  </si>
  <si>
    <t xml:space="preserve">4. Set your commercial thresholds in 'Thresholds &amp; Assumptions' (overheads, contingency, margin, escalation, bonds, VAT...).</t>
  </si>
  <si>
    <t xml:space="preserve">5. Go to the relevant BOQ tab(s) (Buildings / Roads / Bridges / Tunnels) and enter quantities; pick a Material Code from</t>
  </si>
  <si>
    <t xml:space="preserve">    the dropdown where relevant — the unit price fills in automatically. Enter labor/equipment/subcontract rates per unit.</t>
  </si>
  <si>
    <t xml:space="preserve">6. Open 'Bid Summary Dashboard' — mark which scope(s) are included in this bid, set risk level and profit margin per</t>
  </si>
  <si>
    <t xml:space="preserve">    scope, and the full build-up to the Grand Total Bid Price calculates automatically, with margin threshold warnings.</t>
  </si>
  <si>
    <t xml:space="preserve">COLOR LEGEND</t>
  </si>
  <si>
    <t xml:space="preserve">Blue text</t>
  </si>
  <si>
    <t xml:space="preserve">Editable input — type your own value here</t>
  </si>
  <si>
    <t xml:space="preserve">Black text</t>
  </si>
  <si>
    <t xml:space="preserve">Formula — do not overwrite, it calculates automatically</t>
  </si>
  <si>
    <t xml:space="preserve">Green text</t>
  </si>
  <si>
    <t xml:space="preserve">Live link pulling a value from another sheet</t>
  </si>
  <si>
    <t xml:space="preserve">Yellow fill</t>
  </si>
  <si>
    <t xml:space="preserve">Key commercial assumption / threshold — review before every bid</t>
  </si>
  <si>
    <t xml:space="preserve">Light-blue fill</t>
  </si>
  <si>
    <t xml:space="preserve">Recommended cell to fill in for this template</t>
  </si>
  <si>
    <t xml:space="preserve">IMPORTANT DISCLAIMER ON MATERIAL PRICES</t>
  </si>
  <si>
    <t xml:space="preserve">Fixed material prices in this workbook are representative averages compiled from Egyptian market/factory price surveys and official producer price lists published between June and September 2026 (see Source column on the 'Fixed Material Prices' sheet for each item). Egyptian construction material prices (especially steel and cement) can move weekly. These figures are a sound planning baseline but MUST be re-verified against current supplier/factory quotations before a bid is finally submitted. Items marked 'Estimate – Verify' in the Confidence column were not confirmed against a primary factory price list and require a direct supplier quotation.</t>
  </si>
  <si>
    <t xml:space="preserve">WORKBOOK MAP</t>
  </si>
  <si>
    <t xml:space="preserve">Instructions</t>
  </si>
  <si>
    <t xml:space="preserve">This sheet</t>
  </si>
  <si>
    <t xml:space="preserve">Fixed Material Prices</t>
  </si>
  <si>
    <t xml:space="preserve">Reference price list — 3-month average Egyptian market prices (EGP)</t>
  </si>
  <si>
    <t xml:space="preserve">Concrete Mix Calculator</t>
  </si>
  <si>
    <t xml:space="preserve">Computes cost/m3 for concrete grades C15–C50 from cement/sand/gravel prices</t>
  </si>
  <si>
    <t xml:space="preserve">Labor &amp; Equipment Rates</t>
  </si>
  <si>
    <t xml:space="preserve">Reference daily wage &amp; plant rental rates</t>
  </si>
  <si>
    <t xml:space="preserve">Thresholds &amp; Assumptions</t>
  </si>
  <si>
    <t xml:space="preserve">All commercial thresholds: overheads, contingency, margin, escalation, bonds, insurance, tax, wastage, financing</t>
  </si>
  <si>
    <t xml:space="preserve">BOQ - Buildings</t>
  </si>
  <si>
    <t xml:space="preserve">Bill of quantities &amp; pricing build-up for building works</t>
  </si>
  <si>
    <t xml:space="preserve">BOQ - Roads</t>
  </si>
  <si>
    <t xml:space="preserve">Bill of quantities &amp; pricing build-up for road works</t>
  </si>
  <si>
    <t xml:space="preserve">BOQ - Bridges</t>
  </si>
  <si>
    <t xml:space="preserve">Bill of quantities &amp; pricing build-up for bridge works</t>
  </si>
  <si>
    <t xml:space="preserve">BOQ - Tunnels</t>
  </si>
  <si>
    <t xml:space="preserve">Bill of quantities &amp; pricing build-up for tunnel works</t>
  </si>
  <si>
    <t xml:space="preserve">Bid Summary Dashboard</t>
  </si>
  <si>
    <t xml:space="preserve">Consolidated bid build-up, per-scope and combined, with threshold checks</t>
  </si>
  <si>
    <t xml:space="preserve">SOURCES (material &amp; fuel prices, Jun–Sep 2026)</t>
  </si>
  <si>
    <t xml:space="preserve">• Egyptian Cement Co. official ex-works/consumer price list — egyptian-cement.com/products/products-prices</t>
  </si>
  <si>
    <t xml:space="preserve">• Cairo Mubasher, daily steel &amp; cement market price roundups (Sep 2026) — cairomubasher.com</t>
  </si>
  <si>
    <t xml:space="preserve">• Masr24, daily steel rebar price roundups by mill (Sep 2026) — masr24.news</t>
  </si>
  <si>
    <t xml:space="preserve">• MatBuild, Egypt building materials price bulletins (brick, sand, gravel, cement, steel — Sep 2026) — matbuild.net</t>
  </si>
  <si>
    <t xml:space="preserve">• The Price 1 / Al-Malnews, sand, gravel &amp; brick market prices (2026) — theprice1.com, almalnews.com</t>
  </si>
  <si>
    <t xml:space="preserve">• Aqaar24, daily construction labor wage survey (2026) — aqaar24.com</t>
  </si>
  <si>
    <t xml:space="preserve">• Ministry of Petroleum official fuel price notices (2026) — shofnews.com, elzmannews.com</t>
  </si>
  <si>
    <t xml:space="preserve">• Central Bank of Egypt Monetary Policy Report Q1 2026 &amp; EnterpriseAM inflation coverage (Aug 2026) — cbe.org.eg, enterpriseam.com</t>
  </si>
  <si>
    <t xml:space="preserve">FIXED MATERIAL PRICES — EGYPT (3-MONTH AVERAGE, JUN–SEP 2026)</t>
  </si>
  <si>
    <t xml:space="preserve">Edit the Avg Price column (blue) if you have more current supplier quotations — all BOQ tabs update automatically</t>
  </si>
  <si>
    <t xml:space="preserve">Code</t>
  </si>
  <si>
    <t xml:space="preserve">Category</t>
  </si>
  <si>
    <t xml:space="preserve">Material Description</t>
  </si>
  <si>
    <t xml:space="preserve">Unit</t>
  </si>
  <si>
    <t xml:space="preserve">Avg Price (EGP)
3-mo avg</t>
  </si>
  <si>
    <t xml:space="preserve">Low</t>
  </si>
  <si>
    <t xml:space="preserve">High</t>
  </si>
  <si>
    <t xml:space="preserve">Confidence</t>
  </si>
  <si>
    <t xml:space="preserve">Source / Notes</t>
  </si>
  <si>
    <t xml:space="preserve">CEM-01</t>
  </si>
  <si>
    <t xml:space="preserve">Cement</t>
  </si>
  <si>
    <t xml:space="preserve">Ordinary Portland Cement (OPC) – bulk/ex-factory</t>
  </si>
  <si>
    <t xml:space="preserve">ton</t>
  </si>
  <si>
    <t xml:space="preserve">Researched</t>
  </si>
  <si>
    <t xml:space="preserve">Egyptian Cement Co. official price list + multi-brand market surveys, Jun-Sep 2026</t>
  </si>
  <si>
    <t xml:space="preserve">CEM-02</t>
  </si>
  <si>
    <t xml:space="preserve">Sulphate Resistant Cement (SRC)</t>
  </si>
  <si>
    <t xml:space="preserve">Egyptian Cement Co. official ex-works/consumer price list, Sep 2026</t>
  </si>
  <si>
    <t xml:space="preserve">CEM-03</t>
  </si>
  <si>
    <t xml:space="preserve">White Cement</t>
  </si>
  <si>
    <t xml:space="preserve">Market price survey, Sep 2026</t>
  </si>
  <si>
    <t xml:space="preserve">STL-01</t>
  </si>
  <si>
    <t xml:space="preserve">Steel</t>
  </si>
  <si>
    <t xml:space="preserve">Reinforcement Rebar – standard/local mills</t>
  </si>
  <si>
    <t xml:space="preserve">Daily market price surveys across multiple mills, Jun-Sep 2026</t>
  </si>
  <si>
    <t xml:space="preserve">STL-02</t>
  </si>
  <si>
    <t xml:space="preserve">Reinforcement Rebar – premium brand (Ezz/Beshay)</t>
  </si>
  <si>
    <t xml:space="preserve">Daily market price surveys, Jun-Sep 2026</t>
  </si>
  <si>
    <t xml:space="preserve">STL-03</t>
  </si>
  <si>
    <t xml:space="preserve">Structural/Misc. Steel Sections (bearings, brackets, ribs)</t>
  </si>
  <si>
    <t xml:space="preserve">Estimate – Verify</t>
  </si>
  <si>
    <t xml:space="preserve">Priced above rebar due to fabrication; confirm with steel fabricator</t>
  </si>
  <si>
    <t xml:space="preserve">AGG-01</t>
  </si>
  <si>
    <t xml:space="preserve">Aggregates</t>
  </si>
  <si>
    <t xml:space="preserve">Backfill / Fill Sand</t>
  </si>
  <si>
    <t xml:space="preserve">m3</t>
  </si>
  <si>
    <t xml:space="preserve">AGG-02</t>
  </si>
  <si>
    <t xml:space="preserve">Washed Concrete Sand (coarse)</t>
  </si>
  <si>
    <t xml:space="preserve">AGG-03</t>
  </si>
  <si>
    <t xml:space="preserve">Gravel / Crushed Stone (dolomite) 3/4"</t>
  </si>
  <si>
    <t xml:space="preserve">AGG-04</t>
  </si>
  <si>
    <t xml:space="preserve">Crushed Stone – Road Sub-base/Base Course</t>
  </si>
  <si>
    <t xml:space="preserve">Derived from AGG-03 survey range; confirm with quarry/supplier</t>
  </si>
  <si>
    <t xml:space="preserve">BRK-01</t>
  </si>
  <si>
    <t xml:space="preserve">Masonry</t>
  </si>
  <si>
    <t xml:space="preserve">Red Perforated Clay Brick 25x12x12 cm</t>
  </si>
  <si>
    <t xml:space="preserve">1000 units</t>
  </si>
  <si>
    <t xml:space="preserve">BRK-02</t>
  </si>
  <si>
    <t xml:space="preserve">Red Perforated Clay Brick 20x10x12 cm</t>
  </si>
  <si>
    <t xml:space="preserve">BLK-01</t>
  </si>
  <si>
    <t xml:space="preserve">Solid Cement Block 20x10x6 cm</t>
  </si>
  <si>
    <t xml:space="preserve">Derived from pallet pricing (~500 units/pallet), Mar 2026; confirm current</t>
  </si>
  <si>
    <t xml:space="preserve">BLK-02</t>
  </si>
  <si>
    <t xml:space="preserve">Hollow Cement Block 40x20x20 cm</t>
  </si>
  <si>
    <t xml:space="preserve">Derived from pallet pricing (~200 units/pallet), Mar 2026; confirm current</t>
  </si>
  <si>
    <t xml:space="preserve">FUEL-01</t>
  </si>
  <si>
    <t xml:space="preserve">Fuel</t>
  </si>
  <si>
    <t xml:space="preserve">Diesel (Solar) – official pump price</t>
  </si>
  <si>
    <t xml:space="preserve">liter</t>
  </si>
  <si>
    <t xml:space="preserve">Ministry of Petroleum official price, frozen through Oct 2026</t>
  </si>
  <si>
    <t xml:space="preserve">FUEL-02</t>
  </si>
  <si>
    <t xml:space="preserve">Gasoline 92</t>
  </si>
  <si>
    <t xml:space="preserve">Ministry of Petroleum, Sep 2026</t>
  </si>
  <si>
    <t xml:space="preserve">FUEL-03</t>
  </si>
  <si>
    <t xml:space="preserve">Gasoline 95</t>
  </si>
  <si>
    <t xml:space="preserve">FIN-01</t>
  </si>
  <si>
    <t xml:space="preserve">Finishes</t>
  </si>
  <si>
    <t xml:space="preserve">Ceramic Floor/Wall Tiles (1st grade)</t>
  </si>
  <si>
    <t xml:space="preserve">m2</t>
  </si>
  <si>
    <t xml:space="preserve">FIN-02</t>
  </si>
  <si>
    <t xml:space="preserve">Plastic Paint (14-15 kg can)</t>
  </si>
  <si>
    <t xml:space="preserve">can</t>
  </si>
  <si>
    <t xml:space="preserve">FIN-03</t>
  </si>
  <si>
    <t xml:space="preserve">Putty / Filler (15 kg bag)</t>
  </si>
  <si>
    <t xml:space="preserve">bag</t>
  </si>
  <si>
    <t xml:space="preserve">RD-01</t>
  </si>
  <si>
    <t xml:space="preserve">Bitumen/Asphalt</t>
  </si>
  <si>
    <t xml:space="preserve">Bitumen 60/70 (asphalt binder)</t>
  </si>
  <si>
    <t xml:space="preserve">Petroleum Authority price adjusted periodically; obtain current supplier quote</t>
  </si>
  <si>
    <t xml:space="preserve">RD-02</t>
  </si>
  <si>
    <t xml:space="preserve">Hot Mix Asphalt, laid (binder+wearing course)</t>
  </si>
  <si>
    <t xml:space="preserve">Includes bitumen+aggregate+plant+laying; confirm with asphalt plant/subcontractor</t>
  </si>
  <si>
    <t xml:space="preserve">TBR-01</t>
  </si>
  <si>
    <t xml:space="preserve">Formwork</t>
  </si>
  <si>
    <t xml:space="preserve">Plywood/Formica Formwork Board, 18mm (contact area)</t>
  </si>
  <si>
    <t xml:space="preserve">Confirm with timber supplier; amortize over ~4-6 reuse cycles (see Thresholds sheet)</t>
  </si>
  <si>
    <t xml:space="preserve">ADM-01</t>
  </si>
  <si>
    <t xml:space="preserve">Admixture</t>
  </si>
  <si>
    <t xml:space="preserve">Concrete Admixture (plasticizer/superplasticizer)</t>
  </si>
  <si>
    <t xml:space="preserve">per m3 concrete</t>
  </si>
  <si>
    <t xml:space="preserve">Typical allowance; confirm with chemical admixture supplier</t>
  </si>
  <si>
    <t xml:space="preserve">WTP-01</t>
  </si>
  <si>
    <t xml:space="preserve">Waterproofing</t>
  </si>
  <si>
    <t xml:space="preserve">Waterproofing Membrane (torch-applied/sheet)</t>
  </si>
  <si>
    <t xml:space="preserve">Market range depends on system; confirm with specialist supplier</t>
  </si>
  <si>
    <t xml:space="preserve">CONC-C15</t>
  </si>
  <si>
    <t xml:space="preserve">Concrete (computed)</t>
  </si>
  <si>
    <t xml:space="preserve">Blinding / Lean Concrete C15</t>
  </si>
  <si>
    <t xml:space="preserve">Computed</t>
  </si>
  <si>
    <t xml:space="preserve">Concrete Mix Calculator sheet — dynamic, driven by Cement/Sand/Gravel prices above</t>
  </si>
  <si>
    <t xml:space="preserve">CONC-C20</t>
  </si>
  <si>
    <t xml:space="preserve">Structural Concrete C20</t>
  </si>
  <si>
    <t xml:space="preserve">CONC-C25</t>
  </si>
  <si>
    <t xml:space="preserve">Structural Concrete C25</t>
  </si>
  <si>
    <t xml:space="preserve">CONC-C30</t>
  </si>
  <si>
    <t xml:space="preserve">Structural Concrete C30</t>
  </si>
  <si>
    <t xml:space="preserve">CONC-C35</t>
  </si>
  <si>
    <t xml:space="preserve">Structural Concrete C35</t>
  </si>
  <si>
    <t xml:space="preserve">CONC-C40</t>
  </si>
  <si>
    <t xml:space="preserve">Structural Concrete C40 (bridges/heavy)</t>
  </si>
  <si>
    <t xml:space="preserve">CONC-C45</t>
  </si>
  <si>
    <t xml:space="preserve">Structural Concrete C45 (bridges, high strength)</t>
  </si>
  <si>
    <t xml:space="preserve">CONC-C50</t>
  </si>
  <si>
    <t xml:space="preserve">Structural Concrete C50 (pre-stressed elements)</t>
  </si>
  <si>
    <t xml:space="preserve">CONCRETE MIX DESIGN COST CALCULATOR</t>
  </si>
  <si>
    <t xml:space="preserve">Indicative mix ratios per typical Egyptian RC practice — confirm with approved trial mix / lab report per project</t>
  </si>
  <si>
    <t xml:space="preserve">Grade</t>
  </si>
  <si>
    <t xml:space="preserve">Description</t>
  </si>
  <si>
    <t xml:space="preserve">Cement
(kg/m3)</t>
  </si>
  <si>
    <t xml:space="preserve">Sand
(m3/m3)</t>
  </si>
  <si>
    <t xml:space="preserve">Gravel
(m3/m3)</t>
  </si>
  <si>
    <t xml:space="preserve">Cement Cost
(EGP/m3)</t>
  </si>
  <si>
    <t xml:space="preserve">Sand Cost
(EGP/m3)</t>
  </si>
  <si>
    <t xml:space="preserve">Gravel Cost
(EGP/m3)</t>
  </si>
  <si>
    <t xml:space="preserve">Admixture
Allowance (EGP/m3)</t>
  </si>
  <si>
    <t xml:space="preserve">Batching/Mixing/
Pumping (EGP/m3)</t>
  </si>
  <si>
    <t xml:space="preserve">TOTAL COST
per m3 (EGP)</t>
  </si>
  <si>
    <t xml:space="preserve">C15</t>
  </si>
  <si>
    <t xml:space="preserve">Blinding / Lean Concrete</t>
  </si>
  <si>
    <t xml:space="preserve">C20</t>
  </si>
  <si>
    <t xml:space="preserve">C25</t>
  </si>
  <si>
    <t xml:space="preserve">C30</t>
  </si>
  <si>
    <t xml:space="preserve">C35</t>
  </si>
  <si>
    <t xml:space="preserve">C40</t>
  </si>
  <si>
    <t xml:space="preserve">Structural Concrete C40</t>
  </si>
  <si>
    <t xml:space="preserve">C45</t>
  </si>
  <si>
    <t xml:space="preserve">Structural Concrete C45 (bridges)</t>
  </si>
  <si>
    <t xml:space="preserve">C50</t>
  </si>
  <si>
    <t xml:space="preserve">Structural Concrete C50 (pre-stressed)</t>
  </si>
  <si>
    <t xml:space="preserve">Mix ratios are indicative planning figures (typical Egyptian practice for normal-weight structural concrete) — the actual mix design must be confirmed by an approved trial mix / laboratory report for the specific project, cement type and target slump. Batching/Mixing/Pumping (col J) and Admixture allowance (col I, linked to ADM-01) are editable per project/plant arrangement.</t>
  </si>
  <si>
    <t xml:space="preserve">LABOR &amp; EQUIPMENT RATES — REFERENCE</t>
  </si>
  <si>
    <t xml:space="preserve">Adjust to your own crew wages / owned or rented plant rates — used as reference when pricing BOQ items</t>
  </si>
  <si>
    <t xml:space="preserve">LABOR (DAILY WAGE RATES, EGP)</t>
  </si>
  <si>
    <t xml:space="preserve">Trade</t>
  </si>
  <si>
    <t xml:space="preserve">Low (EGP)</t>
  </si>
  <si>
    <t xml:space="preserve">High (EGP)</t>
  </si>
  <si>
    <t xml:space="preserve">Avg / Used (EGP)</t>
  </si>
  <si>
    <t xml:space="preserve">LAB-01</t>
  </si>
  <si>
    <t xml:space="preserve">Skilled Steel Fixer (Haddad)</t>
  </si>
  <si>
    <t xml:space="preserve">day</t>
  </si>
  <si>
    <t xml:space="preserve">Aqaar24 daily labor wage survey, 2026</t>
  </si>
  <si>
    <t xml:space="preserve">LAB-02</t>
  </si>
  <si>
    <t xml:space="preserve">Steel Fixer Assistant</t>
  </si>
  <si>
    <t xml:space="preserve">LAB-03</t>
  </si>
  <si>
    <t xml:space="preserve">Skilled Carpenter (Naggar)</t>
  </si>
  <si>
    <t xml:space="preserve">LAB-04</t>
  </si>
  <si>
    <t xml:space="preserve">Carpenter Assistant</t>
  </si>
  <si>
    <t xml:space="preserve">LAB-05</t>
  </si>
  <si>
    <t xml:space="preserve">Skilled Painter</t>
  </si>
  <si>
    <t xml:space="preserve">LAB-06</t>
  </si>
  <si>
    <t xml:space="preserve">Painter Assistant</t>
  </si>
  <si>
    <t xml:space="preserve">LAB-07</t>
  </si>
  <si>
    <t xml:space="preserve">Mason / Bricklayer (skilled)</t>
  </si>
  <si>
    <t xml:space="preserve">Estimate – verify locally, comparable trade rate</t>
  </si>
  <si>
    <t xml:space="preserve">LAB-08</t>
  </si>
  <si>
    <t xml:space="preserve">General Laborer</t>
  </si>
  <si>
    <t xml:space="preserve">Estimate – verify locally</t>
  </si>
  <si>
    <t xml:space="preserve">LAB-09</t>
  </si>
  <si>
    <t xml:space="preserve">Foreman / Site Supervisor</t>
  </si>
  <si>
    <t xml:space="preserve">LAB-10</t>
  </si>
  <si>
    <t xml:space="preserve">Site Engineer (junior/resident)</t>
  </si>
  <si>
    <t xml:space="preserve">month</t>
  </si>
  <si>
    <t xml:space="preserve">EQUIPMENT &amp; PLANT (RENTAL RATES — HIGHLY VARIABLE, INSERT ACTUAL QUOTES)</t>
  </si>
  <si>
    <t xml:space="preserve">Equipment</t>
  </si>
  <si>
    <t xml:space="preserve">EQP-01</t>
  </si>
  <si>
    <t xml:space="preserve">Excavator (medium, ~21-30T)</t>
  </si>
  <si>
    <t xml:space="preserve">Indicative market range – obtain rental/owning-cost quote</t>
  </si>
  <si>
    <t xml:space="preserve">EQP-02</t>
  </si>
  <si>
    <t xml:space="preserve">Concrete Pump (mobile boom)</t>
  </si>
  <si>
    <t xml:space="preserve">Indicative market range – obtain rental quote</t>
  </si>
  <si>
    <t xml:space="preserve">EQP-03</t>
  </si>
  <si>
    <t xml:space="preserve">Tower Crane</t>
  </si>
  <si>
    <t xml:space="preserve">EQP-04</t>
  </si>
  <si>
    <t xml:space="preserve">Dump Truck (10 m3, incl. fuel &amp; driver)</t>
  </si>
  <si>
    <t xml:space="preserve">EQP-05</t>
  </si>
  <si>
    <t xml:space="preserve">Bulldozer</t>
  </si>
  <si>
    <t xml:space="preserve">EQP-06</t>
  </si>
  <si>
    <t xml:space="preserve">Vibratory Roller / Compactor (roads)</t>
  </si>
  <si>
    <t xml:space="preserve">EQP-07</t>
  </si>
  <si>
    <t xml:space="preserve">Piling Rig (bored piles, bridges)</t>
  </si>
  <si>
    <t xml:space="preserve">day/shift</t>
  </si>
  <si>
    <t xml:space="preserve">Specialized plant — obtain project-specific quote</t>
  </si>
  <si>
    <t xml:space="preserve">EQP-08</t>
  </si>
  <si>
    <t xml:space="preserve">TBM / Roadheader (tunnels)</t>
  </si>
  <si>
    <t xml:space="preserve">Highly project-specific — obtain dedicated supplier/subcontractor quote</t>
  </si>
  <si>
    <t xml:space="preserve">EQP-09</t>
  </si>
  <si>
    <t xml:space="preserve">Standby Generator</t>
  </si>
  <si>
    <t xml:space="preserve">THRESHOLDS &amp; COMMERCIAL ASSUMPTIONS</t>
  </si>
  <si>
    <t xml:space="preserve">Review and adjust every yellow cell before finalizing any bid — all figures below feed the Bid Summary Dashboard</t>
  </si>
  <si>
    <t xml:space="preserve">1. RISK-BASED CONTINGENCY MATRIX</t>
  </si>
  <si>
    <t xml:space="preserve">Risk Level</t>
  </si>
  <si>
    <t xml:space="preserve">Contingency %
Applied</t>
  </si>
  <si>
    <t xml:space="preserve">Typical Use / Basis</t>
  </si>
  <si>
    <t xml:space="preserve">Repetitive, well-defined scope, firm BOQ, familiar site — e.g. standard buildings, minor resurfacing</t>
  </si>
  <si>
    <t xml:space="preserve">Medium</t>
  </si>
  <si>
    <t xml:space="preserve">Some design/ground uncertainty, moderate site risk — e.g. new roads, standard bridges</t>
  </si>
  <si>
    <t xml:space="preserve">Significant uncertainty, difficult ground/logistics — e.g. complex bridges, large/urban infrastructure</t>
  </si>
  <si>
    <t xml:space="preserve">Very High</t>
  </si>
  <si>
    <t xml:space="preserve">Major unknowns, specialized/first-of-kind works — e.g. tunnels, deep foundations, marine works</t>
  </si>
  <si>
    <t xml:space="preserve">2. OVERHEAD RATES (% of Direct Cost)</t>
  </si>
  <si>
    <t xml:space="preserve">Overhead Type</t>
  </si>
  <si>
    <t xml:space="preserve">Rate Applied</t>
  </si>
  <si>
    <t xml:space="preserve">Site (Field) Overhead %</t>
  </si>
  <si>
    <t xml:space="preserve">Site staff, temporary facilities, utilities, site supervision, security</t>
  </si>
  <si>
    <t xml:space="preserve">Head Office Overhead %</t>
  </si>
  <si>
    <t xml:space="preserve">HQ admin &amp; staff apportionment, corporate insurance, central costs</t>
  </si>
  <si>
    <t xml:space="preserve">3. PROFIT MARGIN THRESHOLDS (% of Cost, by Project Type)</t>
  </si>
  <si>
    <t xml:space="preserve">Project Type</t>
  </si>
  <si>
    <t xml:space="preserve">Min. Acceptable Margin</t>
  </si>
  <si>
    <t xml:space="preserve">Target Margin</t>
  </si>
  <si>
    <t xml:space="preserve">Max. Competitive Margin</t>
  </si>
  <si>
    <t xml:space="preserve">Buildings</t>
  </si>
  <si>
    <t xml:space="preserve">Roads</t>
  </si>
  <si>
    <t xml:space="preserve">Bridges</t>
  </si>
  <si>
    <t xml:space="preserve">Tunnels</t>
  </si>
  <si>
    <t xml:space="preserve">4. PRICE ESCALATION / INFLATION ASSUMPTIONS</t>
  </si>
  <si>
    <t xml:space="preserve">Item</t>
  </si>
  <si>
    <t xml:space="preserve">Value</t>
  </si>
  <si>
    <t xml:space="preserve">Assumed Annual Escalation Rate (materials &amp; labor)</t>
  </si>
  <si>
    <t xml:space="preserve">Based on CAPMAS urban inflation ~14.5% (Aug 2026) plus a construction-specific premium</t>
  </si>
  <si>
    <t xml:space="preserve">Project Duration (months)</t>
  </si>
  <si>
    <t xml:space="preserve">Set per specific tender</t>
  </si>
  <si>
    <t xml:space="preserve">Escalation Allowance % (applied to direct cost)</t>
  </si>
  <si>
    <t xml:space="preserve">Assumes even cost incidence over duration (avg. 50% exposure). Replace with the contract's own index-linked price-adjustment formula (e.g. FIDIC/local Pn=Po(a+b·Mn/Mo+c·Ln/Lo)) if one is stipulated.</t>
  </si>
  <si>
    <t xml:space="preserve">5. BONDS, GUARANTEES &amp; RETENTION</t>
  </si>
  <si>
    <t xml:space="preserve">Rate</t>
  </si>
  <si>
    <t xml:space="preserve">Bid Bond</t>
  </si>
  <si>
    <t xml:space="preserve">% of estimated contract value, returned after contract award</t>
  </si>
  <si>
    <t xml:space="preserve">Performance Bond</t>
  </si>
  <si>
    <t xml:space="preserve">% of contract value, held for contract duration</t>
  </si>
  <si>
    <t xml:space="preserve">Advance Payment (received)</t>
  </si>
  <si>
    <t xml:space="preserve">% of contract value, secured by an Advance Payment Guarantee</t>
  </si>
  <si>
    <t xml:space="preserve">Advance Payment Guarantee (APG)</t>
  </si>
  <si>
    <t xml:space="preserve">Matches advance payment %; reduces as the advance is recovered from IPCs</t>
  </si>
  <si>
    <t xml:space="preserve">Retention Money</t>
  </si>
  <si>
    <t xml:space="preserve">Withheld from each payment certificate; released 50% at Taking-Over, 50% after DLP</t>
  </si>
  <si>
    <t xml:space="preserve">Bank Guarantee Commission (p.a.)</t>
  </si>
  <si>
    <t xml:space="preserve">Annual commission charged by the bank on outstanding guarantees — a real contractor cost</t>
  </si>
  <si>
    <t xml:space="preserve">6. INSURANCE</t>
  </si>
  <si>
    <t xml:space="preserve">Type</t>
  </si>
  <si>
    <t xml:space="preserve">Contractor's All Risk (CAR)</t>
  </si>
  <si>
    <t xml:space="preserve">% of contract value</t>
  </si>
  <si>
    <t xml:space="preserve">Third Party Liability (TPL)</t>
  </si>
  <si>
    <t xml:space="preserve">Workmen's Compensation / Social Insurance</t>
  </si>
  <si>
    <t xml:space="preserve">% of total labor cost</t>
  </si>
  <si>
    <t xml:space="preserve">7. TAXES &amp; STATUTORY DEDUCTIONS</t>
  </si>
  <si>
    <t xml:space="preserve">VAT (Value Added Tax)</t>
  </si>
  <si>
    <t xml:space="preserve">Standard Egyptian VAT rate, added on top of contract price</t>
  </si>
  <si>
    <t xml:space="preserve">Withholding Tax (advance against income tax)</t>
  </si>
  <si>
    <t xml:space="preserve">Deducted by employer from each payment; a cash-flow timing effect, not a bid-price addition</t>
  </si>
  <si>
    <t xml:space="preserve">Stamp Duty / Development Fees</t>
  </si>
  <si>
    <t xml:space="preserve">Contract stamp duty; varies by contract type/awarding entity</t>
  </si>
  <si>
    <t xml:space="preserve">8. MATERIAL WASTAGE / LOSS FACTORS (default in BOQ tabs, overridable per line item)</t>
  </si>
  <si>
    <t xml:space="preserve">Material</t>
  </si>
  <si>
    <t xml:space="preserve">Wastage %</t>
  </si>
  <si>
    <t xml:space="preserve">Reinforcement Steel</t>
  </si>
  <si>
    <t xml:space="preserve">Concrete</t>
  </si>
  <si>
    <t xml:space="preserve">Bricks / Blocks</t>
  </si>
  <si>
    <t xml:space="preserve">Sand / Aggregates</t>
  </si>
  <si>
    <t xml:space="preserve">Ceramic Tiles</t>
  </si>
  <si>
    <t xml:space="preserve">Formwork Timber (amortized over ~4-6 reuses)</t>
  </si>
  <si>
    <t xml:space="preserve">Paint</t>
  </si>
  <si>
    <t xml:space="preserve">9. FINANCING / CASH FLOW</t>
  </si>
  <si>
    <t xml:space="preserve">Cost of Working Capital (p.a.)</t>
  </si>
  <si>
    <t xml:space="preserve">Reflects CBE policy-rate environment (~22%, 2026); replace with your company's actual borrowing cost</t>
  </si>
  <si>
    <t xml:space="preserve">Assumed Payment Cycle (days)</t>
  </si>
  <si>
    <t xml:space="preserve">Time from IPC submission to payment receipt — drives the cost of carrying working capital</t>
  </si>
  <si>
    <t xml:space="preserve">Financing Cost Allowance (embedded in indirect cost)</t>
  </si>
  <si>
    <t xml:space="preserve">Approx. cost of carrying one payment cycle of working capital, applied to direct+indirect cost</t>
  </si>
  <si>
    <t xml:space="preserve">10. OTHER THRESHOLDS &amp; CONTRACTUAL LIMITS (informational — verify against tender documents)</t>
  </si>
  <si>
    <t xml:space="preserve">Typical Threshold</t>
  </si>
  <si>
    <t xml:space="preserve">Liquidated Damages (LD) Cap</t>
  </si>
  <si>
    <t xml:space="preserve">10% of Contract Value</t>
  </si>
  <si>
    <t xml:space="preserve">Standard cap in Egyptian public contracts (Law 182/2018 &amp; amendments) — verify per tender</t>
  </si>
  <si>
    <t xml:space="preserve">Defects Liability Period (DLP)</t>
  </si>
  <si>
    <t xml:space="preserve">12 months (std.)</t>
  </si>
  <si>
    <t xml:space="preserve">Can be longer for specialized structures — bridges/tunnels: 24–60 months common</t>
  </si>
  <si>
    <t xml:space="preserve">Maximum Subcontracting Limit</t>
  </si>
  <si>
    <t xml:space="preserve">30% of Contract Value</t>
  </si>
  <si>
    <t xml:space="preserve">Common public-tender restriction on subcontracted value</t>
  </si>
  <si>
    <t xml:space="preserve">Minimum Local Content</t>
  </si>
  <si>
    <t xml:space="preserve">Per tender (varies)</t>
  </si>
  <si>
    <t xml:space="preserve">Some public tenders mandate a minimum % of local materials/labor</t>
  </si>
  <si>
    <t xml:space="preserve">Currency Fluctuation Buffer</t>
  </si>
  <si>
    <t xml:space="preserve">7.0%</t>
  </si>
  <si>
    <t xml:space="preserve">Recommended buffer for imported components: equipment spares, bearings, waterproofing systems, TBM consumables</t>
  </si>
  <si>
    <t xml:space="preserve">Minimum Unit-Rate Sanity Threshold</t>
  </si>
  <si>
    <t xml:space="preserve">&lt; 70% of reference direct cost</t>
  </si>
  <si>
    <t xml:space="preserve">Anti ‘unbalanced-bid’ / abnormally-low-rate self-check before submission</t>
  </si>
  <si>
    <t xml:space="preserve">BOQ - BUILDINGS — BILL OF QUANTITIES &amp; PRICING BUILD-UP</t>
  </si>
  <si>
    <t xml:space="preserve">Enter quantities and pick Material Codes from the dropdown — unit prices pull live from Fixed Material Prices</t>
  </si>
  <si>
    <t xml:space="preserve">Quantity</t>
  </si>
  <si>
    <t xml:space="preserve">Material
Code</t>
  </si>
  <si>
    <t xml:space="preserve">Material Unit
Price (EGP)</t>
  </si>
  <si>
    <t xml:space="preserve">Wastage
%</t>
  </si>
  <si>
    <t xml:space="preserve">Material Cost
/Unit (EGP)</t>
  </si>
  <si>
    <t xml:space="preserve">Labor Cost
/Unit (EGP)</t>
  </si>
  <si>
    <t xml:space="preserve">Equipment Cost
/Unit (EGP)</t>
  </si>
  <si>
    <t xml:space="preserve">Subcontractor
Rate/Unit (EGP)</t>
  </si>
  <si>
    <t xml:space="preserve">Direct Unit
Rate (EGP)</t>
  </si>
  <si>
    <t xml:space="preserve">Amount (EGP)</t>
  </si>
  <si>
    <t xml:space="preserve">Notes</t>
  </si>
  <si>
    <t xml:space="preserve">A. PRELIMINARIES &amp; GENERAL</t>
  </si>
  <si>
    <t xml:space="preserve">Mobilization &amp; Demobilization</t>
  </si>
  <si>
    <t xml:space="preserve">LS</t>
  </si>
  <si>
    <t xml:space="preserve">Site Establishment (offices, stores, temp. fencing)</t>
  </si>
  <si>
    <t xml:space="preserve">Survey &amp; Setting Out</t>
  </si>
  <si>
    <t xml:space="preserve">Site Safety &amp; HSE Provisions</t>
  </si>
  <si>
    <t xml:space="preserve">Subtotal — A. PRELIMINARIES &amp; GENERAL</t>
  </si>
  <si>
    <t xml:space="preserve">B. EARTHWORKS &amp; SUBSTRUCTURE</t>
  </si>
  <si>
    <t xml:space="preserve">Excavation for Foundations</t>
  </si>
  <si>
    <t xml:space="preserve">Backfilling &amp; Compaction</t>
  </si>
  <si>
    <t xml:space="preserve">Blinding Concrete (C15)</t>
  </si>
  <si>
    <t xml:space="preserve">Foundation Concrete – Footings/Raft (C30)</t>
  </si>
  <si>
    <t xml:space="preserve">Reinforcement Steel – Foundations</t>
  </si>
  <si>
    <t xml:space="preserve">Formwork – Foundations</t>
  </si>
  <si>
    <t xml:space="preserve">Waterproofing Membrane – Foundations</t>
  </si>
  <si>
    <t xml:space="preserve">Subtotal — B. EARTHWORKS &amp; SUBSTRUCTURE</t>
  </si>
  <si>
    <t xml:space="preserve">C. SUPERSTRUCTURE – CONCRETE FRAME</t>
  </si>
  <si>
    <t xml:space="preserve">Columns Concrete (C30)</t>
  </si>
  <si>
    <t xml:space="preserve">Columns Reinforcement</t>
  </si>
  <si>
    <t xml:space="preserve">Columns Formwork</t>
  </si>
  <si>
    <t xml:space="preserve">Beams &amp; Slabs Concrete (C30)</t>
  </si>
  <si>
    <t xml:space="preserve">Beams &amp; Slabs Reinforcement</t>
  </si>
  <si>
    <t xml:space="preserve">Beams &amp; Slabs Formwork</t>
  </si>
  <si>
    <t xml:space="preserve">Staircases (Concrete + Reinforcement)</t>
  </si>
  <si>
    <t xml:space="preserve">Subtotal — C. SUPERSTRUCTURE – CONCRETE FRAME</t>
  </si>
  <si>
    <t xml:space="preserve">D. MASONRY &amp; WALLS</t>
  </si>
  <si>
    <t xml:space="preserve">External Walls – Red Brick 25 cm</t>
  </si>
  <si>
    <t xml:space="preserve">Internal Partitions – Brick 12 cm</t>
  </si>
  <si>
    <t xml:space="preserve">Internal Plastering</t>
  </si>
  <si>
    <t xml:space="preserve">External Plastering</t>
  </si>
  <si>
    <t xml:space="preserve">Subtotal — D. MASONRY &amp; WALLS</t>
  </si>
  <si>
    <t xml:space="preserve">E. FINISHES</t>
  </si>
  <si>
    <t xml:space="preserve">Floor Tiling – Ceramic</t>
  </si>
  <si>
    <t xml:space="preserve">Wall Tiling</t>
  </si>
  <si>
    <t xml:space="preserve">Internal Painting</t>
  </si>
  <si>
    <t xml:space="preserve">External Painting</t>
  </si>
  <si>
    <t xml:space="preserve">Doors &amp; Windows (Aluminum/Wood)</t>
  </si>
  <si>
    <t xml:space="preserve">False Ceiling</t>
  </si>
  <si>
    <t xml:space="preserve">Subtotal — E. FINISHES</t>
  </si>
  <si>
    <t xml:space="preserve">F. MEP (MECHANICAL, ELECTRICAL, PLUMBING)</t>
  </si>
  <si>
    <t xml:space="preserve">Electrical Installations</t>
  </si>
  <si>
    <t xml:space="preserve">Price as % of civil cost or detailed sub-BOQ</t>
  </si>
  <si>
    <t xml:space="preserve">Plumbing &amp; Sanitary Installations</t>
  </si>
  <si>
    <t xml:space="preserve">Fire Fighting System</t>
  </si>
  <si>
    <t xml:space="preserve">HVAC System</t>
  </si>
  <si>
    <t xml:space="preserve">Subtotal — F. MEP (MECHANICAL, ELECTRICAL, PLUMBING)</t>
  </si>
  <si>
    <t xml:space="preserve">G. EXTERNAL WORKS</t>
  </si>
  <si>
    <t xml:space="preserve">Site Paving / Interlocking</t>
  </si>
  <si>
    <t xml:space="preserve">Boundary Wall / Fencing</t>
  </si>
  <si>
    <t xml:space="preserve">m</t>
  </si>
  <si>
    <t xml:space="preserve">Landscaping &amp; Softscape</t>
  </si>
  <si>
    <t xml:space="preserve">Subtotal — G. EXTERNAL WORKS</t>
  </si>
  <si>
    <t xml:space="preserve">TOTAL DIRECT COST</t>
  </si>
  <si>
    <t xml:space="preserve">Total Built-up Area (GFA)</t>
  </si>
  <si>
    <t xml:space="preserve">Indicative Direct Cost per m2</t>
  </si>
  <si>
    <t xml:space="preserve">BOQ - ROADS — BILL OF QUANTITIES &amp; PRICING BUILD-UP</t>
  </si>
  <si>
    <t xml:space="preserve">A. PRELIMINARIES</t>
  </si>
  <si>
    <t xml:space="preserve">Mobilization, Traffic Diversion &amp; Signage</t>
  </si>
  <si>
    <t xml:space="preserve">Subtotal — A. PRELIMINARIES</t>
  </si>
  <si>
    <t xml:space="preserve">B. EARTHWORKS</t>
  </si>
  <si>
    <t xml:space="preserve">Site Clearance &amp; Grubbing</t>
  </si>
  <si>
    <t xml:space="preserve">Excavation (Cut)</t>
  </si>
  <si>
    <t xml:space="preserve">Embankment Fill &amp; Compaction</t>
  </si>
  <si>
    <t xml:space="preserve">Subgrade Preparation &amp; Compaction</t>
  </si>
  <si>
    <t xml:space="preserve">Subtotal — B. EARTHWORKS</t>
  </si>
  <si>
    <t xml:space="preserve">C. PAVEMENT LAYERS</t>
  </si>
  <si>
    <t xml:space="preserve">Sub-base Course (Crushed Stone)</t>
  </si>
  <si>
    <t xml:space="preserve">Base Course (Crushed Stone)</t>
  </si>
  <si>
    <t xml:space="preserve">Prime Coat</t>
  </si>
  <si>
    <t xml:space="preserve">Tack Coat</t>
  </si>
  <si>
    <t xml:space="preserve">Asphalt Binder Course</t>
  </si>
  <si>
    <t xml:space="preserve">Asphalt Wearing Course</t>
  </si>
  <si>
    <t xml:space="preserve">Subtotal — C. PAVEMENT LAYERS</t>
  </si>
  <si>
    <t xml:space="preserve">D. DRAINAGE &amp; STRUCTURES</t>
  </si>
  <si>
    <t xml:space="preserve">RC Pipe Culverts</t>
  </si>
  <si>
    <t xml:space="preserve">Roadside Drainage / French Drains</t>
  </si>
  <si>
    <t xml:space="preserve">Manholes / Catch Basins</t>
  </si>
  <si>
    <t xml:space="preserve">No.</t>
  </si>
  <si>
    <t xml:space="preserve">Subtotal — D. DRAINAGE &amp; STRUCTURES</t>
  </si>
  <si>
    <t xml:space="preserve">E. ANCILLARY WORKS</t>
  </si>
  <si>
    <t xml:space="preserve">Kerbstones</t>
  </si>
  <si>
    <t xml:space="preserve">Concrete Sidewalks</t>
  </si>
  <si>
    <t xml:space="preserve">Road Markings (Thermoplastic Paint)</t>
  </si>
  <si>
    <t xml:space="preserve">Traffic Signs</t>
  </si>
  <si>
    <t xml:space="preserve">Guardrails / Safety Barriers</t>
  </si>
  <si>
    <t xml:space="preserve">Street Lighting</t>
  </si>
  <si>
    <t xml:space="preserve">Subtotal — E. ANCILLARY WORKS</t>
  </si>
  <si>
    <t xml:space="preserve">Total Road Length</t>
  </si>
  <si>
    <t xml:space="preserve">km</t>
  </si>
  <si>
    <t xml:space="preserve">Indicative Direct Cost per km</t>
  </si>
  <si>
    <t xml:space="preserve">BOQ - BRIDGES — BILL OF QUANTITIES &amp; PRICING BUILD-UP</t>
  </si>
  <si>
    <t xml:space="preserve">Mobilization of Piling/Marine Equipment</t>
  </si>
  <si>
    <t xml:space="preserve">Temporary Works (Falsework/Staging)</t>
  </si>
  <si>
    <t xml:space="preserve">B. SUBSTRUCTURE</t>
  </si>
  <si>
    <t xml:space="preserve">Piling (Bored/Driven Piles)</t>
  </si>
  <si>
    <t xml:space="preserve">Pile Caps Concrete</t>
  </si>
  <si>
    <t xml:space="preserve">Pile Caps Reinforcement</t>
  </si>
  <si>
    <t xml:space="preserve">Piers / Columns Concrete</t>
  </si>
  <si>
    <t xml:space="preserve">Piers / Columns Reinforcement</t>
  </si>
  <si>
    <t xml:space="preserve">Abutments Concrete</t>
  </si>
  <si>
    <t xml:space="preserve">Abutments Reinforcement</t>
  </si>
  <si>
    <t xml:space="preserve">Subtotal — B. SUBSTRUCTURE</t>
  </si>
  <si>
    <t xml:space="preserve">C. SUPERSTRUCTURE</t>
  </si>
  <si>
    <t xml:space="preserve">Precast / Cast-in-situ Girders</t>
  </si>
  <si>
    <t xml:space="preserve">Deck Slab Concrete</t>
  </si>
  <si>
    <t xml:space="preserve">Deck Slab Reinforcement</t>
  </si>
  <si>
    <t xml:space="preserve">Pre-stressing Works (Tendons/Strands)</t>
  </si>
  <si>
    <t xml:space="preserve">Formwork/Falsework – Superstructure</t>
  </si>
  <si>
    <t xml:space="preserve">Subtotal — C. SUPERSTRUCTURE</t>
  </si>
  <si>
    <t xml:space="preserve">D. BRIDGE ACCESSORIES</t>
  </si>
  <si>
    <t xml:space="preserve">Elastomeric Bearings</t>
  </si>
  <si>
    <t xml:space="preserve">Expansion Joints</t>
  </si>
  <si>
    <t xml:space="preserve">Parapets / Railings</t>
  </si>
  <si>
    <t xml:space="preserve">Waterproofing of Deck</t>
  </si>
  <si>
    <t xml:space="preserve">Wearing Surface / Asphalt on Deck</t>
  </si>
  <si>
    <t xml:space="preserve">Drainage Scuppers / Downpipes</t>
  </si>
  <si>
    <t xml:space="preserve">Subtotal — D. BRIDGE ACCESSORIES</t>
  </si>
  <si>
    <t xml:space="preserve">E. APPROACH WORKS</t>
  </si>
  <si>
    <t xml:space="preserve">Approach Slabs</t>
  </si>
  <si>
    <t xml:space="preserve">Approach Embankment</t>
  </si>
  <si>
    <t xml:space="preserve">Guardrails</t>
  </si>
  <si>
    <t xml:space="preserve">Subtotal — E. APPROACH WORKS</t>
  </si>
  <si>
    <t xml:space="preserve">Total Bridge Length</t>
  </si>
  <si>
    <t xml:space="preserve">Indicative Direct Cost per m</t>
  </si>
  <si>
    <t xml:space="preserve">BOQ - TUNNELS — BILL OF QUANTITIES &amp; PRICING BUILD-UP</t>
  </si>
  <si>
    <t xml:space="preserve">A. PRELIMINARIES &amp; SITE SETUP</t>
  </si>
  <si>
    <t xml:space="preserve">Mobilization of Specialized TBM/NATM Equipment</t>
  </si>
  <si>
    <t xml:space="preserve">Site Investigation &amp; Geotechnical Monitoring</t>
  </si>
  <si>
    <t xml:space="preserve">Subtotal — A. PRELIMINARIES &amp; SITE SETUP</t>
  </si>
  <si>
    <t xml:space="preserve">B. PORTAL &amp; APPROACH WORKS</t>
  </si>
  <si>
    <t xml:space="preserve">Portal Excavation</t>
  </si>
  <si>
    <t xml:space="preserve">Approach Cut &amp; Retaining Structures</t>
  </si>
  <si>
    <t xml:space="preserve">Subtotal — B. PORTAL &amp; APPROACH WORKS</t>
  </si>
  <si>
    <t xml:space="preserve">C. EXCAVATION &amp; GROUND SUPPORT</t>
  </si>
  <si>
    <t xml:space="preserve">Tunnel Excavation (NATM/Drill&amp;Blast/TBM)</t>
  </si>
  <si>
    <t xml:space="preserve">Shotcrete (Initial Lining)</t>
  </si>
  <si>
    <t xml:space="preserve">Steel Ribs / Lattice Girders</t>
  </si>
  <si>
    <t xml:space="preserve">Rock Bolts / Soil Nails</t>
  </si>
  <si>
    <t xml:space="preserve">Wire Mesh</t>
  </si>
  <si>
    <t xml:space="preserve">Grouting</t>
  </si>
  <si>
    <t xml:space="preserve">Subtotal — C. EXCAVATION &amp; GROUND SUPPORT</t>
  </si>
  <si>
    <t xml:space="preserve">D. PERMANENT LINING</t>
  </si>
  <si>
    <t xml:space="preserve">Waterproofing Membrane</t>
  </si>
  <si>
    <t xml:space="preserve">Secondary Lining Concrete</t>
  </si>
  <si>
    <t xml:space="preserve">Reinforcement for Lining</t>
  </si>
  <si>
    <t xml:space="preserve">Invert Concrete</t>
  </si>
  <si>
    <t xml:space="preserve">Subtotal — D. PERMANENT LINING</t>
  </si>
  <si>
    <t xml:space="preserve">E. MEP &amp; SYSTEMS</t>
  </si>
  <si>
    <t xml:space="preserve">Ventilation System</t>
  </si>
  <si>
    <t xml:space="preserve">Drainage System</t>
  </si>
  <si>
    <t xml:space="preserve">Lighting &amp; Electrical</t>
  </si>
  <si>
    <t xml:space="preserve">Fire &amp; Life Safety Systems</t>
  </si>
  <si>
    <t xml:space="preserve">Subtotal — E. MEP &amp; SYSTEMS</t>
  </si>
  <si>
    <t xml:space="preserve">F. PORTAL FINISHING</t>
  </si>
  <si>
    <t xml:space="preserve">Portal Architectural Finishes</t>
  </si>
  <si>
    <t xml:space="preserve">Subtotal — F. PORTAL FINISHING</t>
  </si>
  <si>
    <t xml:space="preserve">Total Tunnel Length</t>
  </si>
  <si>
    <t xml:space="preserve">BID SUMMARY DASHBOARD</t>
  </si>
  <si>
    <t xml:space="preserve">Consolidated bid build-up by scope, from Direct Cost to Grand Total Bid Price, with threshold checks</t>
  </si>
  <si>
    <t xml:space="preserve">Combined Total</t>
  </si>
  <si>
    <t xml:space="preserve">Include this scope in the bid? (Yes/No)</t>
  </si>
  <si>
    <t xml:space="preserve">Yes</t>
  </si>
  <si>
    <t xml:space="preserve">Direct Cost (from BOQ)</t>
  </si>
  <si>
    <t xml:space="preserve">Site Overhead Amount</t>
  </si>
  <si>
    <t xml:space="preserve">Head Office Overhead Amount</t>
  </si>
  <si>
    <t xml:space="preserve">Subtotal after Overheads</t>
  </si>
  <si>
    <t xml:space="preserve">Contingency %</t>
  </si>
  <si>
    <t xml:space="preserve">Contingency Amount</t>
  </si>
  <si>
    <t xml:space="preserve">Price Escalation %</t>
  </si>
  <si>
    <t xml:space="preserve">Escalation Amount</t>
  </si>
  <si>
    <t xml:space="preserve">Subtotal before Profit</t>
  </si>
  <si>
    <t xml:space="preserve">Profit Margin % Applied</t>
  </si>
  <si>
    <t xml:space="preserve">Profit Amount</t>
  </si>
  <si>
    <t xml:space="preserve">Subtotal – Net Bid Price before Bonds/Insurance/VAT</t>
  </si>
  <si>
    <t xml:space="preserve">Bonds, Guarantees &amp; Insurance %</t>
  </si>
  <si>
    <t xml:space="preserve">Bonds &amp; Insurance Amount</t>
  </si>
  <si>
    <t xml:space="preserve">Financing / Working-Capital Cost %</t>
  </si>
  <si>
    <t xml:space="preserve">Financing Cost Amount</t>
  </si>
  <si>
    <t xml:space="preserve">Price before VAT</t>
  </si>
  <si>
    <t xml:space="preserve">VAT %</t>
  </si>
  <si>
    <t xml:space="preserve">VAT Amount</t>
  </si>
  <si>
    <t xml:space="preserve">GRAND TOTAL BID PRICE (EGP)</t>
  </si>
  <si>
    <t xml:space="preserve">Reference Quantity (from BOQ)</t>
  </si>
  <si>
    <t xml:space="preserve">Bid Price per Unit (EGP)</t>
  </si>
  <si>
    <t xml:space="preserve">Margin Threshold Check</t>
  </si>
  <si>
    <t xml:space="preserve">Notes: (1) 'Include this scope' set to 'No' zeroes that column's Direct Cost and everything built on it, so unused scopes do not distort the Combined Total. (2) Profit Margin % defaults to each scope's Target Margin from the Thresholds sheet but is fully editable; the Margin Threshold Check flags bids priced below the minimum acceptable margin or above the maximum competitive margin for that project type. (3) Bonds, Insurance, Financing and VAT rates are all pulled live from 'Thresholds &amp; Assumptions' — change them there once and every scope updates.</t>
  </si>
</sst>
</file>

<file path=xl/styles.xml><?xml version="1.0" encoding="utf-8"?>
<styleSheet xmlns="http://schemas.openxmlformats.org/spreadsheetml/2006/main">
  <numFmts count="9">
    <numFmt numFmtId="164" formatCode="General"/>
    <numFmt numFmtId="165" formatCode="#,##0&quot; EGP&quot;"/>
    <numFmt numFmtId="166" formatCode="#,##0.00&quot; EGP&quot;"/>
    <numFmt numFmtId="167" formatCode="#,##0"/>
    <numFmt numFmtId="168" formatCode="0.00"/>
    <numFmt numFmtId="169" formatCode="0.0%"/>
    <numFmt numFmtId="170" formatCode="0"/>
    <numFmt numFmtId="171" formatCode="0.00%"/>
    <numFmt numFmtId="172" formatCode="#,##0.00"/>
  </numFmts>
  <fonts count="13">
    <font>
      <sz val="11"/>
      <color theme="1"/>
      <name val="Calibri"/>
      <family val="2"/>
      <charset val="1"/>
    </font>
    <font>
      <sz val="10"/>
      <name val="Arial"/>
      <family val="0"/>
    </font>
    <font>
      <sz val="10"/>
      <name val="Arial"/>
      <family val="0"/>
    </font>
    <font>
      <sz val="10"/>
      <name val="Arial"/>
      <family val="0"/>
    </font>
    <font>
      <b val="true"/>
      <sz val="18"/>
      <color rgb="FFFFFFFF"/>
      <name val="Arial"/>
      <family val="0"/>
      <charset val="1"/>
    </font>
    <font>
      <i val="true"/>
      <sz val="11"/>
      <color rgb="FFFFFFFF"/>
      <name val="Arial"/>
      <family val="0"/>
      <charset val="1"/>
    </font>
    <font>
      <b val="true"/>
      <sz val="10"/>
      <name val="Arial"/>
      <family val="0"/>
      <charset val="1"/>
    </font>
    <font>
      <sz val="10"/>
      <color rgb="FF0000FF"/>
      <name val="Arial"/>
      <family val="0"/>
      <charset val="1"/>
    </font>
    <font>
      <sz val="10"/>
      <color rgb="FF000000"/>
      <name val="Arial"/>
      <family val="0"/>
      <charset val="1"/>
    </font>
    <font>
      <sz val="10"/>
      <color rgb="FF008000"/>
      <name val="Arial"/>
      <family val="0"/>
      <charset val="1"/>
    </font>
    <font>
      <b val="true"/>
      <sz val="10"/>
      <color rgb="FFFFFFFF"/>
      <name val="Arial"/>
      <family val="0"/>
      <charset val="1"/>
    </font>
    <font>
      <b val="true"/>
      <sz val="10"/>
      <color rgb="FF000000"/>
      <name val="Arial"/>
      <family val="0"/>
      <charset val="1"/>
    </font>
    <font>
      <b val="true"/>
      <sz val="11"/>
      <color rgb="FFFFFFFF"/>
      <name val="Arial"/>
      <family val="0"/>
      <charset val="1"/>
    </font>
  </fonts>
  <fills count="9">
    <fill>
      <patternFill patternType="none"/>
    </fill>
    <fill>
      <patternFill patternType="gray125"/>
    </fill>
    <fill>
      <patternFill patternType="solid">
        <fgColor rgb="FF1F3864"/>
        <bgColor rgb="FF203864"/>
      </patternFill>
    </fill>
    <fill>
      <patternFill patternType="solid">
        <fgColor rgb="FFFFF2CC"/>
        <bgColor rgb="FFFCE4E4"/>
      </patternFill>
    </fill>
    <fill>
      <patternFill patternType="solid">
        <fgColor rgb="FFDCE6F1"/>
        <bgColor rgb="FFE2EFDA"/>
      </patternFill>
    </fill>
    <fill>
      <patternFill patternType="solid">
        <fgColor rgb="FF2E5395"/>
        <bgColor rgb="FF203864"/>
      </patternFill>
    </fill>
    <fill>
      <patternFill patternType="solid">
        <fgColor rgb="FFE2EFDA"/>
        <bgColor rgb="FFDCE6F1"/>
      </patternFill>
    </fill>
    <fill>
      <patternFill patternType="solid">
        <fgColor rgb="FFD9D9D9"/>
        <bgColor rgb="FFDCE6F1"/>
      </patternFill>
    </fill>
    <fill>
      <patternFill patternType="solid">
        <fgColor rgb="FF203864"/>
        <bgColor rgb="FF1F3864"/>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1" shrinkToFit="false"/>
      <protection locked="true" hidden="false"/>
    </xf>
    <xf numFmtId="164" fontId="5" fillId="2" borderId="0" xfId="0" applyFont="true" applyBorder="true" applyAlignment="true" applyProtection="false">
      <alignment horizontal="left" vertical="center" textRotation="0" wrapText="false" indent="1"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true" applyAlignment="true" applyProtection="false">
      <alignment horizontal="general" vertical="bottom"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0" fillId="3" borderId="0" xfId="0" applyFont="true" applyBorder="false" applyAlignment="false" applyProtection="false">
      <alignment horizontal="general" vertical="bottom" textRotation="0" wrapText="false" indent="0" shrinkToFit="false"/>
      <protection locked="true" hidden="false"/>
    </xf>
    <xf numFmtId="164" fontId="0" fillId="4" borderId="0" xfId="0" applyFont="true" applyBorder="false" applyAlignment="false" applyProtection="false">
      <alignment horizontal="general" vertical="bottom" textRotation="0" wrapText="false" indent="0" shrinkToFit="false"/>
      <protection locked="true" hidden="false"/>
    </xf>
    <xf numFmtId="164" fontId="10" fillId="5"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general" vertical="center" textRotation="0" wrapText="false" indent="0" shrinkToFit="false"/>
      <protection locked="true" hidden="false"/>
    </xf>
    <xf numFmtId="164" fontId="0" fillId="0" borderId="1" xfId="0" applyFont="true" applyBorder="true" applyAlignment="true" applyProtection="false">
      <alignment horizontal="general" vertical="center" textRotation="0" wrapText="false" indent="0" shrinkToFit="false"/>
      <protection locked="true" hidden="false"/>
    </xf>
    <xf numFmtId="165" fontId="7" fillId="4" borderId="1" xfId="0" applyFont="true" applyBorder="true" applyAlignment="true" applyProtection="false">
      <alignment horizontal="general" vertical="center" textRotation="0" wrapText="false" indent="0" shrinkToFit="false"/>
      <protection locked="true" hidden="false"/>
    </xf>
    <xf numFmtId="165" fontId="0" fillId="0" borderId="1" xfId="0" applyFont="false" applyBorder="true" applyAlignment="true" applyProtection="false">
      <alignment horizontal="general" vertical="center" textRotation="0" wrapText="false" indent="0" shrinkToFit="false"/>
      <protection locked="true" hidden="false"/>
    </xf>
    <xf numFmtId="164" fontId="0" fillId="0" borderId="1" xfId="0" applyFont="true" applyBorder="true" applyAlignment="true" applyProtection="false">
      <alignment horizontal="general" vertical="center" textRotation="0" wrapText="true" indent="0" shrinkToFit="false"/>
      <protection locked="true" hidden="false"/>
    </xf>
    <xf numFmtId="166" fontId="7" fillId="4" borderId="1" xfId="0" applyFont="true" applyBorder="true" applyAlignment="true" applyProtection="false">
      <alignment horizontal="general" vertical="center"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66" fontId="9" fillId="0" borderId="1" xfId="0" applyFont="true" applyBorder="true" applyAlignment="true" applyProtection="false">
      <alignment horizontal="general" vertical="center" textRotation="0" wrapText="false" indent="0" shrinkToFit="false"/>
      <protection locked="true" hidden="false"/>
    </xf>
    <xf numFmtId="167" fontId="7" fillId="4" borderId="1" xfId="0" applyFont="true" applyBorder="true" applyAlignment="true" applyProtection="false">
      <alignment horizontal="general" vertical="center" textRotation="0" wrapText="false" indent="0" shrinkToFit="false"/>
      <protection locked="true" hidden="false"/>
    </xf>
    <xf numFmtId="168" fontId="7" fillId="4" borderId="1" xfId="0" applyFont="true" applyBorder="true" applyAlignment="true" applyProtection="false">
      <alignment horizontal="general" vertical="center" textRotation="0" wrapText="false" indent="0" shrinkToFit="false"/>
      <protection locked="true" hidden="false"/>
    </xf>
    <xf numFmtId="166" fontId="8" fillId="0" borderId="1" xfId="0" applyFont="true" applyBorder="true" applyAlignment="true" applyProtection="false">
      <alignment horizontal="general" vertical="center" textRotation="0" wrapText="false" indent="0" shrinkToFit="false"/>
      <protection locked="true" hidden="false"/>
    </xf>
    <xf numFmtId="166" fontId="6" fillId="6" borderId="1" xfId="0" applyFont="true" applyBorder="true" applyAlignment="true" applyProtection="false">
      <alignment horizontal="general" vertical="center" textRotation="0" wrapText="false" indent="0" shrinkToFit="false"/>
      <protection locked="true" hidden="false"/>
    </xf>
    <xf numFmtId="164" fontId="11" fillId="7" borderId="1" xfId="0" applyFont="true" applyBorder="true" applyAlignment="true" applyProtection="false">
      <alignment horizontal="left" vertical="center" textRotation="0" wrapText="false" indent="1" shrinkToFit="false"/>
      <protection locked="true" hidden="false"/>
    </xf>
    <xf numFmtId="169" fontId="7" fillId="3" borderId="1" xfId="0" applyFont="true" applyBorder="true" applyAlignment="true" applyProtection="false">
      <alignment horizontal="general" vertical="center" textRotation="0" wrapText="false" indent="0" shrinkToFit="false"/>
      <protection locked="true" hidden="false"/>
    </xf>
    <xf numFmtId="164" fontId="0" fillId="0" borderId="1" xfId="0" applyFont="true" applyBorder="true" applyAlignment="true" applyProtection="false">
      <alignment horizontal="general" vertical="bottom" textRotation="0" wrapText="true" indent="0" shrinkToFit="false"/>
      <protection locked="true" hidden="false"/>
    </xf>
    <xf numFmtId="170" fontId="7" fillId="3" borderId="1" xfId="0" applyFont="true" applyBorder="true" applyAlignment="true" applyProtection="false">
      <alignment horizontal="general" vertical="center" textRotation="0" wrapText="false" indent="0" shrinkToFit="false"/>
      <protection locked="true" hidden="false"/>
    </xf>
    <xf numFmtId="169" fontId="8" fillId="0" borderId="1" xfId="0" applyFont="true" applyBorder="true" applyAlignment="true" applyProtection="false">
      <alignment horizontal="general" vertical="center" textRotation="0" wrapText="false" indent="0" shrinkToFit="false"/>
      <protection locked="true" hidden="false"/>
    </xf>
    <xf numFmtId="171" fontId="7" fillId="3" borderId="1" xfId="0" applyFont="true" applyBorder="true" applyAlignment="true" applyProtection="false">
      <alignment horizontal="general" vertical="center" textRotation="0" wrapText="false" indent="0" shrinkToFit="false"/>
      <protection locked="true" hidden="false"/>
    </xf>
    <xf numFmtId="171" fontId="8" fillId="0" borderId="1" xfId="0" applyFont="true" applyBorder="true" applyAlignment="true" applyProtection="false">
      <alignment horizontal="general" vertical="center" textRotation="0" wrapText="false" indent="0" shrinkToFit="false"/>
      <protection locked="true" hidden="false"/>
    </xf>
    <xf numFmtId="164" fontId="0" fillId="0" borderId="1" xfId="0" applyFont="false" applyBorder="true" applyAlignment="true" applyProtection="false">
      <alignment horizontal="center" vertical="center" textRotation="0" wrapText="false" indent="0" shrinkToFit="false"/>
      <protection locked="true" hidden="false"/>
    </xf>
    <xf numFmtId="172" fontId="7" fillId="4" borderId="1" xfId="0" applyFont="true" applyBorder="true" applyAlignment="true" applyProtection="false">
      <alignment horizontal="general" vertical="center" textRotation="0" wrapText="false" indent="0" shrinkToFit="false"/>
      <protection locked="true" hidden="false"/>
    </xf>
    <xf numFmtId="164" fontId="7" fillId="4" borderId="1" xfId="0" applyFont="true" applyBorder="true" applyAlignment="true" applyProtection="false">
      <alignment horizontal="center" vertical="center" textRotation="0" wrapText="false" indent="0" shrinkToFit="false"/>
      <protection locked="true" hidden="false"/>
    </xf>
    <xf numFmtId="169" fontId="7" fillId="4" borderId="1" xfId="0" applyFont="true" applyBorder="true" applyAlignment="true" applyProtection="false">
      <alignment horizontal="general" vertical="center" textRotation="0" wrapText="false" indent="0" shrinkToFit="false"/>
      <protection locked="true" hidden="false"/>
    </xf>
    <xf numFmtId="165" fontId="8" fillId="0" borderId="1" xfId="0" applyFont="true" applyBorder="true" applyAlignment="true" applyProtection="false">
      <alignment horizontal="general" vertical="center" textRotation="0" wrapText="false" indent="0" shrinkToFit="false"/>
      <protection locked="true" hidden="false"/>
    </xf>
    <xf numFmtId="164" fontId="6" fillId="7" borderId="1" xfId="0" applyFont="true" applyBorder="true" applyAlignment="true" applyProtection="false">
      <alignment horizontal="right" vertical="center" textRotation="0" wrapText="false" indent="1" shrinkToFit="false"/>
      <protection locked="true" hidden="false"/>
    </xf>
    <xf numFmtId="165" fontId="6" fillId="7" borderId="1" xfId="0" applyFont="true" applyBorder="true" applyAlignment="true" applyProtection="false">
      <alignment horizontal="general" vertical="center" textRotation="0" wrapText="false" indent="0" shrinkToFit="false"/>
      <protection locked="true" hidden="false"/>
    </xf>
    <xf numFmtId="164" fontId="0" fillId="7" borderId="1" xfId="0" applyFont="false" applyBorder="true" applyAlignment="false" applyProtection="false">
      <alignment horizontal="general" vertical="bottom" textRotation="0" wrapText="false" indent="0" shrinkToFit="false"/>
      <protection locked="true" hidden="false"/>
    </xf>
    <xf numFmtId="169" fontId="9" fillId="0" borderId="1" xfId="0" applyFont="true" applyBorder="true" applyAlignment="true" applyProtection="false">
      <alignment horizontal="general" vertical="center" textRotation="0" wrapText="false" indent="0" shrinkToFit="false"/>
      <protection locked="true" hidden="false"/>
    </xf>
    <xf numFmtId="164" fontId="12" fillId="8" borderId="1" xfId="0" applyFont="true" applyBorder="true" applyAlignment="true" applyProtection="false">
      <alignment horizontal="right" vertical="center" textRotation="0" wrapText="false" indent="1" shrinkToFit="false"/>
      <protection locked="true" hidden="false"/>
    </xf>
    <xf numFmtId="165" fontId="12" fillId="8" borderId="1" xfId="0" applyFont="true" applyBorder="true" applyAlignment="true" applyProtection="false">
      <alignment horizontal="general" vertical="center" textRotation="0" wrapText="false" indent="0" shrinkToFit="false"/>
      <protection locked="true" hidden="false"/>
    </xf>
    <xf numFmtId="164" fontId="0" fillId="8" borderId="1" xfId="0" applyFont="false" applyBorder="true" applyAlignment="false" applyProtection="false">
      <alignment horizontal="general" vertical="bottom" textRotation="0" wrapText="false" indent="0"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xf numFmtId="172" fontId="7" fillId="3" borderId="1" xfId="0" applyFont="true" applyBorder="true" applyAlignment="true" applyProtection="false">
      <alignment horizontal="general" vertical="center"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left" vertical="center" textRotation="0" wrapText="false" indent="0" shrinkToFit="false"/>
      <protection locked="true" hidden="false"/>
    </xf>
    <xf numFmtId="164" fontId="7" fillId="3" borderId="1" xfId="0" applyFont="true" applyBorder="true" applyAlignment="true" applyProtection="false">
      <alignment horizontal="center" vertical="bottom" textRotation="0" wrapText="false" indent="0" shrinkToFit="false"/>
      <protection locked="true" hidden="false"/>
    </xf>
    <xf numFmtId="165" fontId="9" fillId="0" borderId="1" xfId="0" applyFont="true" applyBorder="true" applyAlignment="true" applyProtection="false">
      <alignment horizontal="general" vertical="center" textRotation="0" wrapText="false" indent="0" shrinkToFit="false"/>
      <protection locked="true" hidden="false"/>
    </xf>
    <xf numFmtId="165" fontId="6" fillId="0" borderId="1" xfId="0" applyFont="true" applyBorder="true" applyAlignment="true" applyProtection="false">
      <alignment horizontal="general" vertical="center" textRotation="0" wrapText="false" indent="0" shrinkToFit="false"/>
      <protection locked="true" hidden="false"/>
    </xf>
    <xf numFmtId="164" fontId="6" fillId="7" borderId="1" xfId="0" applyFont="true" applyBorder="true" applyAlignment="true" applyProtection="false">
      <alignment horizontal="left" vertical="center" textRotation="0" wrapText="false" indent="0" shrinkToFit="false"/>
      <protection locked="true" hidden="false"/>
    </xf>
    <xf numFmtId="164" fontId="6" fillId="0" borderId="1" xfId="0" applyFont="true" applyBorder="true" applyAlignment="true" applyProtection="false">
      <alignment horizontal="left" vertical="center" textRotation="0" wrapText="true" indent="0" shrinkToFit="false"/>
      <protection locked="true" hidden="false"/>
    </xf>
    <xf numFmtId="171" fontId="9" fillId="0" borderId="1" xfId="0" applyFont="true" applyBorder="true" applyAlignment="true" applyProtection="false">
      <alignment horizontal="general" vertical="center" textRotation="0" wrapText="false" indent="0" shrinkToFit="false"/>
      <protection locked="true" hidden="false"/>
    </xf>
    <xf numFmtId="164" fontId="12" fillId="8" borderId="1" xfId="0" applyFont="true" applyBorder="true" applyAlignment="true" applyProtection="false">
      <alignment horizontal="general" vertical="center" textRotation="0" wrapText="false" indent="0" shrinkToFit="false"/>
      <protection locked="true" hidden="false"/>
    </xf>
    <xf numFmtId="172" fontId="9" fillId="0" borderId="1" xfId="0" applyFont="true" applyBorder="true" applyAlignment="true" applyProtection="false">
      <alignment horizontal="general" vertical="center" textRotation="0" wrapText="fals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bgColor rgb="FFFCE4E4"/>
        </patternFill>
      </fill>
    </dxf>
    <dxf>
      <fill>
        <patternFill>
          <bgColor rgb="FFFFF2CC"/>
        </patternFill>
      </fill>
    </dxf>
    <dxf>
      <fill>
        <patternFill>
          <bgColor rgb="FFE2EFDA"/>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548235"/>
      <rgbColor rgb="FF800080"/>
      <rgbColor rgb="FF008080"/>
      <rgbColor rgb="FFBFBFBF"/>
      <rgbColor rgb="FF808080"/>
      <rgbColor rgb="FF9999FF"/>
      <rgbColor rgb="FF993366"/>
      <rgbColor rgb="FFFFF2CC"/>
      <rgbColor rgb="FFDCE6F1"/>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CE4E4"/>
      <rgbColor rgb="FF3366FF"/>
      <rgbColor rgb="FF33CCCC"/>
      <rgbColor rgb="FF99CC00"/>
      <rgbColor rgb="FFFFCC00"/>
      <rgbColor rgb="FFBF8F00"/>
      <rgbColor rgb="FFFF6600"/>
      <rgbColor rgb="FF666699"/>
      <rgbColor rgb="FF969696"/>
      <rgbColor rgb="FF1F3864"/>
      <rgbColor rgb="FF339966"/>
      <rgbColor rgb="FF003300"/>
      <rgbColor rgb="FF333300"/>
      <rgbColor rgb="FF993300"/>
      <rgbColor rgb="FF993366"/>
      <rgbColor rgb="FF2E5395"/>
      <rgbColor rgb="FF20386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H5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30"/>
    <col collapsed="false" customWidth="true" hidden="false" outlineLevel="0" max="3" min="3" style="0" width="46"/>
    <col collapsed="false" customWidth="true" hidden="false" outlineLevel="0" max="8" min="4" style="0" width="18"/>
  </cols>
  <sheetData>
    <row r="1" customFormat="false" ht="31.5" hidden="false" customHeight="true" outlineLevel="0" collapsed="false">
      <c r="A1" s="1" t="s">
        <v>0</v>
      </c>
      <c r="B1" s="1"/>
      <c r="C1" s="1"/>
      <c r="D1" s="1"/>
      <c r="E1" s="1"/>
      <c r="F1" s="1"/>
      <c r="G1" s="1"/>
      <c r="H1" s="1"/>
    </row>
    <row r="2" customFormat="false" ht="18" hidden="false" customHeight="true" outlineLevel="0" collapsed="false">
      <c r="A2" s="2" t="s">
        <v>1</v>
      </c>
      <c r="B2" s="2"/>
      <c r="C2" s="2"/>
      <c r="D2" s="2"/>
      <c r="E2" s="2"/>
      <c r="F2" s="2"/>
      <c r="G2" s="2"/>
      <c r="H2" s="2"/>
    </row>
    <row r="4" customFormat="false" ht="15" hidden="false" customHeight="false" outlineLevel="0" collapsed="false">
      <c r="A4" s="3" t="s">
        <v>2</v>
      </c>
    </row>
    <row r="5" customFormat="false" ht="60" hidden="false" customHeight="true" outlineLevel="0" collapsed="false">
      <c r="A5" s="4" t="s">
        <v>3</v>
      </c>
      <c r="B5" s="4"/>
      <c r="C5" s="4"/>
      <c r="D5" s="4"/>
      <c r="E5" s="4"/>
      <c r="F5" s="4"/>
      <c r="G5" s="4"/>
      <c r="H5" s="4"/>
    </row>
    <row r="6" customFormat="false" ht="15" hidden="false" customHeight="false" outlineLevel="0" collapsed="false">
      <c r="A6" s="4"/>
      <c r="B6" s="4"/>
      <c r="C6" s="4"/>
      <c r="D6" s="4"/>
      <c r="E6" s="4"/>
      <c r="F6" s="4"/>
      <c r="G6" s="4"/>
      <c r="H6" s="4"/>
    </row>
    <row r="7" customFormat="false" ht="15" hidden="false" customHeight="false" outlineLevel="0" collapsed="false">
      <c r="A7" s="4"/>
      <c r="B7" s="4"/>
      <c r="C7" s="4"/>
      <c r="D7" s="4"/>
      <c r="E7" s="4"/>
      <c r="F7" s="4"/>
      <c r="G7" s="4"/>
      <c r="H7" s="4"/>
    </row>
    <row r="9" customFormat="false" ht="15" hidden="false" customHeight="false" outlineLevel="0" collapsed="false">
      <c r="A9" s="3" t="s">
        <v>4</v>
      </c>
    </row>
    <row r="10" customFormat="false" ht="15" hidden="false" customHeight="true" outlineLevel="0" collapsed="false">
      <c r="A10" s="4" t="s">
        <v>5</v>
      </c>
      <c r="B10" s="4"/>
      <c r="C10" s="4"/>
      <c r="D10" s="4"/>
      <c r="E10" s="4"/>
      <c r="F10" s="4"/>
      <c r="G10" s="4"/>
      <c r="H10" s="4"/>
    </row>
    <row r="11" customFormat="false" ht="15" hidden="false" customHeight="true" outlineLevel="0" collapsed="false">
      <c r="A11" s="4" t="s">
        <v>6</v>
      </c>
      <c r="B11" s="4"/>
      <c r="C11" s="4"/>
      <c r="D11" s="4"/>
      <c r="E11" s="4"/>
      <c r="F11" s="4"/>
      <c r="G11" s="4"/>
      <c r="H11" s="4"/>
    </row>
    <row r="12" customFormat="false" ht="15" hidden="false" customHeight="true" outlineLevel="0" collapsed="false">
      <c r="A12" s="4" t="s">
        <v>7</v>
      </c>
      <c r="B12" s="4"/>
      <c r="C12" s="4"/>
      <c r="D12" s="4"/>
      <c r="E12" s="4"/>
      <c r="F12" s="4"/>
      <c r="G12" s="4"/>
      <c r="H12" s="4"/>
    </row>
    <row r="13" customFormat="false" ht="15" hidden="false" customHeight="true" outlineLevel="0" collapsed="false">
      <c r="A13" s="4" t="s">
        <v>8</v>
      </c>
      <c r="B13" s="4"/>
      <c r="C13" s="4"/>
      <c r="D13" s="4"/>
      <c r="E13" s="4"/>
      <c r="F13" s="4"/>
      <c r="G13" s="4"/>
      <c r="H13" s="4"/>
    </row>
    <row r="14" customFormat="false" ht="15" hidden="false" customHeight="true" outlineLevel="0" collapsed="false">
      <c r="A14" s="4" t="s">
        <v>9</v>
      </c>
      <c r="B14" s="4"/>
      <c r="C14" s="4"/>
      <c r="D14" s="4"/>
      <c r="E14" s="4"/>
      <c r="F14" s="4"/>
      <c r="G14" s="4"/>
      <c r="H14" s="4"/>
    </row>
    <row r="15" customFormat="false" ht="15" hidden="false" customHeight="true" outlineLevel="0" collapsed="false">
      <c r="A15" s="4" t="s">
        <v>10</v>
      </c>
      <c r="B15" s="4"/>
      <c r="C15" s="4"/>
      <c r="D15" s="4"/>
      <c r="E15" s="4"/>
      <c r="F15" s="4"/>
      <c r="G15" s="4"/>
      <c r="H15" s="4"/>
    </row>
    <row r="16" customFormat="false" ht="15" hidden="false" customHeight="true" outlineLevel="0" collapsed="false">
      <c r="A16" s="4" t="s">
        <v>11</v>
      </c>
      <c r="B16" s="4"/>
      <c r="C16" s="4"/>
      <c r="D16" s="4"/>
      <c r="E16" s="4"/>
      <c r="F16" s="4"/>
      <c r="G16" s="4"/>
      <c r="H16" s="4"/>
    </row>
    <row r="17" customFormat="false" ht="15" hidden="false" customHeight="true" outlineLevel="0" collapsed="false">
      <c r="A17" s="4" t="s">
        <v>12</v>
      </c>
      <c r="B17" s="4"/>
      <c r="C17" s="4"/>
      <c r="D17" s="4"/>
      <c r="E17" s="4"/>
      <c r="F17" s="4"/>
      <c r="G17" s="4"/>
      <c r="H17" s="4"/>
    </row>
    <row r="19" customFormat="false" ht="15" hidden="false" customHeight="false" outlineLevel="0" collapsed="false">
      <c r="A19" s="3" t="s">
        <v>13</v>
      </c>
    </row>
    <row r="20" customFormat="false" ht="15" hidden="false" customHeight="true" outlineLevel="0" collapsed="false">
      <c r="A20" s="5" t="s">
        <v>14</v>
      </c>
      <c r="B20" s="6" t="s">
        <v>15</v>
      </c>
      <c r="C20" s="6"/>
      <c r="D20" s="6"/>
      <c r="E20" s="6"/>
      <c r="F20" s="6"/>
      <c r="G20" s="6"/>
      <c r="H20" s="6"/>
    </row>
    <row r="21" customFormat="false" ht="15" hidden="false" customHeight="true" outlineLevel="0" collapsed="false">
      <c r="A21" s="7" t="s">
        <v>16</v>
      </c>
      <c r="B21" s="6" t="s">
        <v>17</v>
      </c>
      <c r="C21" s="6"/>
      <c r="D21" s="6"/>
      <c r="E21" s="6"/>
      <c r="F21" s="6"/>
      <c r="G21" s="6"/>
      <c r="H21" s="6"/>
    </row>
    <row r="22" customFormat="false" ht="15" hidden="false" customHeight="true" outlineLevel="0" collapsed="false">
      <c r="A22" s="8" t="s">
        <v>18</v>
      </c>
      <c r="B22" s="6" t="s">
        <v>19</v>
      </c>
      <c r="C22" s="6"/>
      <c r="D22" s="6"/>
      <c r="E22" s="6"/>
      <c r="F22" s="6"/>
      <c r="G22" s="6"/>
      <c r="H22" s="6"/>
    </row>
    <row r="23" customFormat="false" ht="15" hidden="false" customHeight="true" outlineLevel="0" collapsed="false">
      <c r="A23" s="9" t="s">
        <v>20</v>
      </c>
      <c r="B23" s="6" t="s">
        <v>21</v>
      </c>
      <c r="C23" s="6"/>
      <c r="D23" s="6"/>
      <c r="E23" s="6"/>
      <c r="F23" s="6"/>
      <c r="G23" s="6"/>
      <c r="H23" s="6"/>
    </row>
    <row r="24" customFormat="false" ht="15" hidden="false" customHeight="true" outlineLevel="0" collapsed="false">
      <c r="A24" s="10" t="s">
        <v>22</v>
      </c>
      <c r="B24" s="6" t="s">
        <v>23</v>
      </c>
      <c r="C24" s="6"/>
      <c r="D24" s="6"/>
      <c r="E24" s="6"/>
      <c r="F24" s="6"/>
      <c r="G24" s="6"/>
      <c r="H24" s="6"/>
    </row>
    <row r="26" customFormat="false" ht="15" hidden="false" customHeight="false" outlineLevel="0" collapsed="false">
      <c r="A26" s="3" t="s">
        <v>24</v>
      </c>
    </row>
    <row r="27" customFormat="false" ht="69.75" hidden="false" customHeight="true" outlineLevel="0" collapsed="false">
      <c r="A27" s="4" t="s">
        <v>25</v>
      </c>
      <c r="B27" s="4"/>
      <c r="C27" s="4"/>
      <c r="D27" s="4"/>
      <c r="E27" s="4"/>
      <c r="F27" s="4"/>
      <c r="G27" s="4"/>
      <c r="H27" s="4"/>
    </row>
    <row r="28" customFormat="false" ht="15" hidden="false" customHeight="false" outlineLevel="0" collapsed="false">
      <c r="A28" s="4"/>
      <c r="B28" s="4"/>
      <c r="C28" s="4"/>
      <c r="D28" s="4"/>
      <c r="E28" s="4"/>
      <c r="F28" s="4"/>
      <c r="G28" s="4"/>
      <c r="H28" s="4"/>
    </row>
    <row r="29" customFormat="false" ht="15" hidden="false" customHeight="false" outlineLevel="0" collapsed="false">
      <c r="A29" s="4"/>
      <c r="B29" s="4"/>
      <c r="C29" s="4"/>
      <c r="D29" s="4"/>
      <c r="E29" s="4"/>
      <c r="F29" s="4"/>
      <c r="G29" s="4"/>
      <c r="H29" s="4"/>
    </row>
    <row r="30" customFormat="false" ht="15" hidden="false" customHeight="false" outlineLevel="0" collapsed="false">
      <c r="A30" s="4"/>
      <c r="B30" s="4"/>
      <c r="C30" s="4"/>
      <c r="D30" s="4"/>
      <c r="E30" s="4"/>
      <c r="F30" s="4"/>
      <c r="G30" s="4"/>
      <c r="H30" s="4"/>
    </row>
    <row r="32" customFormat="false" ht="15" hidden="false" customHeight="false" outlineLevel="0" collapsed="false">
      <c r="A32" s="3" t="s">
        <v>26</v>
      </c>
    </row>
    <row r="33" customFormat="false" ht="15" hidden="false" customHeight="true" outlineLevel="0" collapsed="false">
      <c r="A33" s="3" t="s">
        <v>27</v>
      </c>
      <c r="B33" s="6" t="s">
        <v>28</v>
      </c>
      <c r="C33" s="6"/>
      <c r="D33" s="6"/>
      <c r="E33" s="6"/>
      <c r="F33" s="6"/>
      <c r="G33" s="6"/>
      <c r="H33" s="6"/>
    </row>
    <row r="34" customFormat="false" ht="15" hidden="false" customHeight="true" outlineLevel="0" collapsed="false">
      <c r="A34" s="3" t="s">
        <v>29</v>
      </c>
      <c r="B34" s="6" t="s">
        <v>30</v>
      </c>
      <c r="C34" s="6"/>
      <c r="D34" s="6"/>
      <c r="E34" s="6"/>
      <c r="F34" s="6"/>
      <c r="G34" s="6"/>
      <c r="H34" s="6"/>
    </row>
    <row r="35" customFormat="false" ht="15" hidden="false" customHeight="true" outlineLevel="0" collapsed="false">
      <c r="A35" s="3" t="s">
        <v>31</v>
      </c>
      <c r="B35" s="6" t="s">
        <v>32</v>
      </c>
      <c r="C35" s="6"/>
      <c r="D35" s="6"/>
      <c r="E35" s="6"/>
      <c r="F35" s="6"/>
      <c r="G35" s="6"/>
      <c r="H35" s="6"/>
    </row>
    <row r="36" customFormat="false" ht="15" hidden="false" customHeight="true" outlineLevel="0" collapsed="false">
      <c r="A36" s="3" t="s">
        <v>33</v>
      </c>
      <c r="B36" s="6" t="s">
        <v>34</v>
      </c>
      <c r="C36" s="6"/>
      <c r="D36" s="6"/>
      <c r="E36" s="6"/>
      <c r="F36" s="6"/>
      <c r="G36" s="6"/>
      <c r="H36" s="6"/>
    </row>
    <row r="37" customFormat="false" ht="15" hidden="false" customHeight="true" outlineLevel="0" collapsed="false">
      <c r="A37" s="3" t="s">
        <v>35</v>
      </c>
      <c r="B37" s="6" t="s">
        <v>36</v>
      </c>
      <c r="C37" s="6"/>
      <c r="D37" s="6"/>
      <c r="E37" s="6"/>
      <c r="F37" s="6"/>
      <c r="G37" s="6"/>
      <c r="H37" s="6"/>
    </row>
    <row r="38" customFormat="false" ht="15" hidden="false" customHeight="true" outlineLevel="0" collapsed="false">
      <c r="A38" s="3" t="s">
        <v>37</v>
      </c>
      <c r="B38" s="6" t="s">
        <v>38</v>
      </c>
      <c r="C38" s="6"/>
      <c r="D38" s="6"/>
      <c r="E38" s="6"/>
      <c r="F38" s="6"/>
      <c r="G38" s="6"/>
      <c r="H38" s="6"/>
    </row>
    <row r="39" customFormat="false" ht="15" hidden="false" customHeight="true" outlineLevel="0" collapsed="false">
      <c r="A39" s="3" t="s">
        <v>39</v>
      </c>
      <c r="B39" s="6" t="s">
        <v>40</v>
      </c>
      <c r="C39" s="6"/>
      <c r="D39" s="6"/>
      <c r="E39" s="6"/>
      <c r="F39" s="6"/>
      <c r="G39" s="6"/>
      <c r="H39" s="6"/>
    </row>
    <row r="40" customFormat="false" ht="15" hidden="false" customHeight="true" outlineLevel="0" collapsed="false">
      <c r="A40" s="3" t="s">
        <v>41</v>
      </c>
      <c r="B40" s="6" t="s">
        <v>42</v>
      </c>
      <c r="C40" s="6"/>
      <c r="D40" s="6"/>
      <c r="E40" s="6"/>
      <c r="F40" s="6"/>
      <c r="G40" s="6"/>
      <c r="H40" s="6"/>
    </row>
    <row r="41" customFormat="false" ht="15" hidden="false" customHeight="true" outlineLevel="0" collapsed="false">
      <c r="A41" s="3" t="s">
        <v>43</v>
      </c>
      <c r="B41" s="6" t="s">
        <v>44</v>
      </c>
      <c r="C41" s="6"/>
      <c r="D41" s="6"/>
      <c r="E41" s="6"/>
      <c r="F41" s="6"/>
      <c r="G41" s="6"/>
      <c r="H41" s="6"/>
    </row>
    <row r="42" customFormat="false" ht="15" hidden="false" customHeight="true" outlineLevel="0" collapsed="false">
      <c r="A42" s="3" t="s">
        <v>45</v>
      </c>
      <c r="B42" s="6" t="s">
        <v>46</v>
      </c>
      <c r="C42" s="6"/>
      <c r="D42" s="6"/>
      <c r="E42" s="6"/>
      <c r="F42" s="6"/>
      <c r="G42" s="6"/>
      <c r="H42" s="6"/>
    </row>
    <row r="44" customFormat="false" ht="15" hidden="false" customHeight="false" outlineLevel="0" collapsed="false">
      <c r="A44" s="3" t="s">
        <v>47</v>
      </c>
    </row>
    <row r="45" customFormat="false" ht="15" hidden="false" customHeight="true" outlineLevel="0" collapsed="false">
      <c r="A45" s="6" t="s">
        <v>48</v>
      </c>
      <c r="B45" s="6"/>
      <c r="C45" s="6"/>
      <c r="D45" s="6"/>
      <c r="E45" s="6"/>
      <c r="F45" s="6"/>
      <c r="G45" s="6"/>
      <c r="H45" s="6"/>
    </row>
    <row r="46" customFormat="false" ht="15" hidden="false" customHeight="true" outlineLevel="0" collapsed="false">
      <c r="A46" s="6" t="s">
        <v>49</v>
      </c>
      <c r="B46" s="6"/>
      <c r="C46" s="6"/>
      <c r="D46" s="6"/>
      <c r="E46" s="6"/>
      <c r="F46" s="6"/>
      <c r="G46" s="6"/>
      <c r="H46" s="6"/>
    </row>
    <row r="47" customFormat="false" ht="15" hidden="false" customHeight="true" outlineLevel="0" collapsed="false">
      <c r="A47" s="6" t="s">
        <v>50</v>
      </c>
      <c r="B47" s="6"/>
      <c r="C47" s="6"/>
      <c r="D47" s="6"/>
      <c r="E47" s="6"/>
      <c r="F47" s="6"/>
      <c r="G47" s="6"/>
      <c r="H47" s="6"/>
    </row>
    <row r="48" customFormat="false" ht="15" hidden="false" customHeight="true" outlineLevel="0" collapsed="false">
      <c r="A48" s="6" t="s">
        <v>51</v>
      </c>
      <c r="B48" s="6"/>
      <c r="C48" s="6"/>
      <c r="D48" s="6"/>
      <c r="E48" s="6"/>
      <c r="F48" s="6"/>
      <c r="G48" s="6"/>
      <c r="H48" s="6"/>
    </row>
    <row r="49" customFormat="false" ht="15" hidden="false" customHeight="true" outlineLevel="0" collapsed="false">
      <c r="A49" s="6" t="s">
        <v>52</v>
      </c>
      <c r="B49" s="6"/>
      <c r="C49" s="6"/>
      <c r="D49" s="6"/>
      <c r="E49" s="6"/>
      <c r="F49" s="6"/>
      <c r="G49" s="6"/>
      <c r="H49" s="6"/>
    </row>
    <row r="50" customFormat="false" ht="15" hidden="false" customHeight="true" outlineLevel="0" collapsed="false">
      <c r="A50" s="6" t="s">
        <v>53</v>
      </c>
      <c r="B50" s="6"/>
      <c r="C50" s="6"/>
      <c r="D50" s="6"/>
      <c r="E50" s="6"/>
      <c r="F50" s="6"/>
      <c r="G50" s="6"/>
      <c r="H50" s="6"/>
    </row>
    <row r="51" customFormat="false" ht="15" hidden="false" customHeight="true" outlineLevel="0" collapsed="false">
      <c r="A51" s="6" t="s">
        <v>54</v>
      </c>
      <c r="B51" s="6"/>
      <c r="C51" s="6"/>
      <c r="D51" s="6"/>
      <c r="E51" s="6"/>
      <c r="F51" s="6"/>
      <c r="G51" s="6"/>
      <c r="H51" s="6"/>
    </row>
    <row r="52" customFormat="false" ht="15" hidden="false" customHeight="true" outlineLevel="0" collapsed="false">
      <c r="A52" s="6" t="s">
        <v>55</v>
      </c>
      <c r="B52" s="6"/>
      <c r="C52" s="6"/>
      <c r="D52" s="6"/>
      <c r="E52" s="6"/>
      <c r="F52" s="6"/>
      <c r="G52" s="6"/>
      <c r="H52" s="6"/>
    </row>
  </sheetData>
  <mergeCells count="35">
    <mergeCell ref="A1:H1"/>
    <mergeCell ref="A2:H2"/>
    <mergeCell ref="A5:H7"/>
    <mergeCell ref="A10:H10"/>
    <mergeCell ref="A11:H11"/>
    <mergeCell ref="A12:H12"/>
    <mergeCell ref="A13:H13"/>
    <mergeCell ref="A14:H14"/>
    <mergeCell ref="A15:H15"/>
    <mergeCell ref="A16:H16"/>
    <mergeCell ref="A17:H17"/>
    <mergeCell ref="B20:H20"/>
    <mergeCell ref="B21:H21"/>
    <mergeCell ref="B22:H22"/>
    <mergeCell ref="B23:H23"/>
    <mergeCell ref="B24:H24"/>
    <mergeCell ref="A27:H30"/>
    <mergeCell ref="B33:H33"/>
    <mergeCell ref="B34:H34"/>
    <mergeCell ref="B35:H35"/>
    <mergeCell ref="B36:H36"/>
    <mergeCell ref="B37:H37"/>
    <mergeCell ref="B38:H38"/>
    <mergeCell ref="B39:H39"/>
    <mergeCell ref="B40:H40"/>
    <mergeCell ref="B41:H41"/>
    <mergeCell ref="B42:H42"/>
    <mergeCell ref="A45:H45"/>
    <mergeCell ref="A46:H46"/>
    <mergeCell ref="A47:H47"/>
    <mergeCell ref="A48:H48"/>
    <mergeCell ref="A49:H49"/>
    <mergeCell ref="A50:H50"/>
    <mergeCell ref="A51:H51"/>
    <mergeCell ref="A52:H5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5395"/>
    <pageSetUpPr fitToPage="false"/>
  </sheetPr>
  <dimension ref="A1:I3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4"/>
    <col collapsed="false" customWidth="true" hidden="false" outlineLevel="0" max="3" min="3" style="0" width="40"/>
    <col collapsed="false" customWidth="true" hidden="false" outlineLevel="0" max="4" min="4" style="0" width="10"/>
    <col collapsed="false" customWidth="true" hidden="false" outlineLevel="0" max="5" min="5" style="0" width="16"/>
    <col collapsed="false" customWidth="true" hidden="false" outlineLevel="0" max="7" min="6" style="0" width="12"/>
    <col collapsed="false" customWidth="true" hidden="false" outlineLevel="0" max="8" min="8" style="0" width="16"/>
    <col collapsed="false" customWidth="true" hidden="false" outlineLevel="0" max="9" min="9" style="0" width="46"/>
  </cols>
  <sheetData>
    <row r="1" customFormat="false" ht="31.5" hidden="false" customHeight="true" outlineLevel="0" collapsed="false">
      <c r="A1" s="1" t="s">
        <v>56</v>
      </c>
      <c r="B1" s="1"/>
      <c r="C1" s="1"/>
      <c r="D1" s="1"/>
      <c r="E1" s="1"/>
      <c r="F1" s="1"/>
      <c r="G1" s="1"/>
      <c r="H1" s="1"/>
      <c r="I1" s="1"/>
    </row>
    <row r="2" customFormat="false" ht="18" hidden="false" customHeight="true" outlineLevel="0" collapsed="false">
      <c r="A2" s="2" t="s">
        <v>57</v>
      </c>
      <c r="B2" s="2"/>
      <c r="C2" s="2"/>
      <c r="D2" s="2"/>
      <c r="E2" s="2"/>
      <c r="F2" s="2"/>
      <c r="G2" s="2"/>
      <c r="H2" s="2"/>
      <c r="I2" s="2"/>
    </row>
    <row r="4" customFormat="false" ht="31.5" hidden="false" customHeight="true" outlineLevel="0" collapsed="false">
      <c r="A4" s="11" t="s">
        <v>58</v>
      </c>
      <c r="B4" s="11" t="s">
        <v>59</v>
      </c>
      <c r="C4" s="11" t="s">
        <v>60</v>
      </c>
      <c r="D4" s="11" t="s">
        <v>61</v>
      </c>
      <c r="E4" s="11" t="s">
        <v>62</v>
      </c>
      <c r="F4" s="11" t="s">
        <v>63</v>
      </c>
      <c r="G4" s="11" t="s">
        <v>64</v>
      </c>
      <c r="H4" s="11" t="s">
        <v>65</v>
      </c>
      <c r="I4" s="11" t="s">
        <v>66</v>
      </c>
    </row>
    <row r="5" customFormat="false" ht="28.35" hidden="false" customHeight="false" outlineLevel="0" collapsed="false">
      <c r="A5" s="12" t="s">
        <v>67</v>
      </c>
      <c r="B5" s="13" t="s">
        <v>68</v>
      </c>
      <c r="C5" s="13" t="s">
        <v>69</v>
      </c>
      <c r="D5" s="13" t="s">
        <v>70</v>
      </c>
      <c r="E5" s="14" t="n">
        <v>3800</v>
      </c>
      <c r="F5" s="15" t="n">
        <v>3600</v>
      </c>
      <c r="G5" s="15" t="n">
        <v>4000</v>
      </c>
      <c r="H5" s="13" t="s">
        <v>71</v>
      </c>
      <c r="I5" s="16" t="s">
        <v>72</v>
      </c>
    </row>
    <row r="6" customFormat="false" ht="28.35" hidden="false" customHeight="false" outlineLevel="0" collapsed="false">
      <c r="A6" s="12" t="s">
        <v>73</v>
      </c>
      <c r="B6" s="13" t="s">
        <v>68</v>
      </c>
      <c r="C6" s="13" t="s">
        <v>74</v>
      </c>
      <c r="D6" s="13" t="s">
        <v>70</v>
      </c>
      <c r="E6" s="14" t="n">
        <v>4300</v>
      </c>
      <c r="F6" s="15" t="n">
        <v>4050</v>
      </c>
      <c r="G6" s="15" t="n">
        <v>4550</v>
      </c>
      <c r="H6" s="13" t="s">
        <v>71</v>
      </c>
      <c r="I6" s="16" t="s">
        <v>75</v>
      </c>
    </row>
    <row r="7" customFormat="false" ht="15" hidden="false" customHeight="false" outlineLevel="0" collapsed="false">
      <c r="A7" s="12" t="s">
        <v>76</v>
      </c>
      <c r="B7" s="13" t="s">
        <v>68</v>
      </c>
      <c r="C7" s="13" t="s">
        <v>77</v>
      </c>
      <c r="D7" s="13" t="s">
        <v>70</v>
      </c>
      <c r="E7" s="14" t="n">
        <v>5500</v>
      </c>
      <c r="F7" s="15" t="n">
        <v>5400</v>
      </c>
      <c r="G7" s="15" t="n">
        <v>6200</v>
      </c>
      <c r="H7" s="13" t="s">
        <v>71</v>
      </c>
      <c r="I7" s="16" t="s">
        <v>78</v>
      </c>
    </row>
    <row r="8" customFormat="false" ht="28.35" hidden="false" customHeight="false" outlineLevel="0" collapsed="false">
      <c r="A8" s="12" t="s">
        <v>79</v>
      </c>
      <c r="B8" s="13" t="s">
        <v>80</v>
      </c>
      <c r="C8" s="13" t="s">
        <v>81</v>
      </c>
      <c r="D8" s="13" t="s">
        <v>70</v>
      </c>
      <c r="E8" s="14" t="n">
        <v>36500</v>
      </c>
      <c r="F8" s="15" t="n">
        <v>33800</v>
      </c>
      <c r="G8" s="15" t="n">
        <v>38500</v>
      </c>
      <c r="H8" s="13" t="s">
        <v>71</v>
      </c>
      <c r="I8" s="16" t="s">
        <v>82</v>
      </c>
    </row>
    <row r="9" customFormat="false" ht="15" hidden="false" customHeight="false" outlineLevel="0" collapsed="false">
      <c r="A9" s="12" t="s">
        <v>83</v>
      </c>
      <c r="B9" s="13" t="s">
        <v>80</v>
      </c>
      <c r="C9" s="13" t="s">
        <v>84</v>
      </c>
      <c r="D9" s="13" t="s">
        <v>70</v>
      </c>
      <c r="E9" s="14" t="n">
        <v>39500</v>
      </c>
      <c r="F9" s="15" t="n">
        <v>39200</v>
      </c>
      <c r="G9" s="15" t="n">
        <v>40000</v>
      </c>
      <c r="H9" s="13" t="s">
        <v>71</v>
      </c>
      <c r="I9" s="16" t="s">
        <v>85</v>
      </c>
    </row>
    <row r="10" customFormat="false" ht="28.35" hidden="false" customHeight="false" outlineLevel="0" collapsed="false">
      <c r="A10" s="12" t="s">
        <v>86</v>
      </c>
      <c r="B10" s="13" t="s">
        <v>80</v>
      </c>
      <c r="C10" s="13" t="s">
        <v>87</v>
      </c>
      <c r="D10" s="13" t="s">
        <v>70</v>
      </c>
      <c r="E10" s="14" t="n">
        <v>45000</v>
      </c>
      <c r="F10" s="13"/>
      <c r="G10" s="13"/>
      <c r="H10" s="13" t="s">
        <v>88</v>
      </c>
      <c r="I10" s="16" t="s">
        <v>89</v>
      </c>
    </row>
    <row r="11" customFormat="false" ht="15" hidden="false" customHeight="false" outlineLevel="0" collapsed="false">
      <c r="A11" s="12" t="s">
        <v>90</v>
      </c>
      <c r="B11" s="13" t="s">
        <v>91</v>
      </c>
      <c r="C11" s="13" t="s">
        <v>92</v>
      </c>
      <c r="D11" s="13" t="s">
        <v>93</v>
      </c>
      <c r="E11" s="14" t="n">
        <v>150</v>
      </c>
      <c r="F11" s="15" t="n">
        <v>125</v>
      </c>
      <c r="G11" s="15" t="n">
        <v>270</v>
      </c>
      <c r="H11" s="13" t="s">
        <v>71</v>
      </c>
      <c r="I11" s="16" t="s">
        <v>78</v>
      </c>
    </row>
    <row r="12" customFormat="false" ht="15" hidden="false" customHeight="false" outlineLevel="0" collapsed="false">
      <c r="A12" s="12" t="s">
        <v>94</v>
      </c>
      <c r="B12" s="13" t="s">
        <v>91</v>
      </c>
      <c r="C12" s="13" t="s">
        <v>95</v>
      </c>
      <c r="D12" s="13" t="s">
        <v>93</v>
      </c>
      <c r="E12" s="14" t="n">
        <v>450</v>
      </c>
      <c r="F12" s="15" t="n">
        <v>405</v>
      </c>
      <c r="G12" s="15" t="n">
        <v>510</v>
      </c>
      <c r="H12" s="13" t="s">
        <v>71</v>
      </c>
      <c r="I12" s="16" t="s">
        <v>78</v>
      </c>
    </row>
    <row r="13" customFormat="false" ht="15" hidden="false" customHeight="false" outlineLevel="0" collapsed="false">
      <c r="A13" s="12" t="s">
        <v>96</v>
      </c>
      <c r="B13" s="13" t="s">
        <v>91</v>
      </c>
      <c r="C13" s="13" t="s">
        <v>97</v>
      </c>
      <c r="D13" s="13" t="s">
        <v>93</v>
      </c>
      <c r="E13" s="14" t="n">
        <v>450</v>
      </c>
      <c r="F13" s="15" t="n">
        <v>400</v>
      </c>
      <c r="G13" s="15" t="n">
        <v>570</v>
      </c>
      <c r="H13" s="13" t="s">
        <v>71</v>
      </c>
      <c r="I13" s="16" t="s">
        <v>78</v>
      </c>
    </row>
    <row r="14" customFormat="false" ht="28.35" hidden="false" customHeight="false" outlineLevel="0" collapsed="false">
      <c r="A14" s="12" t="s">
        <v>98</v>
      </c>
      <c r="B14" s="13" t="s">
        <v>91</v>
      </c>
      <c r="C14" s="13" t="s">
        <v>99</v>
      </c>
      <c r="D14" s="13" t="s">
        <v>93</v>
      </c>
      <c r="E14" s="14" t="n">
        <v>420</v>
      </c>
      <c r="F14" s="15" t="n">
        <v>400</v>
      </c>
      <c r="G14" s="15" t="n">
        <v>560</v>
      </c>
      <c r="H14" s="13" t="s">
        <v>88</v>
      </c>
      <c r="I14" s="16" t="s">
        <v>100</v>
      </c>
    </row>
    <row r="15" customFormat="false" ht="15" hidden="false" customHeight="false" outlineLevel="0" collapsed="false">
      <c r="A15" s="12" t="s">
        <v>101</v>
      </c>
      <c r="B15" s="13" t="s">
        <v>102</v>
      </c>
      <c r="C15" s="13" t="s">
        <v>103</v>
      </c>
      <c r="D15" s="13" t="s">
        <v>104</v>
      </c>
      <c r="E15" s="14" t="n">
        <v>5700</v>
      </c>
      <c r="F15" s="15" t="n">
        <v>4900</v>
      </c>
      <c r="G15" s="15" t="n">
        <v>6500</v>
      </c>
      <c r="H15" s="13" t="s">
        <v>71</v>
      </c>
      <c r="I15" s="16" t="s">
        <v>78</v>
      </c>
    </row>
    <row r="16" customFormat="false" ht="15" hidden="false" customHeight="false" outlineLevel="0" collapsed="false">
      <c r="A16" s="12" t="s">
        <v>105</v>
      </c>
      <c r="B16" s="13" t="s">
        <v>102</v>
      </c>
      <c r="C16" s="13" t="s">
        <v>106</v>
      </c>
      <c r="D16" s="13" t="s">
        <v>104</v>
      </c>
      <c r="E16" s="14" t="n">
        <v>3500</v>
      </c>
      <c r="F16" s="15" t="n">
        <v>2750</v>
      </c>
      <c r="G16" s="15" t="n">
        <v>4200</v>
      </c>
      <c r="H16" s="13" t="s">
        <v>71</v>
      </c>
      <c r="I16" s="16" t="s">
        <v>78</v>
      </c>
    </row>
    <row r="17" customFormat="false" ht="28.35" hidden="false" customHeight="false" outlineLevel="0" collapsed="false">
      <c r="A17" s="12" t="s">
        <v>107</v>
      </c>
      <c r="B17" s="13" t="s">
        <v>102</v>
      </c>
      <c r="C17" s="13" t="s">
        <v>108</v>
      </c>
      <c r="D17" s="13" t="s">
        <v>104</v>
      </c>
      <c r="E17" s="14" t="n">
        <v>5600</v>
      </c>
      <c r="F17" s="13"/>
      <c r="G17" s="13"/>
      <c r="H17" s="13" t="s">
        <v>88</v>
      </c>
      <c r="I17" s="16" t="s">
        <v>109</v>
      </c>
    </row>
    <row r="18" customFormat="false" ht="28.35" hidden="false" customHeight="false" outlineLevel="0" collapsed="false">
      <c r="A18" s="12" t="s">
        <v>110</v>
      </c>
      <c r="B18" s="13" t="s">
        <v>102</v>
      </c>
      <c r="C18" s="13" t="s">
        <v>111</v>
      </c>
      <c r="D18" s="13" t="s">
        <v>104</v>
      </c>
      <c r="E18" s="14" t="n">
        <v>45000</v>
      </c>
      <c r="F18" s="13"/>
      <c r="G18" s="13"/>
      <c r="H18" s="13" t="s">
        <v>88</v>
      </c>
      <c r="I18" s="16" t="s">
        <v>112</v>
      </c>
    </row>
    <row r="19" customFormat="false" ht="28.35" hidden="false" customHeight="false" outlineLevel="0" collapsed="false">
      <c r="A19" s="12" t="s">
        <v>113</v>
      </c>
      <c r="B19" s="13" t="s">
        <v>114</v>
      </c>
      <c r="C19" s="13" t="s">
        <v>115</v>
      </c>
      <c r="D19" s="13" t="s">
        <v>116</v>
      </c>
      <c r="E19" s="17" t="n">
        <v>20.5</v>
      </c>
      <c r="F19" s="13"/>
      <c r="G19" s="13"/>
      <c r="H19" s="13" t="s">
        <v>71</v>
      </c>
      <c r="I19" s="16" t="s">
        <v>117</v>
      </c>
    </row>
    <row r="20" customFormat="false" ht="15" hidden="false" customHeight="false" outlineLevel="0" collapsed="false">
      <c r="A20" s="12" t="s">
        <v>118</v>
      </c>
      <c r="B20" s="13" t="s">
        <v>114</v>
      </c>
      <c r="C20" s="13" t="s">
        <v>119</v>
      </c>
      <c r="D20" s="13" t="s">
        <v>116</v>
      </c>
      <c r="E20" s="17" t="n">
        <v>22.25</v>
      </c>
      <c r="F20" s="13"/>
      <c r="G20" s="13"/>
      <c r="H20" s="13" t="s">
        <v>71</v>
      </c>
      <c r="I20" s="16" t="s">
        <v>120</v>
      </c>
    </row>
    <row r="21" customFormat="false" ht="15" hidden="false" customHeight="false" outlineLevel="0" collapsed="false">
      <c r="A21" s="12" t="s">
        <v>121</v>
      </c>
      <c r="B21" s="13" t="s">
        <v>114</v>
      </c>
      <c r="C21" s="13" t="s">
        <v>122</v>
      </c>
      <c r="D21" s="13" t="s">
        <v>116</v>
      </c>
      <c r="E21" s="17" t="n">
        <v>24</v>
      </c>
      <c r="F21" s="13"/>
      <c r="G21" s="13"/>
      <c r="H21" s="13" t="s">
        <v>71</v>
      </c>
      <c r="I21" s="16" t="s">
        <v>120</v>
      </c>
    </row>
    <row r="22" customFormat="false" ht="15" hidden="false" customHeight="false" outlineLevel="0" collapsed="false">
      <c r="A22" s="12" t="s">
        <v>123</v>
      </c>
      <c r="B22" s="13" t="s">
        <v>124</v>
      </c>
      <c r="C22" s="13" t="s">
        <v>125</v>
      </c>
      <c r="D22" s="13" t="s">
        <v>126</v>
      </c>
      <c r="E22" s="14" t="n">
        <v>250</v>
      </c>
      <c r="F22" s="15" t="n">
        <v>150</v>
      </c>
      <c r="G22" s="15" t="n">
        <v>350</v>
      </c>
      <c r="H22" s="13" t="s">
        <v>71</v>
      </c>
      <c r="I22" s="16" t="s">
        <v>78</v>
      </c>
    </row>
    <row r="23" customFormat="false" ht="15" hidden="false" customHeight="false" outlineLevel="0" collapsed="false">
      <c r="A23" s="12" t="s">
        <v>127</v>
      </c>
      <c r="B23" s="13" t="s">
        <v>124</v>
      </c>
      <c r="C23" s="13" t="s">
        <v>128</v>
      </c>
      <c r="D23" s="13" t="s">
        <v>129</v>
      </c>
      <c r="E23" s="14" t="n">
        <v>800</v>
      </c>
      <c r="F23" s="15" t="n">
        <v>480</v>
      </c>
      <c r="G23" s="15" t="n">
        <v>1200</v>
      </c>
      <c r="H23" s="13" t="s">
        <v>71</v>
      </c>
      <c r="I23" s="16" t="s">
        <v>78</v>
      </c>
    </row>
    <row r="24" customFormat="false" ht="15" hidden="false" customHeight="false" outlineLevel="0" collapsed="false">
      <c r="A24" s="12" t="s">
        <v>130</v>
      </c>
      <c r="B24" s="13" t="s">
        <v>124</v>
      </c>
      <c r="C24" s="13" t="s">
        <v>131</v>
      </c>
      <c r="D24" s="13" t="s">
        <v>132</v>
      </c>
      <c r="E24" s="14" t="n">
        <v>195</v>
      </c>
      <c r="F24" s="13"/>
      <c r="G24" s="13"/>
      <c r="H24" s="13" t="s">
        <v>71</v>
      </c>
      <c r="I24" s="16" t="s">
        <v>78</v>
      </c>
    </row>
    <row r="25" customFormat="false" ht="28.35" hidden="false" customHeight="false" outlineLevel="0" collapsed="false">
      <c r="A25" s="12" t="s">
        <v>133</v>
      </c>
      <c r="B25" s="13" t="s">
        <v>134</v>
      </c>
      <c r="C25" s="13" t="s">
        <v>135</v>
      </c>
      <c r="D25" s="13" t="s">
        <v>70</v>
      </c>
      <c r="E25" s="14" t="n">
        <v>19000</v>
      </c>
      <c r="F25" s="13"/>
      <c r="G25" s="13"/>
      <c r="H25" s="13" t="s">
        <v>88</v>
      </c>
      <c r="I25" s="16" t="s">
        <v>136</v>
      </c>
    </row>
    <row r="26" customFormat="false" ht="28.35" hidden="false" customHeight="false" outlineLevel="0" collapsed="false">
      <c r="A26" s="12" t="s">
        <v>137</v>
      </c>
      <c r="B26" s="13" t="s">
        <v>134</v>
      </c>
      <c r="C26" s="13" t="s">
        <v>138</v>
      </c>
      <c r="D26" s="13" t="s">
        <v>70</v>
      </c>
      <c r="E26" s="14" t="n">
        <v>8500</v>
      </c>
      <c r="F26" s="13"/>
      <c r="G26" s="13"/>
      <c r="H26" s="13" t="s">
        <v>88</v>
      </c>
      <c r="I26" s="16" t="s">
        <v>139</v>
      </c>
    </row>
    <row r="27" customFormat="false" ht="28.35" hidden="false" customHeight="false" outlineLevel="0" collapsed="false">
      <c r="A27" s="12" t="s">
        <v>140</v>
      </c>
      <c r="B27" s="13" t="s">
        <v>141</v>
      </c>
      <c r="C27" s="13" t="s">
        <v>142</v>
      </c>
      <c r="D27" s="13" t="s">
        <v>126</v>
      </c>
      <c r="E27" s="14" t="n">
        <v>900</v>
      </c>
      <c r="F27" s="13"/>
      <c r="G27" s="13"/>
      <c r="H27" s="13" t="s">
        <v>88</v>
      </c>
      <c r="I27" s="16" t="s">
        <v>143</v>
      </c>
    </row>
    <row r="28" customFormat="false" ht="28.35" hidden="false" customHeight="false" outlineLevel="0" collapsed="false">
      <c r="A28" s="12" t="s">
        <v>144</v>
      </c>
      <c r="B28" s="13" t="s">
        <v>145</v>
      </c>
      <c r="C28" s="13" t="s">
        <v>146</v>
      </c>
      <c r="D28" s="13" t="s">
        <v>147</v>
      </c>
      <c r="E28" s="17" t="n">
        <v>40</v>
      </c>
      <c r="F28" s="13"/>
      <c r="G28" s="13"/>
      <c r="H28" s="13" t="s">
        <v>88</v>
      </c>
      <c r="I28" s="16" t="s">
        <v>148</v>
      </c>
    </row>
    <row r="29" customFormat="false" ht="28.35" hidden="false" customHeight="false" outlineLevel="0" collapsed="false">
      <c r="A29" s="12" t="s">
        <v>149</v>
      </c>
      <c r="B29" s="13" t="s">
        <v>150</v>
      </c>
      <c r="C29" s="13" t="s">
        <v>151</v>
      </c>
      <c r="D29" s="13" t="s">
        <v>126</v>
      </c>
      <c r="E29" s="14" t="n">
        <v>220</v>
      </c>
      <c r="F29" s="15" t="n">
        <v>150</v>
      </c>
      <c r="G29" s="15" t="n">
        <v>350</v>
      </c>
      <c r="H29" s="13" t="s">
        <v>88</v>
      </c>
      <c r="I29" s="16" t="s">
        <v>152</v>
      </c>
    </row>
    <row r="30" customFormat="false" ht="28.35" hidden="false" customHeight="false" outlineLevel="0" collapsed="false">
      <c r="A30" s="18" t="s">
        <v>153</v>
      </c>
      <c r="B30" s="19" t="s">
        <v>154</v>
      </c>
      <c r="C30" s="19" t="s">
        <v>155</v>
      </c>
      <c r="D30" s="19" t="s">
        <v>93</v>
      </c>
      <c r="E30" s="20" t="n">
        <f aca="false">'Concrete Mix Calculator'!$K$5</f>
        <v>1970</v>
      </c>
      <c r="F30" s="19"/>
      <c r="G30" s="19"/>
      <c r="H30" s="19" t="s">
        <v>156</v>
      </c>
      <c r="I30" s="16" t="s">
        <v>157</v>
      </c>
    </row>
    <row r="31" customFormat="false" ht="28.35" hidden="false" customHeight="false" outlineLevel="0" collapsed="false">
      <c r="A31" s="18" t="s">
        <v>158</v>
      </c>
      <c r="B31" s="19" t="s">
        <v>154</v>
      </c>
      <c r="C31" s="19" t="s">
        <v>159</v>
      </c>
      <c r="D31" s="19" t="s">
        <v>93</v>
      </c>
      <c r="E31" s="20" t="n">
        <f aca="false">'Concrete Mix Calculator'!$K$6</f>
        <v>2133</v>
      </c>
      <c r="F31" s="19"/>
      <c r="G31" s="19"/>
      <c r="H31" s="19" t="s">
        <v>156</v>
      </c>
      <c r="I31" s="16" t="s">
        <v>157</v>
      </c>
    </row>
    <row r="32" customFormat="false" ht="28.35" hidden="false" customHeight="false" outlineLevel="0" collapsed="false">
      <c r="A32" s="18" t="s">
        <v>160</v>
      </c>
      <c r="B32" s="19" t="s">
        <v>154</v>
      </c>
      <c r="C32" s="19" t="s">
        <v>161</v>
      </c>
      <c r="D32" s="19" t="s">
        <v>93</v>
      </c>
      <c r="E32" s="20" t="n">
        <f aca="false">'Concrete Mix Calculator'!$K$7</f>
        <v>2296</v>
      </c>
      <c r="F32" s="19"/>
      <c r="G32" s="19"/>
      <c r="H32" s="19" t="s">
        <v>156</v>
      </c>
      <c r="I32" s="16" t="s">
        <v>157</v>
      </c>
    </row>
    <row r="33" customFormat="false" ht="28.35" hidden="false" customHeight="false" outlineLevel="0" collapsed="false">
      <c r="A33" s="18" t="s">
        <v>162</v>
      </c>
      <c r="B33" s="19" t="s">
        <v>154</v>
      </c>
      <c r="C33" s="19" t="s">
        <v>163</v>
      </c>
      <c r="D33" s="19" t="s">
        <v>93</v>
      </c>
      <c r="E33" s="20" t="n">
        <f aca="false">'Concrete Mix Calculator'!$K$8</f>
        <v>2387.5</v>
      </c>
      <c r="F33" s="19"/>
      <c r="G33" s="19"/>
      <c r="H33" s="19" t="s">
        <v>156</v>
      </c>
      <c r="I33" s="16" t="s">
        <v>157</v>
      </c>
    </row>
    <row r="34" customFormat="false" ht="28.35" hidden="false" customHeight="false" outlineLevel="0" collapsed="false">
      <c r="A34" s="18" t="s">
        <v>164</v>
      </c>
      <c r="B34" s="19" t="s">
        <v>154</v>
      </c>
      <c r="C34" s="19" t="s">
        <v>165</v>
      </c>
      <c r="D34" s="19" t="s">
        <v>93</v>
      </c>
      <c r="E34" s="20" t="n">
        <f aca="false">'Concrete Mix Calculator'!$K$9</f>
        <v>2445.5</v>
      </c>
      <c r="F34" s="19"/>
      <c r="G34" s="19"/>
      <c r="H34" s="19" t="s">
        <v>156</v>
      </c>
      <c r="I34" s="16" t="s">
        <v>157</v>
      </c>
    </row>
    <row r="35" customFormat="false" ht="28.35" hidden="false" customHeight="false" outlineLevel="0" collapsed="false">
      <c r="A35" s="18" t="s">
        <v>166</v>
      </c>
      <c r="B35" s="19" t="s">
        <v>154</v>
      </c>
      <c r="C35" s="19" t="s">
        <v>167</v>
      </c>
      <c r="D35" s="19" t="s">
        <v>93</v>
      </c>
      <c r="E35" s="20" t="n">
        <f aca="false">'Concrete Mix Calculator'!$K$10</f>
        <v>2522.5</v>
      </c>
      <c r="F35" s="19"/>
      <c r="G35" s="19"/>
      <c r="H35" s="19" t="s">
        <v>156</v>
      </c>
      <c r="I35" s="16" t="s">
        <v>157</v>
      </c>
    </row>
    <row r="36" customFormat="false" ht="28.35" hidden="false" customHeight="false" outlineLevel="0" collapsed="false">
      <c r="A36" s="18" t="s">
        <v>168</v>
      </c>
      <c r="B36" s="19" t="s">
        <v>154</v>
      </c>
      <c r="C36" s="19" t="s">
        <v>169</v>
      </c>
      <c r="D36" s="19" t="s">
        <v>93</v>
      </c>
      <c r="E36" s="20" t="n">
        <f aca="false">'Concrete Mix Calculator'!$K$11</f>
        <v>2599.5</v>
      </c>
      <c r="F36" s="19"/>
      <c r="G36" s="19"/>
      <c r="H36" s="19" t="s">
        <v>156</v>
      </c>
      <c r="I36" s="16" t="s">
        <v>157</v>
      </c>
    </row>
    <row r="37" customFormat="false" ht="28.35" hidden="false" customHeight="false" outlineLevel="0" collapsed="false">
      <c r="A37" s="18" t="s">
        <v>170</v>
      </c>
      <c r="B37" s="19" t="s">
        <v>154</v>
      </c>
      <c r="C37" s="19" t="s">
        <v>171</v>
      </c>
      <c r="D37" s="19" t="s">
        <v>93</v>
      </c>
      <c r="E37" s="20" t="n">
        <f aca="false">'Concrete Mix Calculator'!$K$12</f>
        <v>2676.5</v>
      </c>
      <c r="F37" s="19"/>
      <c r="G37" s="19"/>
      <c r="H37" s="19" t="s">
        <v>156</v>
      </c>
      <c r="I37" s="16" t="s">
        <v>157</v>
      </c>
    </row>
  </sheetData>
  <mergeCells count="2">
    <mergeCell ref="A1:I1"/>
    <mergeCell ref="A2:I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5395"/>
    <pageSetUpPr fitToPage="false"/>
  </sheetPr>
  <dimension ref="A1:K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30"/>
    <col collapsed="false" customWidth="true" hidden="false" outlineLevel="0" max="3" min="3" style="0" width="14"/>
    <col collapsed="false" customWidth="true" hidden="false" outlineLevel="0" max="5" min="4" style="0" width="12"/>
    <col collapsed="false" customWidth="true" hidden="false" outlineLevel="0" max="8" min="6" style="0" width="14"/>
    <col collapsed="false" customWidth="true" hidden="false" outlineLevel="0" max="9" min="9" style="0" width="16"/>
    <col collapsed="false" customWidth="true" hidden="false" outlineLevel="0" max="10" min="10" style="0" width="18"/>
    <col collapsed="false" customWidth="true" hidden="false" outlineLevel="0" max="11" min="11" style="0" width="16"/>
  </cols>
  <sheetData>
    <row r="1" customFormat="false" ht="31.5" hidden="false" customHeight="true" outlineLevel="0" collapsed="false">
      <c r="A1" s="1" t="s">
        <v>172</v>
      </c>
      <c r="B1" s="1"/>
      <c r="C1" s="1"/>
      <c r="D1" s="1"/>
      <c r="E1" s="1"/>
      <c r="F1" s="1"/>
      <c r="G1" s="1"/>
      <c r="H1" s="1"/>
      <c r="I1" s="1"/>
      <c r="J1" s="1"/>
      <c r="K1" s="1"/>
    </row>
    <row r="2" customFormat="false" ht="18" hidden="false" customHeight="true" outlineLevel="0" collapsed="false">
      <c r="A2" s="2" t="s">
        <v>173</v>
      </c>
      <c r="B2" s="2"/>
      <c r="C2" s="2"/>
      <c r="D2" s="2"/>
      <c r="E2" s="2"/>
      <c r="F2" s="2"/>
      <c r="G2" s="2"/>
      <c r="H2" s="2"/>
      <c r="I2" s="2"/>
      <c r="J2" s="2"/>
      <c r="K2" s="2"/>
    </row>
    <row r="4" customFormat="false" ht="31.5" hidden="false" customHeight="true" outlineLevel="0" collapsed="false">
      <c r="A4" s="11" t="s">
        <v>174</v>
      </c>
      <c r="B4" s="11" t="s">
        <v>175</v>
      </c>
      <c r="C4" s="11" t="s">
        <v>176</v>
      </c>
      <c r="D4" s="11" t="s">
        <v>177</v>
      </c>
      <c r="E4" s="11" t="s">
        <v>178</v>
      </c>
      <c r="F4" s="11" t="s">
        <v>179</v>
      </c>
      <c r="G4" s="11" t="s">
        <v>180</v>
      </c>
      <c r="H4" s="11" t="s">
        <v>181</v>
      </c>
      <c r="I4" s="11" t="s">
        <v>182</v>
      </c>
      <c r="J4" s="11" t="s">
        <v>183</v>
      </c>
      <c r="K4" s="11" t="s">
        <v>184</v>
      </c>
    </row>
    <row r="5" customFormat="false" ht="15" hidden="false" customHeight="false" outlineLevel="0" collapsed="false">
      <c r="A5" s="18" t="s">
        <v>185</v>
      </c>
      <c r="B5" s="19" t="s">
        <v>186</v>
      </c>
      <c r="C5" s="21" t="n">
        <v>250</v>
      </c>
      <c r="D5" s="22" t="n">
        <v>0.55</v>
      </c>
      <c r="E5" s="22" t="n">
        <v>0.85</v>
      </c>
      <c r="F5" s="23" t="n">
        <f aca="false">C5/1000*'Fixed Material Prices'!$E$5</f>
        <v>950</v>
      </c>
      <c r="G5" s="23" t="n">
        <f aca="false">D5*'Fixed Material Prices'!$E$12</f>
        <v>247.5</v>
      </c>
      <c r="H5" s="23" t="n">
        <f aca="false">E5*'Fixed Material Prices'!$E$13</f>
        <v>382.5</v>
      </c>
      <c r="I5" s="20" t="n">
        <f aca="false">'Fixed Material Prices'!$E$28</f>
        <v>40</v>
      </c>
      <c r="J5" s="17" t="n">
        <v>350</v>
      </c>
      <c r="K5" s="24" t="n">
        <f aca="false">SUM(F5:J5)</f>
        <v>1970</v>
      </c>
    </row>
    <row r="6" customFormat="false" ht="15" hidden="false" customHeight="false" outlineLevel="0" collapsed="false">
      <c r="A6" s="18" t="s">
        <v>187</v>
      </c>
      <c r="B6" s="19" t="s">
        <v>159</v>
      </c>
      <c r="C6" s="21" t="n">
        <v>300</v>
      </c>
      <c r="D6" s="22" t="n">
        <v>0.52</v>
      </c>
      <c r="E6" s="22" t="n">
        <v>0.82</v>
      </c>
      <c r="F6" s="23" t="n">
        <f aca="false">C6/1000*'Fixed Material Prices'!$E$5</f>
        <v>1140</v>
      </c>
      <c r="G6" s="23" t="n">
        <f aca="false">D6*'Fixed Material Prices'!$E$12</f>
        <v>234</v>
      </c>
      <c r="H6" s="23" t="n">
        <f aca="false">E6*'Fixed Material Prices'!$E$13</f>
        <v>369</v>
      </c>
      <c r="I6" s="20" t="n">
        <f aca="false">'Fixed Material Prices'!$E$28</f>
        <v>40</v>
      </c>
      <c r="J6" s="17" t="n">
        <v>350</v>
      </c>
      <c r="K6" s="24" t="n">
        <f aca="false">SUM(F6:J6)</f>
        <v>2133</v>
      </c>
    </row>
    <row r="7" customFormat="false" ht="15" hidden="false" customHeight="false" outlineLevel="0" collapsed="false">
      <c r="A7" s="18" t="s">
        <v>188</v>
      </c>
      <c r="B7" s="19" t="s">
        <v>161</v>
      </c>
      <c r="C7" s="21" t="n">
        <v>350</v>
      </c>
      <c r="D7" s="22" t="n">
        <v>0.48</v>
      </c>
      <c r="E7" s="22" t="n">
        <v>0.8</v>
      </c>
      <c r="F7" s="23" t="n">
        <f aca="false">C7/1000*'Fixed Material Prices'!$E$5</f>
        <v>1330</v>
      </c>
      <c r="G7" s="23" t="n">
        <f aca="false">D7*'Fixed Material Prices'!$E$12</f>
        <v>216</v>
      </c>
      <c r="H7" s="23" t="n">
        <f aca="false">E7*'Fixed Material Prices'!$E$13</f>
        <v>360</v>
      </c>
      <c r="I7" s="20" t="n">
        <f aca="false">'Fixed Material Prices'!$E$28</f>
        <v>40</v>
      </c>
      <c r="J7" s="17" t="n">
        <v>350</v>
      </c>
      <c r="K7" s="24" t="n">
        <f aca="false">SUM(F7:J7)</f>
        <v>2296</v>
      </c>
    </row>
    <row r="8" customFormat="false" ht="15" hidden="false" customHeight="false" outlineLevel="0" collapsed="false">
      <c r="A8" s="18" t="s">
        <v>189</v>
      </c>
      <c r="B8" s="19" t="s">
        <v>163</v>
      </c>
      <c r="C8" s="21" t="n">
        <v>380</v>
      </c>
      <c r="D8" s="22" t="n">
        <v>0.45</v>
      </c>
      <c r="E8" s="22" t="n">
        <v>0.78</v>
      </c>
      <c r="F8" s="23" t="n">
        <f aca="false">C8/1000*'Fixed Material Prices'!$E$5</f>
        <v>1444</v>
      </c>
      <c r="G8" s="23" t="n">
        <f aca="false">D8*'Fixed Material Prices'!$E$12</f>
        <v>202.5</v>
      </c>
      <c r="H8" s="23" t="n">
        <f aca="false">E8*'Fixed Material Prices'!$E$13</f>
        <v>351</v>
      </c>
      <c r="I8" s="20" t="n">
        <f aca="false">'Fixed Material Prices'!$E$28</f>
        <v>40</v>
      </c>
      <c r="J8" s="17" t="n">
        <v>350</v>
      </c>
      <c r="K8" s="24" t="n">
        <f aca="false">SUM(F8:J8)</f>
        <v>2387.5</v>
      </c>
    </row>
    <row r="9" customFormat="false" ht="15" hidden="false" customHeight="false" outlineLevel="0" collapsed="false">
      <c r="A9" s="18" t="s">
        <v>190</v>
      </c>
      <c r="B9" s="19" t="s">
        <v>165</v>
      </c>
      <c r="C9" s="21" t="n">
        <v>400</v>
      </c>
      <c r="D9" s="22" t="n">
        <v>0.43</v>
      </c>
      <c r="E9" s="22" t="n">
        <v>0.76</v>
      </c>
      <c r="F9" s="23" t="n">
        <f aca="false">C9/1000*'Fixed Material Prices'!$E$5</f>
        <v>1520</v>
      </c>
      <c r="G9" s="23" t="n">
        <f aca="false">D9*'Fixed Material Prices'!$E$12</f>
        <v>193.5</v>
      </c>
      <c r="H9" s="23" t="n">
        <f aca="false">E9*'Fixed Material Prices'!$E$13</f>
        <v>342</v>
      </c>
      <c r="I9" s="20" t="n">
        <f aca="false">'Fixed Material Prices'!$E$28</f>
        <v>40</v>
      </c>
      <c r="J9" s="17" t="n">
        <v>350</v>
      </c>
      <c r="K9" s="24" t="n">
        <f aca="false">SUM(F9:J9)</f>
        <v>2445.5</v>
      </c>
    </row>
    <row r="10" customFormat="false" ht="15" hidden="false" customHeight="false" outlineLevel="0" collapsed="false">
      <c r="A10" s="18" t="s">
        <v>191</v>
      </c>
      <c r="B10" s="19" t="s">
        <v>192</v>
      </c>
      <c r="C10" s="21" t="n">
        <v>425</v>
      </c>
      <c r="D10" s="22" t="n">
        <v>0.4</v>
      </c>
      <c r="E10" s="22" t="n">
        <v>0.75</v>
      </c>
      <c r="F10" s="23" t="n">
        <f aca="false">C10/1000*'Fixed Material Prices'!$E$5</f>
        <v>1615</v>
      </c>
      <c r="G10" s="23" t="n">
        <f aca="false">D10*'Fixed Material Prices'!$E$12</f>
        <v>180</v>
      </c>
      <c r="H10" s="23" t="n">
        <f aca="false">E10*'Fixed Material Prices'!$E$13</f>
        <v>337.5</v>
      </c>
      <c r="I10" s="20" t="n">
        <f aca="false">'Fixed Material Prices'!$E$28</f>
        <v>40</v>
      </c>
      <c r="J10" s="17" t="n">
        <v>350</v>
      </c>
      <c r="K10" s="24" t="n">
        <f aca="false">SUM(F10:J10)</f>
        <v>2522.5</v>
      </c>
    </row>
    <row r="11" customFormat="false" ht="15" hidden="false" customHeight="false" outlineLevel="0" collapsed="false">
      <c r="A11" s="18" t="s">
        <v>193</v>
      </c>
      <c r="B11" s="19" t="s">
        <v>194</v>
      </c>
      <c r="C11" s="21" t="n">
        <v>450</v>
      </c>
      <c r="D11" s="22" t="n">
        <v>0.38</v>
      </c>
      <c r="E11" s="22" t="n">
        <v>0.73</v>
      </c>
      <c r="F11" s="23" t="n">
        <f aca="false">C11/1000*'Fixed Material Prices'!$E$5</f>
        <v>1710</v>
      </c>
      <c r="G11" s="23" t="n">
        <f aca="false">D11*'Fixed Material Prices'!$E$12</f>
        <v>171</v>
      </c>
      <c r="H11" s="23" t="n">
        <f aca="false">E11*'Fixed Material Prices'!$E$13</f>
        <v>328.5</v>
      </c>
      <c r="I11" s="20" t="n">
        <f aca="false">'Fixed Material Prices'!$E$28</f>
        <v>40</v>
      </c>
      <c r="J11" s="17" t="n">
        <v>350</v>
      </c>
      <c r="K11" s="24" t="n">
        <f aca="false">SUM(F11:J11)</f>
        <v>2599.5</v>
      </c>
    </row>
    <row r="12" customFormat="false" ht="15" hidden="false" customHeight="false" outlineLevel="0" collapsed="false">
      <c r="A12" s="18" t="s">
        <v>195</v>
      </c>
      <c r="B12" s="19" t="s">
        <v>196</v>
      </c>
      <c r="C12" s="21" t="n">
        <v>475</v>
      </c>
      <c r="D12" s="22" t="n">
        <v>0.36</v>
      </c>
      <c r="E12" s="22" t="n">
        <v>0.71</v>
      </c>
      <c r="F12" s="23" t="n">
        <f aca="false">C12/1000*'Fixed Material Prices'!$E$5</f>
        <v>1805</v>
      </c>
      <c r="G12" s="23" t="n">
        <f aca="false">D12*'Fixed Material Prices'!$E$12</f>
        <v>162</v>
      </c>
      <c r="H12" s="23" t="n">
        <f aca="false">E12*'Fixed Material Prices'!$E$13</f>
        <v>319.5</v>
      </c>
      <c r="I12" s="20" t="n">
        <f aca="false">'Fixed Material Prices'!$E$28</f>
        <v>40</v>
      </c>
      <c r="J12" s="17" t="n">
        <v>350</v>
      </c>
      <c r="K12" s="24" t="n">
        <f aca="false">SUM(F12:J12)</f>
        <v>2676.5</v>
      </c>
    </row>
    <row r="14" customFormat="false" ht="54.75" hidden="false" customHeight="true" outlineLevel="0" collapsed="false">
      <c r="A14" s="4" t="s">
        <v>197</v>
      </c>
      <c r="B14" s="4"/>
      <c r="C14" s="4"/>
      <c r="D14" s="4"/>
      <c r="E14" s="4"/>
      <c r="F14" s="4"/>
      <c r="G14" s="4"/>
      <c r="H14" s="4"/>
      <c r="I14" s="4"/>
      <c r="J14" s="4"/>
      <c r="K14" s="4"/>
    </row>
    <row r="15" customFormat="false" ht="15" hidden="false" customHeight="false" outlineLevel="0" collapsed="false">
      <c r="A15" s="4"/>
      <c r="B15" s="4"/>
      <c r="C15" s="4"/>
      <c r="D15" s="4"/>
      <c r="E15" s="4"/>
      <c r="F15" s="4"/>
      <c r="G15" s="4"/>
      <c r="H15" s="4"/>
      <c r="I15" s="4"/>
      <c r="J15" s="4"/>
      <c r="K15" s="4"/>
    </row>
    <row r="16" customFormat="false" ht="15" hidden="false" customHeight="false" outlineLevel="0" collapsed="false">
      <c r="A16" s="4"/>
      <c r="B16" s="4"/>
      <c r="C16" s="4"/>
      <c r="D16" s="4"/>
      <c r="E16" s="4"/>
      <c r="F16" s="4"/>
      <c r="G16" s="4"/>
      <c r="H16" s="4"/>
      <c r="I16" s="4"/>
      <c r="J16" s="4"/>
      <c r="K16" s="4"/>
    </row>
  </sheetData>
  <mergeCells count="3">
    <mergeCell ref="A1:K1"/>
    <mergeCell ref="A2:K2"/>
    <mergeCell ref="A14:K1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5395"/>
    <pageSetUpPr fitToPage="false"/>
  </sheetPr>
  <dimension ref="A1:G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30"/>
    <col collapsed="false" customWidth="true" hidden="false" outlineLevel="0" max="3" min="3" style="0" width="12"/>
    <col collapsed="false" customWidth="true" hidden="false" outlineLevel="0" max="6" min="4" style="0" width="14"/>
    <col collapsed="false" customWidth="true" hidden="false" outlineLevel="0" max="7" min="7" style="0" width="40"/>
  </cols>
  <sheetData>
    <row r="1" customFormat="false" ht="31.5" hidden="false" customHeight="true" outlineLevel="0" collapsed="false">
      <c r="A1" s="1" t="s">
        <v>198</v>
      </c>
      <c r="B1" s="1"/>
      <c r="C1" s="1"/>
      <c r="D1" s="1"/>
      <c r="E1" s="1"/>
      <c r="F1" s="1"/>
      <c r="G1" s="1"/>
    </row>
    <row r="2" customFormat="false" ht="18" hidden="false" customHeight="true" outlineLevel="0" collapsed="false">
      <c r="A2" s="2" t="s">
        <v>199</v>
      </c>
      <c r="B2" s="2"/>
      <c r="C2" s="2"/>
      <c r="D2" s="2"/>
      <c r="E2" s="2"/>
      <c r="F2" s="2"/>
      <c r="G2" s="2"/>
    </row>
    <row r="4" customFormat="false" ht="15" hidden="false" customHeight="false" outlineLevel="0" collapsed="false">
      <c r="A4" s="25" t="s">
        <v>200</v>
      </c>
      <c r="B4" s="25"/>
      <c r="C4" s="25"/>
      <c r="D4" s="25"/>
      <c r="E4" s="25"/>
      <c r="F4" s="25"/>
      <c r="G4" s="25"/>
    </row>
    <row r="5" customFormat="false" ht="31.5" hidden="false" customHeight="true" outlineLevel="0" collapsed="false">
      <c r="A5" s="11" t="s">
        <v>58</v>
      </c>
      <c r="B5" s="11" t="s">
        <v>201</v>
      </c>
      <c r="C5" s="11" t="s">
        <v>61</v>
      </c>
      <c r="D5" s="11" t="s">
        <v>202</v>
      </c>
      <c r="E5" s="11" t="s">
        <v>203</v>
      </c>
      <c r="F5" s="11" t="s">
        <v>204</v>
      </c>
      <c r="G5" s="11" t="s">
        <v>66</v>
      </c>
    </row>
    <row r="6" customFormat="false" ht="15" hidden="false" customHeight="false" outlineLevel="0" collapsed="false">
      <c r="A6" s="12" t="s">
        <v>205</v>
      </c>
      <c r="B6" s="13" t="s">
        <v>206</v>
      </c>
      <c r="C6" s="13" t="s">
        <v>207</v>
      </c>
      <c r="D6" s="15" t="n">
        <v>1000</v>
      </c>
      <c r="E6" s="15" t="n">
        <v>1700</v>
      </c>
      <c r="F6" s="14" t="n">
        <v>1350</v>
      </c>
      <c r="G6" s="16" t="s">
        <v>208</v>
      </c>
    </row>
    <row r="7" customFormat="false" ht="15" hidden="false" customHeight="false" outlineLevel="0" collapsed="false">
      <c r="A7" s="12" t="s">
        <v>209</v>
      </c>
      <c r="B7" s="13" t="s">
        <v>210</v>
      </c>
      <c r="C7" s="13" t="s">
        <v>207</v>
      </c>
      <c r="D7" s="15" t="n">
        <v>600</v>
      </c>
      <c r="E7" s="15" t="n">
        <v>900</v>
      </c>
      <c r="F7" s="14" t="n">
        <v>750</v>
      </c>
      <c r="G7" s="16" t="s">
        <v>208</v>
      </c>
    </row>
    <row r="8" customFormat="false" ht="15" hidden="false" customHeight="false" outlineLevel="0" collapsed="false">
      <c r="A8" s="12" t="s">
        <v>211</v>
      </c>
      <c r="B8" s="13" t="s">
        <v>212</v>
      </c>
      <c r="C8" s="13" t="s">
        <v>207</v>
      </c>
      <c r="D8" s="15" t="n">
        <v>900</v>
      </c>
      <c r="E8" s="15" t="n">
        <v>1500</v>
      </c>
      <c r="F8" s="14" t="n">
        <v>1200</v>
      </c>
      <c r="G8" s="16" t="s">
        <v>208</v>
      </c>
    </row>
    <row r="9" customFormat="false" ht="15" hidden="false" customHeight="false" outlineLevel="0" collapsed="false">
      <c r="A9" s="12" t="s">
        <v>213</v>
      </c>
      <c r="B9" s="13" t="s">
        <v>214</v>
      </c>
      <c r="C9" s="13" t="s">
        <v>207</v>
      </c>
      <c r="D9" s="15" t="n">
        <v>500</v>
      </c>
      <c r="E9" s="15" t="n">
        <v>800</v>
      </c>
      <c r="F9" s="14" t="n">
        <v>650</v>
      </c>
      <c r="G9" s="16" t="s">
        <v>208</v>
      </c>
    </row>
    <row r="10" customFormat="false" ht="15" hidden="false" customHeight="false" outlineLevel="0" collapsed="false">
      <c r="A10" s="12" t="s">
        <v>215</v>
      </c>
      <c r="B10" s="13" t="s">
        <v>216</v>
      </c>
      <c r="C10" s="13" t="s">
        <v>207</v>
      </c>
      <c r="D10" s="15" t="n">
        <v>800</v>
      </c>
      <c r="E10" s="15" t="n">
        <v>1400</v>
      </c>
      <c r="F10" s="14" t="n">
        <v>1100</v>
      </c>
      <c r="G10" s="16" t="s">
        <v>208</v>
      </c>
    </row>
    <row r="11" customFormat="false" ht="15" hidden="false" customHeight="false" outlineLevel="0" collapsed="false">
      <c r="A11" s="12" t="s">
        <v>217</v>
      </c>
      <c r="B11" s="13" t="s">
        <v>218</v>
      </c>
      <c r="C11" s="13" t="s">
        <v>207</v>
      </c>
      <c r="D11" s="15" t="n">
        <v>400</v>
      </c>
      <c r="E11" s="15" t="n">
        <v>700</v>
      </c>
      <c r="F11" s="14" t="n">
        <v>550</v>
      </c>
      <c r="G11" s="16" t="s">
        <v>208</v>
      </c>
    </row>
    <row r="12" customFormat="false" ht="28.35" hidden="false" customHeight="false" outlineLevel="0" collapsed="false">
      <c r="A12" s="12" t="s">
        <v>219</v>
      </c>
      <c r="B12" s="13" t="s">
        <v>220</v>
      </c>
      <c r="C12" s="13" t="s">
        <v>207</v>
      </c>
      <c r="D12" s="15" t="n">
        <v>900</v>
      </c>
      <c r="E12" s="15" t="n">
        <v>1400</v>
      </c>
      <c r="F12" s="14" t="n">
        <v>1150</v>
      </c>
      <c r="G12" s="16" t="s">
        <v>221</v>
      </c>
    </row>
    <row r="13" customFormat="false" ht="15" hidden="false" customHeight="false" outlineLevel="0" collapsed="false">
      <c r="A13" s="12" t="s">
        <v>222</v>
      </c>
      <c r="B13" s="13" t="s">
        <v>223</v>
      </c>
      <c r="C13" s="13" t="s">
        <v>207</v>
      </c>
      <c r="D13" s="15" t="n">
        <v>400</v>
      </c>
      <c r="E13" s="15" t="n">
        <v>650</v>
      </c>
      <c r="F13" s="14" t="n">
        <v>525</v>
      </c>
      <c r="G13" s="16" t="s">
        <v>224</v>
      </c>
    </row>
    <row r="14" customFormat="false" ht="15" hidden="false" customHeight="false" outlineLevel="0" collapsed="false">
      <c r="A14" s="12" t="s">
        <v>225</v>
      </c>
      <c r="B14" s="13" t="s">
        <v>226</v>
      </c>
      <c r="C14" s="13" t="s">
        <v>207</v>
      </c>
      <c r="D14" s="15" t="n">
        <v>1500</v>
      </c>
      <c r="E14" s="15" t="n">
        <v>2500</v>
      </c>
      <c r="F14" s="14" t="n">
        <v>2000</v>
      </c>
      <c r="G14" s="16" t="s">
        <v>224</v>
      </c>
    </row>
    <row r="15" customFormat="false" ht="15" hidden="false" customHeight="false" outlineLevel="0" collapsed="false">
      <c r="A15" s="12" t="s">
        <v>227</v>
      </c>
      <c r="B15" s="13" t="s">
        <v>228</v>
      </c>
      <c r="C15" s="13" t="s">
        <v>229</v>
      </c>
      <c r="D15" s="15" t="n">
        <v>15000</v>
      </c>
      <c r="E15" s="15" t="n">
        <v>25000</v>
      </c>
      <c r="F15" s="14" t="n">
        <v>20000</v>
      </c>
      <c r="G15" s="16" t="s">
        <v>224</v>
      </c>
    </row>
    <row r="17" customFormat="false" ht="15" hidden="false" customHeight="false" outlineLevel="0" collapsed="false">
      <c r="A17" s="25" t="s">
        <v>230</v>
      </c>
      <c r="B17" s="25"/>
      <c r="C17" s="25"/>
      <c r="D17" s="25"/>
      <c r="E17" s="25"/>
      <c r="F17" s="25"/>
      <c r="G17" s="25"/>
    </row>
    <row r="18" customFormat="false" ht="31.5" hidden="false" customHeight="true" outlineLevel="0" collapsed="false">
      <c r="A18" s="11" t="s">
        <v>58</v>
      </c>
      <c r="B18" s="11" t="s">
        <v>231</v>
      </c>
      <c r="C18" s="11" t="s">
        <v>61</v>
      </c>
      <c r="D18" s="11" t="s">
        <v>202</v>
      </c>
      <c r="E18" s="11" t="s">
        <v>203</v>
      </c>
      <c r="F18" s="11" t="s">
        <v>204</v>
      </c>
      <c r="G18" s="11" t="s">
        <v>66</v>
      </c>
    </row>
    <row r="19" customFormat="false" ht="28.35" hidden="false" customHeight="false" outlineLevel="0" collapsed="false">
      <c r="A19" s="12" t="s">
        <v>232</v>
      </c>
      <c r="B19" s="13" t="s">
        <v>233</v>
      </c>
      <c r="C19" s="13" t="s">
        <v>207</v>
      </c>
      <c r="D19" s="15" t="n">
        <v>3000</v>
      </c>
      <c r="E19" s="15" t="n">
        <v>6000</v>
      </c>
      <c r="F19" s="14" t="n">
        <v>4500</v>
      </c>
      <c r="G19" s="16" t="s">
        <v>234</v>
      </c>
    </row>
    <row r="20" customFormat="false" ht="15" hidden="false" customHeight="false" outlineLevel="0" collapsed="false">
      <c r="A20" s="12" t="s">
        <v>235</v>
      </c>
      <c r="B20" s="13" t="s">
        <v>236</v>
      </c>
      <c r="C20" s="13" t="s">
        <v>207</v>
      </c>
      <c r="D20" s="15" t="n">
        <v>8000</v>
      </c>
      <c r="E20" s="15" t="n">
        <v>15000</v>
      </c>
      <c r="F20" s="14" t="n">
        <v>11500</v>
      </c>
      <c r="G20" s="16" t="s">
        <v>237</v>
      </c>
    </row>
    <row r="21" customFormat="false" ht="15" hidden="false" customHeight="false" outlineLevel="0" collapsed="false">
      <c r="A21" s="12" t="s">
        <v>238</v>
      </c>
      <c r="B21" s="13" t="s">
        <v>239</v>
      </c>
      <c r="C21" s="13" t="s">
        <v>229</v>
      </c>
      <c r="D21" s="15" t="n">
        <v>60000</v>
      </c>
      <c r="E21" s="15" t="n">
        <v>120000</v>
      </c>
      <c r="F21" s="14" t="n">
        <v>90000</v>
      </c>
      <c r="G21" s="16" t="s">
        <v>237</v>
      </c>
    </row>
    <row r="22" customFormat="false" ht="15" hidden="false" customHeight="false" outlineLevel="0" collapsed="false">
      <c r="A22" s="12" t="s">
        <v>240</v>
      </c>
      <c r="B22" s="13" t="s">
        <v>241</v>
      </c>
      <c r="C22" s="13" t="s">
        <v>207</v>
      </c>
      <c r="D22" s="15" t="n">
        <v>3500</v>
      </c>
      <c r="E22" s="15" t="n">
        <v>6000</v>
      </c>
      <c r="F22" s="14" t="n">
        <v>4750</v>
      </c>
      <c r="G22" s="16" t="s">
        <v>237</v>
      </c>
    </row>
    <row r="23" customFormat="false" ht="15" hidden="false" customHeight="false" outlineLevel="0" collapsed="false">
      <c r="A23" s="12" t="s">
        <v>242</v>
      </c>
      <c r="B23" s="13" t="s">
        <v>243</v>
      </c>
      <c r="C23" s="13" t="s">
        <v>207</v>
      </c>
      <c r="D23" s="15" t="n">
        <v>4000</v>
      </c>
      <c r="E23" s="15" t="n">
        <v>7000</v>
      </c>
      <c r="F23" s="14" t="n">
        <v>5500</v>
      </c>
      <c r="G23" s="16" t="s">
        <v>237</v>
      </c>
    </row>
    <row r="24" customFormat="false" ht="15" hidden="false" customHeight="false" outlineLevel="0" collapsed="false">
      <c r="A24" s="12" t="s">
        <v>244</v>
      </c>
      <c r="B24" s="13" t="s">
        <v>245</v>
      </c>
      <c r="C24" s="13" t="s">
        <v>207</v>
      </c>
      <c r="D24" s="15" t="n">
        <v>3000</v>
      </c>
      <c r="E24" s="15" t="n">
        <v>5500</v>
      </c>
      <c r="F24" s="14" t="n">
        <v>4250</v>
      </c>
      <c r="G24" s="16" t="s">
        <v>237</v>
      </c>
    </row>
    <row r="25" customFormat="false" ht="28.35" hidden="false" customHeight="false" outlineLevel="0" collapsed="false">
      <c r="A25" s="12" t="s">
        <v>246</v>
      </c>
      <c r="B25" s="13" t="s">
        <v>247</v>
      </c>
      <c r="C25" s="13" t="s">
        <v>248</v>
      </c>
      <c r="D25" s="15" t="n">
        <v>25000</v>
      </c>
      <c r="E25" s="15" t="n">
        <v>50000</v>
      </c>
      <c r="F25" s="14" t="n">
        <v>37500</v>
      </c>
      <c r="G25" s="16" t="s">
        <v>249</v>
      </c>
    </row>
    <row r="26" customFormat="false" ht="28.35" hidden="false" customHeight="false" outlineLevel="0" collapsed="false">
      <c r="A26" s="12" t="s">
        <v>250</v>
      </c>
      <c r="B26" s="13" t="s">
        <v>251</v>
      </c>
      <c r="C26" s="13" t="s">
        <v>248</v>
      </c>
      <c r="D26" s="15" t="n">
        <v>0</v>
      </c>
      <c r="E26" s="15" t="n">
        <v>0</v>
      </c>
      <c r="F26" s="14" t="n">
        <v>0</v>
      </c>
      <c r="G26" s="16" t="s">
        <v>252</v>
      </c>
    </row>
    <row r="27" customFormat="false" ht="15" hidden="false" customHeight="false" outlineLevel="0" collapsed="false">
      <c r="A27" s="12" t="s">
        <v>253</v>
      </c>
      <c r="B27" s="13" t="s">
        <v>254</v>
      </c>
      <c r="C27" s="13" t="s">
        <v>207</v>
      </c>
      <c r="D27" s="15" t="n">
        <v>1500</v>
      </c>
      <c r="E27" s="15" t="n">
        <v>3000</v>
      </c>
      <c r="F27" s="14" t="n">
        <v>2250</v>
      </c>
      <c r="G27" s="16" t="s">
        <v>237</v>
      </c>
    </row>
  </sheetData>
  <mergeCells count="4">
    <mergeCell ref="A1:G1"/>
    <mergeCell ref="A2:G2"/>
    <mergeCell ref="A4:G4"/>
    <mergeCell ref="A17:G1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8F00"/>
    <pageSetUpPr fitToPage="false"/>
  </sheetPr>
  <dimension ref="A1:D7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3" min="2" style="0" width="16"/>
    <col collapsed="false" customWidth="true" hidden="false" outlineLevel="0" max="4" min="4" style="0" width="60"/>
  </cols>
  <sheetData>
    <row r="1" customFormat="false" ht="31.5" hidden="false" customHeight="true" outlineLevel="0" collapsed="false">
      <c r="A1" s="1" t="s">
        <v>255</v>
      </c>
      <c r="B1" s="1"/>
      <c r="C1" s="1"/>
      <c r="D1" s="1"/>
    </row>
    <row r="2" customFormat="false" ht="18" hidden="false" customHeight="true" outlineLevel="0" collapsed="false">
      <c r="A2" s="2" t="s">
        <v>256</v>
      </c>
      <c r="B2" s="2"/>
      <c r="C2" s="2"/>
      <c r="D2" s="2"/>
    </row>
    <row r="4" customFormat="false" ht="15" hidden="false" customHeight="false" outlineLevel="0" collapsed="false">
      <c r="A4" s="25" t="s">
        <v>257</v>
      </c>
      <c r="B4" s="25"/>
      <c r="C4" s="25"/>
      <c r="D4" s="25"/>
    </row>
    <row r="5" customFormat="false" ht="31.5" hidden="false" customHeight="true" outlineLevel="0" collapsed="false">
      <c r="A5" s="11" t="s">
        <v>258</v>
      </c>
      <c r="B5" s="11" t="s">
        <v>259</v>
      </c>
      <c r="C5" s="11"/>
      <c r="D5" s="11" t="s">
        <v>260</v>
      </c>
    </row>
    <row r="6" customFormat="false" ht="28.35" hidden="false" customHeight="false" outlineLevel="0" collapsed="false">
      <c r="A6" s="18" t="s">
        <v>63</v>
      </c>
      <c r="B6" s="26" t="n">
        <v>0.03</v>
      </c>
      <c r="C6" s="19"/>
      <c r="D6" s="16" t="s">
        <v>261</v>
      </c>
    </row>
    <row r="7" customFormat="false" ht="28.35" hidden="false" customHeight="false" outlineLevel="0" collapsed="false">
      <c r="A7" s="18" t="s">
        <v>262</v>
      </c>
      <c r="B7" s="26" t="n">
        <v>0.06</v>
      </c>
      <c r="C7" s="19"/>
      <c r="D7" s="16" t="s">
        <v>263</v>
      </c>
    </row>
    <row r="8" customFormat="false" ht="28.35" hidden="false" customHeight="false" outlineLevel="0" collapsed="false">
      <c r="A8" s="18" t="s">
        <v>64</v>
      </c>
      <c r="B8" s="26" t="n">
        <v>0.1</v>
      </c>
      <c r="C8" s="19"/>
      <c r="D8" s="16" t="s">
        <v>264</v>
      </c>
    </row>
    <row r="9" customFormat="false" ht="28.35" hidden="false" customHeight="false" outlineLevel="0" collapsed="false">
      <c r="A9" s="18" t="s">
        <v>265</v>
      </c>
      <c r="B9" s="26" t="n">
        <v>0.15</v>
      </c>
      <c r="C9" s="19"/>
      <c r="D9" s="16" t="s">
        <v>266</v>
      </c>
    </row>
    <row r="11" customFormat="false" ht="15" hidden="false" customHeight="false" outlineLevel="0" collapsed="false">
      <c r="A11" s="25" t="s">
        <v>267</v>
      </c>
      <c r="B11" s="25"/>
      <c r="C11" s="25"/>
      <c r="D11" s="25"/>
    </row>
    <row r="12" customFormat="false" ht="31.5" hidden="false" customHeight="true" outlineLevel="0" collapsed="false">
      <c r="A12" s="11" t="s">
        <v>268</v>
      </c>
      <c r="B12" s="11" t="s">
        <v>269</v>
      </c>
      <c r="C12" s="11"/>
      <c r="D12" s="11"/>
    </row>
    <row r="13" customFormat="false" ht="15" hidden="false" customHeight="true" outlineLevel="0" collapsed="false">
      <c r="A13" s="19" t="s">
        <v>270</v>
      </c>
      <c r="B13" s="26" t="n">
        <v>0.1</v>
      </c>
      <c r="C13" s="27" t="s">
        <v>271</v>
      </c>
      <c r="D13" s="27"/>
    </row>
    <row r="14" customFormat="false" ht="15" hidden="false" customHeight="true" outlineLevel="0" collapsed="false">
      <c r="A14" s="19" t="s">
        <v>272</v>
      </c>
      <c r="B14" s="26" t="n">
        <v>0.06</v>
      </c>
      <c r="C14" s="27" t="s">
        <v>273</v>
      </c>
      <c r="D14" s="27"/>
    </row>
    <row r="16" customFormat="false" ht="15" hidden="false" customHeight="false" outlineLevel="0" collapsed="false">
      <c r="A16" s="25" t="s">
        <v>274</v>
      </c>
      <c r="B16" s="25"/>
      <c r="C16" s="25"/>
      <c r="D16" s="25"/>
    </row>
    <row r="17" customFormat="false" ht="31.5" hidden="false" customHeight="true" outlineLevel="0" collapsed="false">
      <c r="A17" s="11" t="s">
        <v>275</v>
      </c>
      <c r="B17" s="11" t="s">
        <v>276</v>
      </c>
      <c r="C17" s="11" t="s">
        <v>277</v>
      </c>
      <c r="D17" s="11" t="s">
        <v>278</v>
      </c>
    </row>
    <row r="18" customFormat="false" ht="15" hidden="false" customHeight="false" outlineLevel="0" collapsed="false">
      <c r="A18" s="18" t="s">
        <v>279</v>
      </c>
      <c r="B18" s="26" t="n">
        <v>0.06</v>
      </c>
      <c r="C18" s="26" t="n">
        <v>0.1</v>
      </c>
      <c r="D18" s="26" t="n">
        <v>0.15</v>
      </c>
    </row>
    <row r="19" customFormat="false" ht="15" hidden="false" customHeight="false" outlineLevel="0" collapsed="false">
      <c r="A19" s="18" t="s">
        <v>280</v>
      </c>
      <c r="B19" s="26" t="n">
        <v>0.05</v>
      </c>
      <c r="C19" s="26" t="n">
        <v>0.08</v>
      </c>
      <c r="D19" s="26" t="n">
        <v>0.12</v>
      </c>
    </row>
    <row r="20" customFormat="false" ht="15" hidden="false" customHeight="false" outlineLevel="0" collapsed="false">
      <c r="A20" s="18" t="s">
        <v>281</v>
      </c>
      <c r="B20" s="26" t="n">
        <v>0.07</v>
      </c>
      <c r="C20" s="26" t="n">
        <v>0.12</v>
      </c>
      <c r="D20" s="26" t="n">
        <v>0.18</v>
      </c>
    </row>
    <row r="21" customFormat="false" ht="15" hidden="false" customHeight="false" outlineLevel="0" collapsed="false">
      <c r="A21" s="18" t="s">
        <v>282</v>
      </c>
      <c r="B21" s="26" t="n">
        <v>0.1</v>
      </c>
      <c r="C21" s="26" t="n">
        <v>0.15</v>
      </c>
      <c r="D21" s="26" t="n">
        <v>0.22</v>
      </c>
    </row>
    <row r="23" customFormat="false" ht="15" hidden="false" customHeight="false" outlineLevel="0" collapsed="false">
      <c r="A23" s="25" t="s">
        <v>283</v>
      </c>
      <c r="B23" s="25"/>
      <c r="C23" s="25"/>
      <c r="D23" s="25"/>
    </row>
    <row r="24" customFormat="false" ht="31.5" hidden="false" customHeight="true" outlineLevel="0" collapsed="false">
      <c r="A24" s="11" t="s">
        <v>284</v>
      </c>
      <c r="B24" s="11" t="s">
        <v>285</v>
      </c>
      <c r="C24" s="11"/>
      <c r="D24" s="11"/>
    </row>
    <row r="25" customFormat="false" ht="28.35" hidden="false" customHeight="true" outlineLevel="0" collapsed="false">
      <c r="A25" s="19" t="s">
        <v>286</v>
      </c>
      <c r="B25" s="26" t="n">
        <v>0.15</v>
      </c>
      <c r="C25" s="27" t="s">
        <v>287</v>
      </c>
      <c r="D25" s="27"/>
    </row>
    <row r="26" customFormat="false" ht="15" hidden="false" customHeight="true" outlineLevel="0" collapsed="false">
      <c r="A26" s="19" t="s">
        <v>288</v>
      </c>
      <c r="B26" s="28" t="n">
        <v>12</v>
      </c>
      <c r="C26" s="27" t="s">
        <v>289</v>
      </c>
      <c r="D26" s="27"/>
    </row>
    <row r="27" customFormat="false" ht="30" hidden="false" customHeight="true" outlineLevel="0" collapsed="false">
      <c r="A27" s="19" t="s">
        <v>290</v>
      </c>
      <c r="B27" s="29" t="n">
        <f aca="false">B25*(B26/12)*0.5</f>
        <v>0.075</v>
      </c>
      <c r="C27" s="27" t="s">
        <v>291</v>
      </c>
      <c r="D27" s="27"/>
    </row>
    <row r="29" customFormat="false" ht="15" hidden="false" customHeight="false" outlineLevel="0" collapsed="false">
      <c r="A29" s="25" t="s">
        <v>292</v>
      </c>
      <c r="B29" s="25"/>
      <c r="C29" s="25"/>
      <c r="D29" s="25"/>
    </row>
    <row r="30" customFormat="false" ht="31.5" hidden="false" customHeight="true" outlineLevel="0" collapsed="false">
      <c r="A30" s="11" t="s">
        <v>284</v>
      </c>
      <c r="B30" s="11" t="s">
        <v>293</v>
      </c>
      <c r="C30" s="11"/>
      <c r="D30" s="11"/>
    </row>
    <row r="31" customFormat="false" ht="15" hidden="false" customHeight="true" outlineLevel="0" collapsed="false">
      <c r="A31" s="19" t="s">
        <v>294</v>
      </c>
      <c r="B31" s="26" t="n">
        <v>0.015</v>
      </c>
      <c r="C31" s="27" t="s">
        <v>295</v>
      </c>
      <c r="D31" s="27"/>
    </row>
    <row r="32" customFormat="false" ht="15" hidden="false" customHeight="true" outlineLevel="0" collapsed="false">
      <c r="A32" s="19" t="s">
        <v>296</v>
      </c>
      <c r="B32" s="26" t="n">
        <v>0.05</v>
      </c>
      <c r="C32" s="27" t="s">
        <v>297</v>
      </c>
      <c r="D32" s="27"/>
    </row>
    <row r="33" customFormat="false" ht="15" hidden="false" customHeight="true" outlineLevel="0" collapsed="false">
      <c r="A33" s="19" t="s">
        <v>298</v>
      </c>
      <c r="B33" s="26" t="n">
        <v>0.15</v>
      </c>
      <c r="C33" s="27" t="s">
        <v>299</v>
      </c>
      <c r="D33" s="27"/>
    </row>
    <row r="34" customFormat="false" ht="15" hidden="false" customHeight="true" outlineLevel="0" collapsed="false">
      <c r="A34" s="19" t="s">
        <v>300</v>
      </c>
      <c r="B34" s="26" t="n">
        <v>0.15</v>
      </c>
      <c r="C34" s="27" t="s">
        <v>301</v>
      </c>
      <c r="D34" s="27"/>
    </row>
    <row r="35" customFormat="false" ht="15" hidden="false" customHeight="true" outlineLevel="0" collapsed="false">
      <c r="A35" s="19" t="s">
        <v>302</v>
      </c>
      <c r="B35" s="26" t="n">
        <v>0.05</v>
      </c>
      <c r="C35" s="27" t="s">
        <v>303</v>
      </c>
      <c r="D35" s="27"/>
    </row>
    <row r="36" customFormat="false" ht="28.35" hidden="false" customHeight="true" outlineLevel="0" collapsed="false">
      <c r="A36" s="19" t="s">
        <v>304</v>
      </c>
      <c r="B36" s="26" t="n">
        <v>0.02</v>
      </c>
      <c r="C36" s="27" t="s">
        <v>305</v>
      </c>
      <c r="D36" s="27"/>
    </row>
    <row r="38" customFormat="false" ht="15" hidden="false" customHeight="false" outlineLevel="0" collapsed="false">
      <c r="A38" s="25" t="s">
        <v>306</v>
      </c>
      <c r="B38" s="25"/>
      <c r="C38" s="25"/>
      <c r="D38" s="25"/>
    </row>
    <row r="39" customFormat="false" ht="31.5" hidden="false" customHeight="true" outlineLevel="0" collapsed="false">
      <c r="A39" s="11" t="s">
        <v>307</v>
      </c>
      <c r="B39" s="11" t="s">
        <v>293</v>
      </c>
      <c r="C39" s="11"/>
      <c r="D39" s="11"/>
    </row>
    <row r="40" customFormat="false" ht="15" hidden="false" customHeight="true" outlineLevel="0" collapsed="false">
      <c r="A40" s="19" t="s">
        <v>308</v>
      </c>
      <c r="B40" s="30" t="n">
        <v>0.004</v>
      </c>
      <c r="C40" s="27" t="s">
        <v>309</v>
      </c>
      <c r="D40" s="27"/>
    </row>
    <row r="41" customFormat="false" ht="15" hidden="false" customHeight="true" outlineLevel="0" collapsed="false">
      <c r="A41" s="19" t="s">
        <v>310</v>
      </c>
      <c r="B41" s="30" t="n">
        <v>0.0015</v>
      </c>
      <c r="C41" s="27" t="s">
        <v>309</v>
      </c>
      <c r="D41" s="27"/>
    </row>
    <row r="42" customFormat="false" ht="15" hidden="false" customHeight="true" outlineLevel="0" collapsed="false">
      <c r="A42" s="19" t="s">
        <v>311</v>
      </c>
      <c r="B42" s="30" t="n">
        <v>0.015</v>
      </c>
      <c r="C42" s="27" t="s">
        <v>312</v>
      </c>
      <c r="D42" s="27"/>
    </row>
    <row r="44" customFormat="false" ht="15" hidden="false" customHeight="false" outlineLevel="0" collapsed="false">
      <c r="A44" s="25" t="s">
        <v>313</v>
      </c>
      <c r="B44" s="25"/>
      <c r="C44" s="25"/>
      <c r="D44" s="25"/>
    </row>
    <row r="45" customFormat="false" ht="31.5" hidden="false" customHeight="true" outlineLevel="0" collapsed="false">
      <c r="A45" s="11" t="s">
        <v>284</v>
      </c>
      <c r="B45" s="11" t="s">
        <v>293</v>
      </c>
      <c r="C45" s="11"/>
      <c r="D45" s="11"/>
    </row>
    <row r="46" customFormat="false" ht="15" hidden="false" customHeight="true" outlineLevel="0" collapsed="false">
      <c r="A46" s="19" t="s">
        <v>314</v>
      </c>
      <c r="B46" s="26" t="n">
        <v>0.14</v>
      </c>
      <c r="C46" s="27" t="s">
        <v>315</v>
      </c>
      <c r="D46" s="27"/>
    </row>
    <row r="47" customFormat="false" ht="28.35" hidden="false" customHeight="true" outlineLevel="0" collapsed="false">
      <c r="A47" s="19" t="s">
        <v>316</v>
      </c>
      <c r="B47" s="26" t="n">
        <v>0.03</v>
      </c>
      <c r="C47" s="27" t="s">
        <v>317</v>
      </c>
      <c r="D47" s="27"/>
    </row>
    <row r="48" customFormat="false" ht="15" hidden="false" customHeight="true" outlineLevel="0" collapsed="false">
      <c r="A48" s="19" t="s">
        <v>318</v>
      </c>
      <c r="B48" s="26" t="n">
        <v>0.005</v>
      </c>
      <c r="C48" s="27" t="s">
        <v>319</v>
      </c>
      <c r="D48" s="27"/>
    </row>
    <row r="50" customFormat="false" ht="15" hidden="false" customHeight="false" outlineLevel="0" collapsed="false">
      <c r="A50" s="25" t="s">
        <v>320</v>
      </c>
      <c r="B50" s="25"/>
      <c r="C50" s="25"/>
      <c r="D50" s="25"/>
    </row>
    <row r="51" customFormat="false" ht="31.5" hidden="false" customHeight="true" outlineLevel="0" collapsed="false">
      <c r="A51" s="11" t="s">
        <v>321</v>
      </c>
      <c r="B51" s="11" t="s">
        <v>322</v>
      </c>
      <c r="C51" s="11"/>
      <c r="D51" s="11"/>
    </row>
    <row r="52" customFormat="false" ht="15" hidden="false" customHeight="false" outlineLevel="0" collapsed="false">
      <c r="A52" s="19" t="s">
        <v>323</v>
      </c>
      <c r="B52" s="26" t="n">
        <v>0.03</v>
      </c>
      <c r="C52" s="19"/>
      <c r="D52" s="19"/>
    </row>
    <row r="53" customFormat="false" ht="15" hidden="false" customHeight="false" outlineLevel="0" collapsed="false">
      <c r="A53" s="19" t="s">
        <v>324</v>
      </c>
      <c r="B53" s="26" t="n">
        <v>0.02</v>
      </c>
      <c r="C53" s="19"/>
      <c r="D53" s="19"/>
    </row>
    <row r="54" customFormat="false" ht="15" hidden="false" customHeight="false" outlineLevel="0" collapsed="false">
      <c r="A54" s="19" t="s">
        <v>325</v>
      </c>
      <c r="B54" s="26" t="n">
        <v>0.05</v>
      </c>
      <c r="C54" s="19"/>
      <c r="D54" s="19"/>
    </row>
    <row r="55" customFormat="false" ht="15" hidden="false" customHeight="false" outlineLevel="0" collapsed="false">
      <c r="A55" s="19" t="s">
        <v>326</v>
      </c>
      <c r="B55" s="26" t="n">
        <v>0.05</v>
      </c>
      <c r="C55" s="19"/>
      <c r="D55" s="19"/>
    </row>
    <row r="56" customFormat="false" ht="15" hidden="false" customHeight="false" outlineLevel="0" collapsed="false">
      <c r="A56" s="19" t="s">
        <v>327</v>
      </c>
      <c r="B56" s="26" t="n">
        <v>0.08</v>
      </c>
      <c r="C56" s="19"/>
      <c r="D56" s="19"/>
    </row>
    <row r="57" customFormat="false" ht="15" hidden="false" customHeight="false" outlineLevel="0" collapsed="false">
      <c r="A57" s="19" t="s">
        <v>328</v>
      </c>
      <c r="B57" s="26" t="n">
        <v>0.2</v>
      </c>
      <c r="C57" s="19"/>
      <c r="D57" s="19"/>
    </row>
    <row r="58" customFormat="false" ht="15" hidden="false" customHeight="false" outlineLevel="0" collapsed="false">
      <c r="A58" s="19" t="s">
        <v>329</v>
      </c>
      <c r="B58" s="26" t="n">
        <v>0.05</v>
      </c>
      <c r="C58" s="19"/>
      <c r="D58" s="19"/>
    </row>
    <row r="60" customFormat="false" ht="15" hidden="false" customHeight="false" outlineLevel="0" collapsed="false">
      <c r="A60" s="25" t="s">
        <v>330</v>
      </c>
      <c r="B60" s="25"/>
      <c r="C60" s="25"/>
      <c r="D60" s="25"/>
    </row>
    <row r="61" customFormat="false" ht="31.5" hidden="false" customHeight="true" outlineLevel="0" collapsed="false">
      <c r="A61" s="11" t="s">
        <v>284</v>
      </c>
      <c r="B61" s="11" t="s">
        <v>285</v>
      </c>
      <c r="C61" s="11"/>
      <c r="D61" s="11"/>
    </row>
    <row r="62" customFormat="false" ht="28.35" hidden="false" customHeight="true" outlineLevel="0" collapsed="false">
      <c r="A62" s="19" t="s">
        <v>331</v>
      </c>
      <c r="B62" s="26" t="n">
        <v>0.22</v>
      </c>
      <c r="C62" s="27" t="s">
        <v>332</v>
      </c>
      <c r="D62" s="27"/>
    </row>
    <row r="63" customFormat="false" ht="28.35" hidden="false" customHeight="true" outlineLevel="0" collapsed="false">
      <c r="A63" s="19" t="s">
        <v>333</v>
      </c>
      <c r="B63" s="28" t="n">
        <v>60</v>
      </c>
      <c r="C63" s="27" t="s">
        <v>334</v>
      </c>
      <c r="D63" s="27"/>
    </row>
    <row r="64" customFormat="false" ht="28.35" hidden="false" customHeight="true" outlineLevel="0" collapsed="false">
      <c r="A64" s="19" t="s">
        <v>335</v>
      </c>
      <c r="B64" s="31" t="n">
        <f aca="false">B62*(B63/365)</f>
        <v>0.0361643835616438</v>
      </c>
      <c r="C64" s="27" t="s">
        <v>336</v>
      </c>
      <c r="D64" s="27"/>
    </row>
    <row r="66" customFormat="false" ht="15" hidden="false" customHeight="false" outlineLevel="0" collapsed="false">
      <c r="A66" s="25" t="s">
        <v>337</v>
      </c>
      <c r="B66" s="25"/>
      <c r="C66" s="25"/>
      <c r="D66" s="25"/>
    </row>
    <row r="67" customFormat="false" ht="31.5" hidden="false" customHeight="true" outlineLevel="0" collapsed="false">
      <c r="A67" s="11" t="s">
        <v>284</v>
      </c>
      <c r="B67" s="11" t="s">
        <v>338</v>
      </c>
      <c r="C67" s="11"/>
      <c r="D67" s="11"/>
    </row>
    <row r="68" customFormat="false" ht="28.35" hidden="false" customHeight="true" outlineLevel="0" collapsed="false">
      <c r="A68" s="19" t="s">
        <v>339</v>
      </c>
      <c r="B68" s="18" t="s">
        <v>340</v>
      </c>
      <c r="C68" s="27" t="s">
        <v>341</v>
      </c>
      <c r="D68" s="27"/>
    </row>
    <row r="69" customFormat="false" ht="15" hidden="false" customHeight="true" outlineLevel="0" collapsed="false">
      <c r="A69" s="19" t="s">
        <v>342</v>
      </c>
      <c r="B69" s="18" t="s">
        <v>343</v>
      </c>
      <c r="C69" s="27" t="s">
        <v>344</v>
      </c>
      <c r="D69" s="27"/>
    </row>
    <row r="70" customFormat="false" ht="15" hidden="false" customHeight="true" outlineLevel="0" collapsed="false">
      <c r="A70" s="19" t="s">
        <v>345</v>
      </c>
      <c r="B70" s="18" t="s">
        <v>346</v>
      </c>
      <c r="C70" s="27" t="s">
        <v>347</v>
      </c>
      <c r="D70" s="27"/>
    </row>
    <row r="71" customFormat="false" ht="15" hidden="false" customHeight="true" outlineLevel="0" collapsed="false">
      <c r="A71" s="19" t="s">
        <v>348</v>
      </c>
      <c r="B71" s="18" t="s">
        <v>349</v>
      </c>
      <c r="C71" s="27" t="s">
        <v>350</v>
      </c>
      <c r="D71" s="27"/>
    </row>
    <row r="72" customFormat="false" ht="28.35" hidden="false" customHeight="true" outlineLevel="0" collapsed="false">
      <c r="A72" s="19" t="s">
        <v>351</v>
      </c>
      <c r="B72" s="18" t="s">
        <v>352</v>
      </c>
      <c r="C72" s="27" t="s">
        <v>353</v>
      </c>
      <c r="D72" s="27"/>
    </row>
    <row r="73" customFormat="false" ht="15" hidden="false" customHeight="true" outlineLevel="0" collapsed="false">
      <c r="A73" s="19" t="s">
        <v>354</v>
      </c>
      <c r="B73" s="18" t="s">
        <v>355</v>
      </c>
      <c r="C73" s="27" t="s">
        <v>356</v>
      </c>
      <c r="D73" s="27"/>
    </row>
  </sheetData>
  <mergeCells count="38">
    <mergeCell ref="A1:D1"/>
    <mergeCell ref="A2:D2"/>
    <mergeCell ref="A4:D4"/>
    <mergeCell ref="A11:D11"/>
    <mergeCell ref="C13:D13"/>
    <mergeCell ref="C14:D14"/>
    <mergeCell ref="A16:D16"/>
    <mergeCell ref="A23:D23"/>
    <mergeCell ref="C25:D25"/>
    <mergeCell ref="C26:D26"/>
    <mergeCell ref="C27:D27"/>
    <mergeCell ref="A29:D29"/>
    <mergeCell ref="C31:D31"/>
    <mergeCell ref="C32:D32"/>
    <mergeCell ref="C33:D33"/>
    <mergeCell ref="C34:D34"/>
    <mergeCell ref="C35:D35"/>
    <mergeCell ref="C36:D36"/>
    <mergeCell ref="A38:D38"/>
    <mergeCell ref="C40:D40"/>
    <mergeCell ref="C41:D41"/>
    <mergeCell ref="C42:D42"/>
    <mergeCell ref="A44:D44"/>
    <mergeCell ref="C46:D46"/>
    <mergeCell ref="C47:D47"/>
    <mergeCell ref="C48:D48"/>
    <mergeCell ref="A50:D50"/>
    <mergeCell ref="A60:D60"/>
    <mergeCell ref="C62:D62"/>
    <mergeCell ref="C63:D63"/>
    <mergeCell ref="C64:D64"/>
    <mergeCell ref="A66:D66"/>
    <mergeCell ref="C68:D68"/>
    <mergeCell ref="C69:D69"/>
    <mergeCell ref="C70:D70"/>
    <mergeCell ref="C71:D71"/>
    <mergeCell ref="C72:D72"/>
    <mergeCell ref="C73:D7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8235"/>
    <pageSetUpPr fitToPage="false"/>
  </sheetPr>
  <dimension ref="A1:N5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40"/>
    <col collapsed="false" customWidth="true" hidden="false" outlineLevel="0" max="3" min="3" style="0" width="9"/>
    <col collapsed="false" customWidth="true" hidden="false" outlineLevel="0" max="5" min="4" style="0" width="10"/>
    <col collapsed="false" customWidth="true" hidden="false" outlineLevel="0" max="6" min="6" style="0" width="13"/>
    <col collapsed="false" customWidth="true" hidden="false" outlineLevel="0" max="7" min="7" style="0" width="9"/>
    <col collapsed="false" customWidth="true" hidden="false" outlineLevel="0" max="12" min="8" style="0" width="13"/>
    <col collapsed="false" customWidth="true" hidden="false" outlineLevel="0" max="13" min="13" style="0" width="15"/>
    <col collapsed="false" customWidth="true" hidden="false" outlineLevel="0" max="14" min="14" style="0" width="28"/>
  </cols>
  <sheetData>
    <row r="1" customFormat="false" ht="31.5" hidden="false" customHeight="true" outlineLevel="0" collapsed="false">
      <c r="A1" s="1" t="s">
        <v>357</v>
      </c>
      <c r="B1" s="1"/>
      <c r="C1" s="1"/>
      <c r="D1" s="1"/>
      <c r="E1" s="1"/>
      <c r="F1" s="1"/>
      <c r="G1" s="1"/>
      <c r="H1" s="1"/>
      <c r="I1" s="1"/>
      <c r="J1" s="1"/>
      <c r="K1" s="1"/>
      <c r="L1" s="1"/>
      <c r="M1" s="1"/>
      <c r="N1" s="1"/>
    </row>
    <row r="2" customFormat="false" ht="18" hidden="false" customHeight="true" outlineLevel="0" collapsed="false">
      <c r="A2" s="2" t="s">
        <v>358</v>
      </c>
      <c r="B2" s="2"/>
      <c r="C2" s="2"/>
      <c r="D2" s="2"/>
      <c r="E2" s="2"/>
      <c r="F2" s="2"/>
      <c r="G2" s="2"/>
      <c r="H2" s="2"/>
      <c r="I2" s="2"/>
      <c r="J2" s="2"/>
      <c r="K2" s="2"/>
      <c r="L2" s="2"/>
      <c r="M2" s="2"/>
      <c r="N2" s="2"/>
    </row>
    <row r="4" customFormat="false" ht="31.5" hidden="false" customHeight="true" outlineLevel="0" collapsed="false">
      <c r="A4" s="11" t="s">
        <v>284</v>
      </c>
      <c r="B4" s="11" t="s">
        <v>175</v>
      </c>
      <c r="C4" s="11" t="s">
        <v>61</v>
      </c>
      <c r="D4" s="11" t="s">
        <v>359</v>
      </c>
      <c r="E4" s="11" t="s">
        <v>360</v>
      </c>
      <c r="F4" s="11" t="s">
        <v>361</v>
      </c>
      <c r="G4" s="11" t="s">
        <v>362</v>
      </c>
      <c r="H4" s="11" t="s">
        <v>363</v>
      </c>
      <c r="I4" s="11" t="s">
        <v>364</v>
      </c>
      <c r="J4" s="11" t="s">
        <v>365</v>
      </c>
      <c r="K4" s="11" t="s">
        <v>366</v>
      </c>
      <c r="L4" s="11" t="s">
        <v>367</v>
      </c>
      <c r="M4" s="11" t="s">
        <v>368</v>
      </c>
      <c r="N4" s="11" t="s">
        <v>369</v>
      </c>
    </row>
    <row r="5" customFormat="false" ht="15" hidden="false" customHeight="false" outlineLevel="0" collapsed="false">
      <c r="A5" s="25" t="s">
        <v>370</v>
      </c>
      <c r="B5" s="25"/>
      <c r="C5" s="25"/>
      <c r="D5" s="25"/>
      <c r="E5" s="25"/>
      <c r="F5" s="25"/>
      <c r="G5" s="25"/>
      <c r="H5" s="25"/>
      <c r="I5" s="25"/>
      <c r="J5" s="25"/>
      <c r="K5" s="25"/>
      <c r="L5" s="25"/>
      <c r="M5" s="25"/>
      <c r="N5" s="25"/>
    </row>
    <row r="6" customFormat="false" ht="15" hidden="false" customHeight="false" outlineLevel="0" collapsed="false">
      <c r="A6" s="32" t="n">
        <v>1</v>
      </c>
      <c r="B6" s="16" t="s">
        <v>371</v>
      </c>
      <c r="C6" s="32" t="s">
        <v>372</v>
      </c>
      <c r="D6" s="33" t="n">
        <v>0</v>
      </c>
      <c r="E6" s="34"/>
      <c r="F6" s="23" t="str">
        <f aca="false">IF($E6="","",IFERROR(INDEX(MaterialPrices,MATCH($E6,MaterialCodes,0)),0))</f>
        <v/>
      </c>
      <c r="G6" s="35" t="n">
        <v>0</v>
      </c>
      <c r="H6" s="23" t="n">
        <f aca="false">IF($F6="",0,$F6*(1+$G6))</f>
        <v>0</v>
      </c>
      <c r="I6" s="17" t="n">
        <v>0</v>
      </c>
      <c r="J6" s="17" t="n">
        <v>0</v>
      </c>
      <c r="K6" s="17" t="n">
        <v>0</v>
      </c>
      <c r="L6" s="23" t="n">
        <f aca="false">H6+I6+J6+K6</f>
        <v>0</v>
      </c>
      <c r="M6" s="36" t="n">
        <f aca="false">D6*L6</f>
        <v>0</v>
      </c>
      <c r="N6" s="16"/>
    </row>
    <row r="7" customFormat="false" ht="28.35" hidden="false" customHeight="false" outlineLevel="0" collapsed="false">
      <c r="A7" s="32" t="n">
        <v>2</v>
      </c>
      <c r="B7" s="16" t="s">
        <v>373</v>
      </c>
      <c r="C7" s="32" t="s">
        <v>372</v>
      </c>
      <c r="D7" s="33" t="n">
        <v>0</v>
      </c>
      <c r="E7" s="34"/>
      <c r="F7" s="23" t="str">
        <f aca="false">IF($E7="","",IFERROR(INDEX(MaterialPrices,MATCH($E7,MaterialCodes,0)),0))</f>
        <v/>
      </c>
      <c r="G7" s="35" t="n">
        <v>0</v>
      </c>
      <c r="H7" s="23" t="n">
        <f aca="false">IF($F7="",0,$F7*(1+$G7))</f>
        <v>0</v>
      </c>
      <c r="I7" s="17" t="n">
        <v>0</v>
      </c>
      <c r="J7" s="17" t="n">
        <v>0</v>
      </c>
      <c r="K7" s="17" t="n">
        <v>0</v>
      </c>
      <c r="L7" s="23" t="n">
        <f aca="false">H7+I7+J7+K7</f>
        <v>0</v>
      </c>
      <c r="M7" s="36" t="n">
        <f aca="false">D7*L7</f>
        <v>0</v>
      </c>
      <c r="N7" s="16"/>
    </row>
    <row r="8" customFormat="false" ht="15" hidden="false" customHeight="false" outlineLevel="0" collapsed="false">
      <c r="A8" s="32" t="n">
        <v>3</v>
      </c>
      <c r="B8" s="16" t="s">
        <v>374</v>
      </c>
      <c r="C8" s="32" t="s">
        <v>372</v>
      </c>
      <c r="D8" s="33" t="n">
        <v>0</v>
      </c>
      <c r="E8" s="34"/>
      <c r="F8" s="23" t="str">
        <f aca="false">IF($E8="","",IFERROR(INDEX(MaterialPrices,MATCH($E8,MaterialCodes,0)),0))</f>
        <v/>
      </c>
      <c r="G8" s="35" t="n">
        <v>0</v>
      </c>
      <c r="H8" s="23" t="n">
        <f aca="false">IF($F8="",0,$F8*(1+$G8))</f>
        <v>0</v>
      </c>
      <c r="I8" s="17" t="n">
        <v>0</v>
      </c>
      <c r="J8" s="17" t="n">
        <v>0</v>
      </c>
      <c r="K8" s="17" t="n">
        <v>0</v>
      </c>
      <c r="L8" s="23" t="n">
        <f aca="false">H8+I8+J8+K8</f>
        <v>0</v>
      </c>
      <c r="M8" s="36" t="n">
        <f aca="false">D8*L8</f>
        <v>0</v>
      </c>
      <c r="N8" s="16"/>
    </row>
    <row r="9" customFormat="false" ht="15" hidden="false" customHeight="false" outlineLevel="0" collapsed="false">
      <c r="A9" s="32" t="n">
        <v>4</v>
      </c>
      <c r="B9" s="16" t="s">
        <v>375</v>
      </c>
      <c r="C9" s="32" t="s">
        <v>372</v>
      </c>
      <c r="D9" s="33" t="n">
        <v>0</v>
      </c>
      <c r="E9" s="34"/>
      <c r="F9" s="23" t="str">
        <f aca="false">IF($E9="","",IFERROR(INDEX(MaterialPrices,MATCH($E9,MaterialCodes,0)),0))</f>
        <v/>
      </c>
      <c r="G9" s="35" t="n">
        <v>0</v>
      </c>
      <c r="H9" s="23" t="n">
        <f aca="false">IF($F9="",0,$F9*(1+$G9))</f>
        <v>0</v>
      </c>
      <c r="I9" s="17" t="n">
        <v>0</v>
      </c>
      <c r="J9" s="17" t="n">
        <v>0</v>
      </c>
      <c r="K9" s="17" t="n">
        <v>0</v>
      </c>
      <c r="L9" s="23" t="n">
        <f aca="false">H9+I9+J9+K9</f>
        <v>0</v>
      </c>
      <c r="M9" s="36" t="n">
        <f aca="false">D9*L9</f>
        <v>0</v>
      </c>
      <c r="N9" s="16"/>
    </row>
    <row r="10" customFormat="false" ht="15" hidden="false" customHeight="false" outlineLevel="0" collapsed="false">
      <c r="A10" s="37" t="s">
        <v>376</v>
      </c>
      <c r="B10" s="37"/>
      <c r="C10" s="37"/>
      <c r="D10" s="37"/>
      <c r="E10" s="37"/>
      <c r="F10" s="37"/>
      <c r="G10" s="37"/>
      <c r="H10" s="37"/>
      <c r="I10" s="37"/>
      <c r="J10" s="37"/>
      <c r="K10" s="37"/>
      <c r="L10" s="37"/>
      <c r="M10" s="38" t="n">
        <f aca="false">SUM(M6:M9)</f>
        <v>0</v>
      </c>
      <c r="N10" s="39"/>
    </row>
    <row r="11" customFormat="false" ht="15" hidden="false" customHeight="false" outlineLevel="0" collapsed="false">
      <c r="A11" s="25" t="s">
        <v>377</v>
      </c>
      <c r="B11" s="25"/>
      <c r="C11" s="25"/>
      <c r="D11" s="25"/>
      <c r="E11" s="25"/>
      <c r="F11" s="25"/>
      <c r="G11" s="25"/>
      <c r="H11" s="25"/>
      <c r="I11" s="25"/>
      <c r="J11" s="25"/>
      <c r="K11" s="25"/>
      <c r="L11" s="25"/>
      <c r="M11" s="25"/>
      <c r="N11" s="25"/>
    </row>
    <row r="12" customFormat="false" ht="15" hidden="false" customHeight="false" outlineLevel="0" collapsed="false">
      <c r="A12" s="32" t="n">
        <v>5</v>
      </c>
      <c r="B12" s="16" t="s">
        <v>378</v>
      </c>
      <c r="C12" s="32" t="s">
        <v>93</v>
      </c>
      <c r="D12" s="33" t="n">
        <v>0</v>
      </c>
      <c r="E12" s="34"/>
      <c r="F12" s="23" t="str">
        <f aca="false">IF($E12="","",IFERROR(INDEX(MaterialPrices,MATCH($E12,MaterialCodes,0)),0))</f>
        <v/>
      </c>
      <c r="G12" s="35" t="n">
        <v>0</v>
      </c>
      <c r="H12" s="23" t="n">
        <f aca="false">IF($F12="",0,$F12*(1+$G12))</f>
        <v>0</v>
      </c>
      <c r="I12" s="17" t="n">
        <v>0</v>
      </c>
      <c r="J12" s="17" t="n">
        <v>0</v>
      </c>
      <c r="K12" s="17" t="n">
        <v>0</v>
      </c>
      <c r="L12" s="23" t="n">
        <f aca="false">H12+I12+J12+K12</f>
        <v>0</v>
      </c>
      <c r="M12" s="36" t="n">
        <f aca="false">D12*L12</f>
        <v>0</v>
      </c>
      <c r="N12" s="16"/>
    </row>
    <row r="13" customFormat="false" ht="15" hidden="false" customHeight="false" outlineLevel="0" collapsed="false">
      <c r="A13" s="32" t="n">
        <v>6</v>
      </c>
      <c r="B13" s="16" t="s">
        <v>379</v>
      </c>
      <c r="C13" s="32" t="s">
        <v>93</v>
      </c>
      <c r="D13" s="33" t="n">
        <v>0</v>
      </c>
      <c r="E13" s="34" t="s">
        <v>90</v>
      </c>
      <c r="F13" s="23" t="n">
        <f aca="false">IF($E13="","",IFERROR(INDEX(MaterialPrices,MATCH($E13,MaterialCodes,0)),0))</f>
        <v>150</v>
      </c>
      <c r="G13" s="40" t="n">
        <f aca="false">'Thresholds &amp; Assumptions'!$B$55</f>
        <v>0.05</v>
      </c>
      <c r="H13" s="23" t="n">
        <f aca="false">IF($F13="",0,$F13*(1+$G13))</f>
        <v>157.5</v>
      </c>
      <c r="I13" s="17" t="n">
        <v>0</v>
      </c>
      <c r="J13" s="17" t="n">
        <v>0</v>
      </c>
      <c r="K13" s="17" t="n">
        <v>0</v>
      </c>
      <c r="L13" s="23" t="n">
        <f aca="false">H13+I13+J13+K13</f>
        <v>157.5</v>
      </c>
      <c r="M13" s="36" t="n">
        <f aca="false">D13*L13</f>
        <v>0</v>
      </c>
      <c r="N13" s="16"/>
    </row>
    <row r="14" customFormat="false" ht="15" hidden="false" customHeight="false" outlineLevel="0" collapsed="false">
      <c r="A14" s="32" t="n">
        <v>7</v>
      </c>
      <c r="B14" s="16" t="s">
        <v>380</v>
      </c>
      <c r="C14" s="32" t="s">
        <v>93</v>
      </c>
      <c r="D14" s="33" t="n">
        <v>0</v>
      </c>
      <c r="E14" s="34" t="s">
        <v>153</v>
      </c>
      <c r="F14" s="23" t="n">
        <f aca="false">IF($E14="","",IFERROR(INDEX(MaterialPrices,MATCH($E14,MaterialCodes,0)),0))</f>
        <v>1970</v>
      </c>
      <c r="G14" s="40" t="n">
        <f aca="false">'Thresholds &amp; Assumptions'!$B$53</f>
        <v>0.02</v>
      </c>
      <c r="H14" s="23" t="n">
        <f aca="false">IF($F14="",0,$F14*(1+$G14))</f>
        <v>2009.4</v>
      </c>
      <c r="I14" s="17" t="n">
        <v>0</v>
      </c>
      <c r="J14" s="17" t="n">
        <v>0</v>
      </c>
      <c r="K14" s="17" t="n">
        <v>0</v>
      </c>
      <c r="L14" s="23" t="n">
        <f aca="false">H14+I14+J14+K14</f>
        <v>2009.4</v>
      </c>
      <c r="M14" s="36" t="n">
        <f aca="false">D14*L14</f>
        <v>0</v>
      </c>
      <c r="N14" s="16"/>
    </row>
    <row r="15" customFormat="false" ht="15" hidden="false" customHeight="false" outlineLevel="0" collapsed="false">
      <c r="A15" s="32" t="n">
        <v>8</v>
      </c>
      <c r="B15" s="16" t="s">
        <v>381</v>
      </c>
      <c r="C15" s="32" t="s">
        <v>93</v>
      </c>
      <c r="D15" s="33" t="n">
        <v>0</v>
      </c>
      <c r="E15" s="34" t="s">
        <v>162</v>
      </c>
      <c r="F15" s="23" t="n">
        <f aca="false">IF($E15="","",IFERROR(INDEX(MaterialPrices,MATCH($E15,MaterialCodes,0)),0))</f>
        <v>2387.5</v>
      </c>
      <c r="G15" s="40" t="n">
        <f aca="false">'Thresholds &amp; Assumptions'!$B$53</f>
        <v>0.02</v>
      </c>
      <c r="H15" s="23" t="n">
        <f aca="false">IF($F15="",0,$F15*(1+$G15))</f>
        <v>2435.25</v>
      </c>
      <c r="I15" s="17" t="n">
        <v>0</v>
      </c>
      <c r="J15" s="17" t="n">
        <v>0</v>
      </c>
      <c r="K15" s="17" t="n">
        <v>0</v>
      </c>
      <c r="L15" s="23" t="n">
        <f aca="false">H15+I15+J15+K15</f>
        <v>2435.25</v>
      </c>
      <c r="M15" s="36" t="n">
        <f aca="false">D15*L15</f>
        <v>0</v>
      </c>
      <c r="N15" s="16"/>
    </row>
    <row r="16" customFormat="false" ht="15" hidden="false" customHeight="false" outlineLevel="0" collapsed="false">
      <c r="A16" s="32" t="n">
        <v>9</v>
      </c>
      <c r="B16" s="16" t="s">
        <v>382</v>
      </c>
      <c r="C16" s="32" t="s">
        <v>70</v>
      </c>
      <c r="D16" s="33" t="n">
        <v>0</v>
      </c>
      <c r="E16" s="34" t="s">
        <v>79</v>
      </c>
      <c r="F16" s="23" t="n">
        <f aca="false">IF($E16="","",IFERROR(INDEX(MaterialPrices,MATCH($E16,MaterialCodes,0)),0))</f>
        <v>36500</v>
      </c>
      <c r="G16" s="40" t="n">
        <f aca="false">'Thresholds &amp; Assumptions'!$B$52</f>
        <v>0.03</v>
      </c>
      <c r="H16" s="23" t="n">
        <f aca="false">IF($F16="",0,$F16*(1+$G16))</f>
        <v>37595</v>
      </c>
      <c r="I16" s="17" t="n">
        <v>0</v>
      </c>
      <c r="J16" s="17" t="n">
        <v>0</v>
      </c>
      <c r="K16" s="17" t="n">
        <v>0</v>
      </c>
      <c r="L16" s="23" t="n">
        <f aca="false">H16+I16+J16+K16</f>
        <v>37595</v>
      </c>
      <c r="M16" s="36" t="n">
        <f aca="false">D16*L16</f>
        <v>0</v>
      </c>
      <c r="N16" s="16"/>
    </row>
    <row r="17" customFormat="false" ht="15" hidden="false" customHeight="false" outlineLevel="0" collapsed="false">
      <c r="A17" s="32" t="n">
        <v>10</v>
      </c>
      <c r="B17" s="16" t="s">
        <v>383</v>
      </c>
      <c r="C17" s="32" t="s">
        <v>126</v>
      </c>
      <c r="D17" s="33" t="n">
        <v>0</v>
      </c>
      <c r="E17" s="34" t="s">
        <v>140</v>
      </c>
      <c r="F17" s="23" t="n">
        <f aca="false">IF($E17="","",IFERROR(INDEX(MaterialPrices,MATCH($E17,MaterialCodes,0)),0))</f>
        <v>900</v>
      </c>
      <c r="G17" s="40" t="n">
        <f aca="false">'Thresholds &amp; Assumptions'!$B$57</f>
        <v>0.2</v>
      </c>
      <c r="H17" s="23" t="n">
        <f aca="false">IF($F17="",0,$F17*(1+$G17))</f>
        <v>1080</v>
      </c>
      <c r="I17" s="17" t="n">
        <v>0</v>
      </c>
      <c r="J17" s="17" t="n">
        <v>0</v>
      </c>
      <c r="K17" s="17" t="n">
        <v>0</v>
      </c>
      <c r="L17" s="23" t="n">
        <f aca="false">H17+I17+J17+K17</f>
        <v>1080</v>
      </c>
      <c r="M17" s="36" t="n">
        <f aca="false">D17*L17</f>
        <v>0</v>
      </c>
      <c r="N17" s="16"/>
    </row>
    <row r="18" customFormat="false" ht="15" hidden="false" customHeight="false" outlineLevel="0" collapsed="false">
      <c r="A18" s="32" t="n">
        <v>11</v>
      </c>
      <c r="B18" s="16" t="s">
        <v>384</v>
      </c>
      <c r="C18" s="32" t="s">
        <v>126</v>
      </c>
      <c r="D18" s="33" t="n">
        <v>0</v>
      </c>
      <c r="E18" s="34" t="s">
        <v>149</v>
      </c>
      <c r="F18" s="23" t="n">
        <f aca="false">IF($E18="","",IFERROR(INDEX(MaterialPrices,MATCH($E18,MaterialCodes,0)),0))</f>
        <v>220</v>
      </c>
      <c r="G18" s="35" t="n">
        <v>0</v>
      </c>
      <c r="H18" s="23" t="n">
        <f aca="false">IF($F18="",0,$F18*(1+$G18))</f>
        <v>220</v>
      </c>
      <c r="I18" s="17" t="n">
        <v>0</v>
      </c>
      <c r="J18" s="17" t="n">
        <v>0</v>
      </c>
      <c r="K18" s="17" t="n">
        <v>0</v>
      </c>
      <c r="L18" s="23" t="n">
        <f aca="false">H18+I18+J18+K18</f>
        <v>220</v>
      </c>
      <c r="M18" s="36" t="n">
        <f aca="false">D18*L18</f>
        <v>0</v>
      </c>
      <c r="N18" s="16"/>
    </row>
    <row r="19" customFormat="false" ht="15" hidden="false" customHeight="false" outlineLevel="0" collapsed="false">
      <c r="A19" s="37" t="s">
        <v>385</v>
      </c>
      <c r="B19" s="37"/>
      <c r="C19" s="37"/>
      <c r="D19" s="37"/>
      <c r="E19" s="37"/>
      <c r="F19" s="37"/>
      <c r="G19" s="37"/>
      <c r="H19" s="37"/>
      <c r="I19" s="37"/>
      <c r="J19" s="37"/>
      <c r="K19" s="37"/>
      <c r="L19" s="37"/>
      <c r="M19" s="38" t="n">
        <f aca="false">SUM(M12:M18)</f>
        <v>0</v>
      </c>
      <c r="N19" s="39"/>
    </row>
    <row r="20" customFormat="false" ht="15" hidden="false" customHeight="false" outlineLevel="0" collapsed="false">
      <c r="A20" s="25" t="s">
        <v>386</v>
      </c>
      <c r="B20" s="25"/>
      <c r="C20" s="25"/>
      <c r="D20" s="25"/>
      <c r="E20" s="25"/>
      <c r="F20" s="25"/>
      <c r="G20" s="25"/>
      <c r="H20" s="25"/>
      <c r="I20" s="25"/>
      <c r="J20" s="25"/>
      <c r="K20" s="25"/>
      <c r="L20" s="25"/>
      <c r="M20" s="25"/>
      <c r="N20" s="25"/>
    </row>
    <row r="21" customFormat="false" ht="15" hidden="false" customHeight="false" outlineLevel="0" collapsed="false">
      <c r="A21" s="32" t="n">
        <v>12</v>
      </c>
      <c r="B21" s="16" t="s">
        <v>387</v>
      </c>
      <c r="C21" s="32" t="s">
        <v>93</v>
      </c>
      <c r="D21" s="33" t="n">
        <v>0</v>
      </c>
      <c r="E21" s="34" t="s">
        <v>162</v>
      </c>
      <c r="F21" s="23" t="n">
        <f aca="false">IF($E21="","",IFERROR(INDEX(MaterialPrices,MATCH($E21,MaterialCodes,0)),0))</f>
        <v>2387.5</v>
      </c>
      <c r="G21" s="40" t="n">
        <f aca="false">'Thresholds &amp; Assumptions'!$B$53</f>
        <v>0.02</v>
      </c>
      <c r="H21" s="23" t="n">
        <f aca="false">IF($F21="",0,$F21*(1+$G21))</f>
        <v>2435.25</v>
      </c>
      <c r="I21" s="17" t="n">
        <v>0</v>
      </c>
      <c r="J21" s="17" t="n">
        <v>0</v>
      </c>
      <c r="K21" s="17" t="n">
        <v>0</v>
      </c>
      <c r="L21" s="23" t="n">
        <f aca="false">H21+I21+J21+K21</f>
        <v>2435.25</v>
      </c>
      <c r="M21" s="36" t="n">
        <f aca="false">D21*L21</f>
        <v>0</v>
      </c>
      <c r="N21" s="16"/>
    </row>
    <row r="22" customFormat="false" ht="15" hidden="false" customHeight="false" outlineLevel="0" collapsed="false">
      <c r="A22" s="32" t="n">
        <v>13</v>
      </c>
      <c r="B22" s="16" t="s">
        <v>388</v>
      </c>
      <c r="C22" s="32" t="s">
        <v>70</v>
      </c>
      <c r="D22" s="33" t="n">
        <v>0</v>
      </c>
      <c r="E22" s="34" t="s">
        <v>79</v>
      </c>
      <c r="F22" s="23" t="n">
        <f aca="false">IF($E22="","",IFERROR(INDEX(MaterialPrices,MATCH($E22,MaterialCodes,0)),0))</f>
        <v>36500</v>
      </c>
      <c r="G22" s="40" t="n">
        <f aca="false">'Thresholds &amp; Assumptions'!$B$52</f>
        <v>0.03</v>
      </c>
      <c r="H22" s="23" t="n">
        <f aca="false">IF($F22="",0,$F22*(1+$G22))</f>
        <v>37595</v>
      </c>
      <c r="I22" s="17" t="n">
        <v>0</v>
      </c>
      <c r="J22" s="17" t="n">
        <v>0</v>
      </c>
      <c r="K22" s="17" t="n">
        <v>0</v>
      </c>
      <c r="L22" s="23" t="n">
        <f aca="false">H22+I22+J22+K22</f>
        <v>37595</v>
      </c>
      <c r="M22" s="36" t="n">
        <f aca="false">D22*L22</f>
        <v>0</v>
      </c>
      <c r="N22" s="16"/>
    </row>
    <row r="23" customFormat="false" ht="15" hidden="false" customHeight="false" outlineLevel="0" collapsed="false">
      <c r="A23" s="32" t="n">
        <v>14</v>
      </c>
      <c r="B23" s="16" t="s">
        <v>389</v>
      </c>
      <c r="C23" s="32" t="s">
        <v>126</v>
      </c>
      <c r="D23" s="33" t="n">
        <v>0</v>
      </c>
      <c r="E23" s="34" t="s">
        <v>140</v>
      </c>
      <c r="F23" s="23" t="n">
        <f aca="false">IF($E23="","",IFERROR(INDEX(MaterialPrices,MATCH($E23,MaterialCodes,0)),0))</f>
        <v>900</v>
      </c>
      <c r="G23" s="40" t="n">
        <f aca="false">'Thresholds &amp; Assumptions'!$B$57</f>
        <v>0.2</v>
      </c>
      <c r="H23" s="23" t="n">
        <f aca="false">IF($F23="",0,$F23*(1+$G23))</f>
        <v>1080</v>
      </c>
      <c r="I23" s="17" t="n">
        <v>0</v>
      </c>
      <c r="J23" s="17" t="n">
        <v>0</v>
      </c>
      <c r="K23" s="17" t="n">
        <v>0</v>
      </c>
      <c r="L23" s="23" t="n">
        <f aca="false">H23+I23+J23+K23</f>
        <v>1080</v>
      </c>
      <c r="M23" s="36" t="n">
        <f aca="false">D23*L23</f>
        <v>0</v>
      </c>
      <c r="N23" s="16"/>
    </row>
    <row r="24" customFormat="false" ht="15" hidden="false" customHeight="false" outlineLevel="0" collapsed="false">
      <c r="A24" s="32" t="n">
        <v>15</v>
      </c>
      <c r="B24" s="16" t="s">
        <v>390</v>
      </c>
      <c r="C24" s="32" t="s">
        <v>93</v>
      </c>
      <c r="D24" s="33" t="n">
        <v>0</v>
      </c>
      <c r="E24" s="34" t="s">
        <v>162</v>
      </c>
      <c r="F24" s="23" t="n">
        <f aca="false">IF($E24="","",IFERROR(INDEX(MaterialPrices,MATCH($E24,MaterialCodes,0)),0))</f>
        <v>2387.5</v>
      </c>
      <c r="G24" s="40" t="n">
        <f aca="false">'Thresholds &amp; Assumptions'!$B$53</f>
        <v>0.02</v>
      </c>
      <c r="H24" s="23" t="n">
        <f aca="false">IF($F24="",0,$F24*(1+$G24))</f>
        <v>2435.25</v>
      </c>
      <c r="I24" s="17" t="n">
        <v>0</v>
      </c>
      <c r="J24" s="17" t="n">
        <v>0</v>
      </c>
      <c r="K24" s="17" t="n">
        <v>0</v>
      </c>
      <c r="L24" s="23" t="n">
        <f aca="false">H24+I24+J24+K24</f>
        <v>2435.25</v>
      </c>
      <c r="M24" s="36" t="n">
        <f aca="false">D24*L24</f>
        <v>0</v>
      </c>
      <c r="N24" s="16"/>
    </row>
    <row r="25" customFormat="false" ht="15" hidden="false" customHeight="false" outlineLevel="0" collapsed="false">
      <c r="A25" s="32" t="n">
        <v>16</v>
      </c>
      <c r="B25" s="16" t="s">
        <v>391</v>
      </c>
      <c r="C25" s="32" t="s">
        <v>70</v>
      </c>
      <c r="D25" s="33" t="n">
        <v>0</v>
      </c>
      <c r="E25" s="34" t="s">
        <v>79</v>
      </c>
      <c r="F25" s="23" t="n">
        <f aca="false">IF($E25="","",IFERROR(INDEX(MaterialPrices,MATCH($E25,MaterialCodes,0)),0))</f>
        <v>36500</v>
      </c>
      <c r="G25" s="40" t="n">
        <f aca="false">'Thresholds &amp; Assumptions'!$B$52</f>
        <v>0.03</v>
      </c>
      <c r="H25" s="23" t="n">
        <f aca="false">IF($F25="",0,$F25*(1+$G25))</f>
        <v>37595</v>
      </c>
      <c r="I25" s="17" t="n">
        <v>0</v>
      </c>
      <c r="J25" s="17" t="n">
        <v>0</v>
      </c>
      <c r="K25" s="17" t="n">
        <v>0</v>
      </c>
      <c r="L25" s="23" t="n">
        <f aca="false">H25+I25+J25+K25</f>
        <v>37595</v>
      </c>
      <c r="M25" s="36" t="n">
        <f aca="false">D25*L25</f>
        <v>0</v>
      </c>
      <c r="N25" s="16"/>
    </row>
    <row r="26" customFormat="false" ht="15" hidden="false" customHeight="false" outlineLevel="0" collapsed="false">
      <c r="A26" s="32" t="n">
        <v>17</v>
      </c>
      <c r="B26" s="16" t="s">
        <v>392</v>
      </c>
      <c r="C26" s="32" t="s">
        <v>126</v>
      </c>
      <c r="D26" s="33" t="n">
        <v>0</v>
      </c>
      <c r="E26" s="34" t="s">
        <v>140</v>
      </c>
      <c r="F26" s="23" t="n">
        <f aca="false">IF($E26="","",IFERROR(INDEX(MaterialPrices,MATCH($E26,MaterialCodes,0)),0))</f>
        <v>900</v>
      </c>
      <c r="G26" s="40" t="n">
        <f aca="false">'Thresholds &amp; Assumptions'!$B$57</f>
        <v>0.2</v>
      </c>
      <c r="H26" s="23" t="n">
        <f aca="false">IF($F26="",0,$F26*(1+$G26))</f>
        <v>1080</v>
      </c>
      <c r="I26" s="17" t="n">
        <v>0</v>
      </c>
      <c r="J26" s="17" t="n">
        <v>0</v>
      </c>
      <c r="K26" s="17" t="n">
        <v>0</v>
      </c>
      <c r="L26" s="23" t="n">
        <f aca="false">H26+I26+J26+K26</f>
        <v>1080</v>
      </c>
      <c r="M26" s="36" t="n">
        <f aca="false">D26*L26</f>
        <v>0</v>
      </c>
      <c r="N26" s="16"/>
    </row>
    <row r="27" customFormat="false" ht="15" hidden="false" customHeight="false" outlineLevel="0" collapsed="false">
      <c r="A27" s="32" t="n">
        <v>18</v>
      </c>
      <c r="B27" s="16" t="s">
        <v>393</v>
      </c>
      <c r="C27" s="32" t="s">
        <v>93</v>
      </c>
      <c r="D27" s="33" t="n">
        <v>0</v>
      </c>
      <c r="E27" s="34" t="s">
        <v>162</v>
      </c>
      <c r="F27" s="23" t="n">
        <f aca="false">IF($E27="","",IFERROR(INDEX(MaterialPrices,MATCH($E27,MaterialCodes,0)),0))</f>
        <v>2387.5</v>
      </c>
      <c r="G27" s="40" t="n">
        <f aca="false">'Thresholds &amp; Assumptions'!$B$53</f>
        <v>0.02</v>
      </c>
      <c r="H27" s="23" t="n">
        <f aca="false">IF($F27="",0,$F27*(1+$G27))</f>
        <v>2435.25</v>
      </c>
      <c r="I27" s="17" t="n">
        <v>0</v>
      </c>
      <c r="J27" s="17" t="n">
        <v>0</v>
      </c>
      <c r="K27" s="17" t="n">
        <v>0</v>
      </c>
      <c r="L27" s="23" t="n">
        <f aca="false">H27+I27+J27+K27</f>
        <v>2435.25</v>
      </c>
      <c r="M27" s="36" t="n">
        <f aca="false">D27*L27</f>
        <v>0</v>
      </c>
      <c r="N27" s="16"/>
    </row>
    <row r="28" customFormat="false" ht="15" hidden="false" customHeight="false" outlineLevel="0" collapsed="false">
      <c r="A28" s="37" t="s">
        <v>394</v>
      </c>
      <c r="B28" s="37"/>
      <c r="C28" s="37"/>
      <c r="D28" s="37"/>
      <c r="E28" s="37"/>
      <c r="F28" s="37"/>
      <c r="G28" s="37"/>
      <c r="H28" s="37"/>
      <c r="I28" s="37"/>
      <c r="J28" s="37"/>
      <c r="K28" s="37"/>
      <c r="L28" s="37"/>
      <c r="M28" s="38" t="n">
        <f aca="false">SUM(M21:M27)</f>
        <v>0</v>
      </c>
      <c r="N28" s="39"/>
    </row>
    <row r="29" customFormat="false" ht="15" hidden="false" customHeight="false" outlineLevel="0" collapsed="false">
      <c r="A29" s="25" t="s">
        <v>395</v>
      </c>
      <c r="B29" s="25"/>
      <c r="C29" s="25"/>
      <c r="D29" s="25"/>
      <c r="E29" s="25"/>
      <c r="F29" s="25"/>
      <c r="G29" s="25"/>
      <c r="H29" s="25"/>
      <c r="I29" s="25"/>
      <c r="J29" s="25"/>
      <c r="K29" s="25"/>
      <c r="L29" s="25"/>
      <c r="M29" s="25"/>
      <c r="N29" s="25"/>
    </row>
    <row r="30" customFormat="false" ht="15" hidden="false" customHeight="false" outlineLevel="0" collapsed="false">
      <c r="A30" s="32" t="n">
        <v>19</v>
      </c>
      <c r="B30" s="16" t="s">
        <v>396</v>
      </c>
      <c r="C30" s="32" t="s">
        <v>126</v>
      </c>
      <c r="D30" s="33" t="n">
        <v>0</v>
      </c>
      <c r="E30" s="34" t="s">
        <v>101</v>
      </c>
      <c r="F30" s="23" t="n">
        <f aca="false">IF($E30="","",IFERROR(INDEX(MaterialPrices,MATCH($E30,MaterialCodes,0)),0))</f>
        <v>5700</v>
      </c>
      <c r="G30" s="40" t="n">
        <f aca="false">'Thresholds &amp; Assumptions'!$B$54</f>
        <v>0.05</v>
      </c>
      <c r="H30" s="23" t="n">
        <f aca="false">IF($F30="",0,$F30*(1+$G30))</f>
        <v>5985</v>
      </c>
      <c r="I30" s="17" t="n">
        <v>0</v>
      </c>
      <c r="J30" s="17" t="n">
        <v>0</v>
      </c>
      <c r="K30" s="17" t="n">
        <v>0</v>
      </c>
      <c r="L30" s="23" t="n">
        <f aca="false">H30+I30+J30+K30</f>
        <v>5985</v>
      </c>
      <c r="M30" s="36" t="n">
        <f aca="false">D30*L30</f>
        <v>0</v>
      </c>
      <c r="N30" s="16"/>
    </row>
    <row r="31" customFormat="false" ht="15" hidden="false" customHeight="false" outlineLevel="0" collapsed="false">
      <c r="A31" s="32" t="n">
        <v>20</v>
      </c>
      <c r="B31" s="16" t="s">
        <v>397</v>
      </c>
      <c r="C31" s="32" t="s">
        <v>126</v>
      </c>
      <c r="D31" s="33" t="n">
        <v>0</v>
      </c>
      <c r="E31" s="34" t="s">
        <v>105</v>
      </c>
      <c r="F31" s="23" t="n">
        <f aca="false">IF($E31="","",IFERROR(INDEX(MaterialPrices,MATCH($E31,MaterialCodes,0)),0))</f>
        <v>3500</v>
      </c>
      <c r="G31" s="40" t="n">
        <f aca="false">'Thresholds &amp; Assumptions'!$B$54</f>
        <v>0.05</v>
      </c>
      <c r="H31" s="23" t="n">
        <f aca="false">IF($F31="",0,$F31*(1+$G31))</f>
        <v>3675</v>
      </c>
      <c r="I31" s="17" t="n">
        <v>0</v>
      </c>
      <c r="J31" s="17" t="n">
        <v>0</v>
      </c>
      <c r="K31" s="17" t="n">
        <v>0</v>
      </c>
      <c r="L31" s="23" t="n">
        <f aca="false">H31+I31+J31+K31</f>
        <v>3675</v>
      </c>
      <c r="M31" s="36" t="n">
        <f aca="false">D31*L31</f>
        <v>0</v>
      </c>
      <c r="N31" s="16"/>
    </row>
    <row r="32" customFormat="false" ht="15" hidden="false" customHeight="false" outlineLevel="0" collapsed="false">
      <c r="A32" s="32" t="n">
        <v>21</v>
      </c>
      <c r="B32" s="16" t="s">
        <v>398</v>
      </c>
      <c r="C32" s="32" t="s">
        <v>126</v>
      </c>
      <c r="D32" s="33" t="n">
        <v>0</v>
      </c>
      <c r="E32" s="34"/>
      <c r="F32" s="23" t="str">
        <f aca="false">IF($E32="","",IFERROR(INDEX(MaterialPrices,MATCH($E32,MaterialCodes,0)),0))</f>
        <v/>
      </c>
      <c r="G32" s="35" t="n">
        <v>0</v>
      </c>
      <c r="H32" s="23" t="n">
        <f aca="false">IF($F32="",0,$F32*(1+$G32))</f>
        <v>0</v>
      </c>
      <c r="I32" s="17" t="n">
        <v>0</v>
      </c>
      <c r="J32" s="17" t="n">
        <v>0</v>
      </c>
      <c r="K32" s="17" t="n">
        <v>0</v>
      </c>
      <c r="L32" s="23" t="n">
        <f aca="false">H32+I32+J32+K32</f>
        <v>0</v>
      </c>
      <c r="M32" s="36" t="n">
        <f aca="false">D32*L32</f>
        <v>0</v>
      </c>
      <c r="N32" s="16"/>
    </row>
    <row r="33" customFormat="false" ht="15" hidden="false" customHeight="false" outlineLevel="0" collapsed="false">
      <c r="A33" s="32" t="n">
        <v>22</v>
      </c>
      <c r="B33" s="16" t="s">
        <v>399</v>
      </c>
      <c r="C33" s="32" t="s">
        <v>126</v>
      </c>
      <c r="D33" s="33" t="n">
        <v>0</v>
      </c>
      <c r="E33" s="34"/>
      <c r="F33" s="23" t="str">
        <f aca="false">IF($E33="","",IFERROR(INDEX(MaterialPrices,MATCH($E33,MaterialCodes,0)),0))</f>
        <v/>
      </c>
      <c r="G33" s="35" t="n">
        <v>0</v>
      </c>
      <c r="H33" s="23" t="n">
        <f aca="false">IF($F33="",0,$F33*(1+$G33))</f>
        <v>0</v>
      </c>
      <c r="I33" s="17" t="n">
        <v>0</v>
      </c>
      <c r="J33" s="17" t="n">
        <v>0</v>
      </c>
      <c r="K33" s="17" t="n">
        <v>0</v>
      </c>
      <c r="L33" s="23" t="n">
        <f aca="false">H33+I33+J33+K33</f>
        <v>0</v>
      </c>
      <c r="M33" s="36" t="n">
        <f aca="false">D33*L33</f>
        <v>0</v>
      </c>
      <c r="N33" s="16"/>
    </row>
    <row r="34" customFormat="false" ht="15" hidden="false" customHeight="false" outlineLevel="0" collapsed="false">
      <c r="A34" s="37" t="s">
        <v>400</v>
      </c>
      <c r="B34" s="37"/>
      <c r="C34" s="37"/>
      <c r="D34" s="37"/>
      <c r="E34" s="37"/>
      <c r="F34" s="37"/>
      <c r="G34" s="37"/>
      <c r="H34" s="37"/>
      <c r="I34" s="37"/>
      <c r="J34" s="37"/>
      <c r="K34" s="37"/>
      <c r="L34" s="37"/>
      <c r="M34" s="38" t="n">
        <f aca="false">SUM(M30:M33)</f>
        <v>0</v>
      </c>
      <c r="N34" s="39"/>
    </row>
    <row r="35" customFormat="false" ht="15" hidden="false" customHeight="false" outlineLevel="0" collapsed="false">
      <c r="A35" s="25" t="s">
        <v>401</v>
      </c>
      <c r="B35" s="25"/>
      <c r="C35" s="25"/>
      <c r="D35" s="25"/>
      <c r="E35" s="25"/>
      <c r="F35" s="25"/>
      <c r="G35" s="25"/>
      <c r="H35" s="25"/>
      <c r="I35" s="25"/>
      <c r="J35" s="25"/>
      <c r="K35" s="25"/>
      <c r="L35" s="25"/>
      <c r="M35" s="25"/>
      <c r="N35" s="25"/>
    </row>
    <row r="36" customFormat="false" ht="15" hidden="false" customHeight="false" outlineLevel="0" collapsed="false">
      <c r="A36" s="32" t="n">
        <v>23</v>
      </c>
      <c r="B36" s="16" t="s">
        <v>402</v>
      </c>
      <c r="C36" s="32" t="s">
        <v>126</v>
      </c>
      <c r="D36" s="33" t="n">
        <v>0</v>
      </c>
      <c r="E36" s="34" t="s">
        <v>123</v>
      </c>
      <c r="F36" s="23" t="n">
        <f aca="false">IF($E36="","",IFERROR(INDEX(MaterialPrices,MATCH($E36,MaterialCodes,0)),0))</f>
        <v>250</v>
      </c>
      <c r="G36" s="40" t="n">
        <f aca="false">'Thresholds &amp; Assumptions'!$B$56</f>
        <v>0.08</v>
      </c>
      <c r="H36" s="23" t="n">
        <f aca="false">IF($F36="",0,$F36*(1+$G36))</f>
        <v>270</v>
      </c>
      <c r="I36" s="17" t="n">
        <v>0</v>
      </c>
      <c r="J36" s="17" t="n">
        <v>0</v>
      </c>
      <c r="K36" s="17" t="n">
        <v>0</v>
      </c>
      <c r="L36" s="23" t="n">
        <f aca="false">H36+I36+J36+K36</f>
        <v>270</v>
      </c>
      <c r="M36" s="36" t="n">
        <f aca="false">D36*L36</f>
        <v>0</v>
      </c>
      <c r="N36" s="16"/>
    </row>
    <row r="37" customFormat="false" ht="15" hidden="false" customHeight="false" outlineLevel="0" collapsed="false">
      <c r="A37" s="32" t="n">
        <v>24</v>
      </c>
      <c r="B37" s="16" t="s">
        <v>403</v>
      </c>
      <c r="C37" s="32" t="s">
        <v>126</v>
      </c>
      <c r="D37" s="33" t="n">
        <v>0</v>
      </c>
      <c r="E37" s="34" t="s">
        <v>123</v>
      </c>
      <c r="F37" s="23" t="n">
        <f aca="false">IF($E37="","",IFERROR(INDEX(MaterialPrices,MATCH($E37,MaterialCodes,0)),0))</f>
        <v>250</v>
      </c>
      <c r="G37" s="40" t="n">
        <f aca="false">'Thresholds &amp; Assumptions'!$B$56</f>
        <v>0.08</v>
      </c>
      <c r="H37" s="23" t="n">
        <f aca="false">IF($F37="",0,$F37*(1+$G37))</f>
        <v>270</v>
      </c>
      <c r="I37" s="17" t="n">
        <v>0</v>
      </c>
      <c r="J37" s="17" t="n">
        <v>0</v>
      </c>
      <c r="K37" s="17" t="n">
        <v>0</v>
      </c>
      <c r="L37" s="23" t="n">
        <f aca="false">H37+I37+J37+K37</f>
        <v>270</v>
      </c>
      <c r="M37" s="36" t="n">
        <f aca="false">D37*L37</f>
        <v>0</v>
      </c>
      <c r="N37" s="16"/>
    </row>
    <row r="38" customFormat="false" ht="15" hidden="false" customHeight="false" outlineLevel="0" collapsed="false">
      <c r="A38" s="32" t="n">
        <v>25</v>
      </c>
      <c r="B38" s="16" t="s">
        <v>404</v>
      </c>
      <c r="C38" s="32" t="s">
        <v>126</v>
      </c>
      <c r="D38" s="33" t="n">
        <v>0</v>
      </c>
      <c r="E38" s="34" t="s">
        <v>127</v>
      </c>
      <c r="F38" s="23" t="n">
        <f aca="false">IF($E38="","",IFERROR(INDEX(MaterialPrices,MATCH($E38,MaterialCodes,0)),0))</f>
        <v>800</v>
      </c>
      <c r="G38" s="40" t="n">
        <f aca="false">'Thresholds &amp; Assumptions'!$B$58</f>
        <v>0.05</v>
      </c>
      <c r="H38" s="23" t="n">
        <f aca="false">IF($F38="",0,$F38*(1+$G38))</f>
        <v>840</v>
      </c>
      <c r="I38" s="17" t="n">
        <v>0</v>
      </c>
      <c r="J38" s="17" t="n">
        <v>0</v>
      </c>
      <c r="K38" s="17" t="n">
        <v>0</v>
      </c>
      <c r="L38" s="23" t="n">
        <f aca="false">H38+I38+J38+K38</f>
        <v>840</v>
      </c>
      <c r="M38" s="36" t="n">
        <f aca="false">D38*L38</f>
        <v>0</v>
      </c>
      <c r="N38" s="16"/>
    </row>
    <row r="39" customFormat="false" ht="15" hidden="false" customHeight="false" outlineLevel="0" collapsed="false">
      <c r="A39" s="32" t="n">
        <v>26</v>
      </c>
      <c r="B39" s="16" t="s">
        <v>405</v>
      </c>
      <c r="C39" s="32" t="s">
        <v>126</v>
      </c>
      <c r="D39" s="33" t="n">
        <v>0</v>
      </c>
      <c r="E39" s="34" t="s">
        <v>127</v>
      </c>
      <c r="F39" s="23" t="n">
        <f aca="false">IF($E39="","",IFERROR(INDEX(MaterialPrices,MATCH($E39,MaterialCodes,0)),0))</f>
        <v>800</v>
      </c>
      <c r="G39" s="40" t="n">
        <f aca="false">'Thresholds &amp; Assumptions'!$B$58</f>
        <v>0.05</v>
      </c>
      <c r="H39" s="23" t="n">
        <f aca="false">IF($F39="",0,$F39*(1+$G39))</f>
        <v>840</v>
      </c>
      <c r="I39" s="17" t="n">
        <v>0</v>
      </c>
      <c r="J39" s="17" t="n">
        <v>0</v>
      </c>
      <c r="K39" s="17" t="n">
        <v>0</v>
      </c>
      <c r="L39" s="23" t="n">
        <f aca="false">H39+I39+J39+K39</f>
        <v>840</v>
      </c>
      <c r="M39" s="36" t="n">
        <f aca="false">D39*L39</f>
        <v>0</v>
      </c>
      <c r="N39" s="16"/>
    </row>
    <row r="40" customFormat="false" ht="15" hidden="false" customHeight="false" outlineLevel="0" collapsed="false">
      <c r="A40" s="32" t="n">
        <v>27</v>
      </c>
      <c r="B40" s="16" t="s">
        <v>406</v>
      </c>
      <c r="C40" s="32" t="s">
        <v>126</v>
      </c>
      <c r="D40" s="33" t="n">
        <v>0</v>
      </c>
      <c r="E40" s="34"/>
      <c r="F40" s="23" t="str">
        <f aca="false">IF($E40="","",IFERROR(INDEX(MaterialPrices,MATCH($E40,MaterialCodes,0)),0))</f>
        <v/>
      </c>
      <c r="G40" s="35" t="n">
        <v>0</v>
      </c>
      <c r="H40" s="23" t="n">
        <f aca="false">IF($F40="",0,$F40*(1+$G40))</f>
        <v>0</v>
      </c>
      <c r="I40" s="17" t="n">
        <v>0</v>
      </c>
      <c r="J40" s="17" t="n">
        <v>0</v>
      </c>
      <c r="K40" s="17" t="n">
        <v>0</v>
      </c>
      <c r="L40" s="23" t="n">
        <f aca="false">H40+I40+J40+K40</f>
        <v>0</v>
      </c>
      <c r="M40" s="36" t="n">
        <f aca="false">D40*L40</f>
        <v>0</v>
      </c>
      <c r="N40" s="16"/>
    </row>
    <row r="41" customFormat="false" ht="15" hidden="false" customHeight="false" outlineLevel="0" collapsed="false">
      <c r="A41" s="32" t="n">
        <v>28</v>
      </c>
      <c r="B41" s="16" t="s">
        <v>407</v>
      </c>
      <c r="C41" s="32" t="s">
        <v>126</v>
      </c>
      <c r="D41" s="33" t="n">
        <v>0</v>
      </c>
      <c r="E41" s="34"/>
      <c r="F41" s="23" t="str">
        <f aca="false">IF($E41="","",IFERROR(INDEX(MaterialPrices,MATCH($E41,MaterialCodes,0)),0))</f>
        <v/>
      </c>
      <c r="G41" s="35" t="n">
        <v>0</v>
      </c>
      <c r="H41" s="23" t="n">
        <f aca="false">IF($F41="",0,$F41*(1+$G41))</f>
        <v>0</v>
      </c>
      <c r="I41" s="17" t="n">
        <v>0</v>
      </c>
      <c r="J41" s="17" t="n">
        <v>0</v>
      </c>
      <c r="K41" s="17" t="n">
        <v>0</v>
      </c>
      <c r="L41" s="23" t="n">
        <f aca="false">H41+I41+J41+K41</f>
        <v>0</v>
      </c>
      <c r="M41" s="36" t="n">
        <f aca="false">D41*L41</f>
        <v>0</v>
      </c>
      <c r="N41" s="16"/>
    </row>
    <row r="42" customFormat="false" ht="15" hidden="false" customHeight="false" outlineLevel="0" collapsed="false">
      <c r="A42" s="37" t="s">
        <v>408</v>
      </c>
      <c r="B42" s="37"/>
      <c r="C42" s="37"/>
      <c r="D42" s="37"/>
      <c r="E42" s="37"/>
      <c r="F42" s="37"/>
      <c r="G42" s="37"/>
      <c r="H42" s="37"/>
      <c r="I42" s="37"/>
      <c r="J42" s="37"/>
      <c r="K42" s="37"/>
      <c r="L42" s="37"/>
      <c r="M42" s="38" t="n">
        <f aca="false">SUM(M36:M41)</f>
        <v>0</v>
      </c>
      <c r="N42" s="39"/>
    </row>
    <row r="43" customFormat="false" ht="15" hidden="false" customHeight="false" outlineLevel="0" collapsed="false">
      <c r="A43" s="25" t="s">
        <v>409</v>
      </c>
      <c r="B43" s="25"/>
      <c r="C43" s="25"/>
      <c r="D43" s="25"/>
      <c r="E43" s="25"/>
      <c r="F43" s="25"/>
      <c r="G43" s="25"/>
      <c r="H43" s="25"/>
      <c r="I43" s="25"/>
      <c r="J43" s="25"/>
      <c r="K43" s="25"/>
      <c r="L43" s="25"/>
      <c r="M43" s="25"/>
      <c r="N43" s="25"/>
    </row>
    <row r="44" customFormat="false" ht="28.35" hidden="false" customHeight="false" outlineLevel="0" collapsed="false">
      <c r="A44" s="32" t="n">
        <v>29</v>
      </c>
      <c r="B44" s="16" t="s">
        <v>410</v>
      </c>
      <c r="C44" s="32" t="s">
        <v>372</v>
      </c>
      <c r="D44" s="33" t="n">
        <v>0</v>
      </c>
      <c r="E44" s="34"/>
      <c r="F44" s="23" t="str">
        <f aca="false">IF($E44="","",IFERROR(INDEX(MaterialPrices,MATCH($E44,MaterialCodes,0)),0))</f>
        <v/>
      </c>
      <c r="G44" s="35" t="n">
        <v>0</v>
      </c>
      <c r="H44" s="23" t="n">
        <f aca="false">IF($F44="",0,$F44*(1+$G44))</f>
        <v>0</v>
      </c>
      <c r="I44" s="17" t="n">
        <v>0</v>
      </c>
      <c r="J44" s="17" t="n">
        <v>0</v>
      </c>
      <c r="K44" s="17" t="n">
        <v>0</v>
      </c>
      <c r="L44" s="23" t="n">
        <f aca="false">H44+I44+J44+K44</f>
        <v>0</v>
      </c>
      <c r="M44" s="36" t="n">
        <f aca="false">D44*L44</f>
        <v>0</v>
      </c>
      <c r="N44" s="16" t="s">
        <v>411</v>
      </c>
    </row>
    <row r="45" customFormat="false" ht="15" hidden="false" customHeight="false" outlineLevel="0" collapsed="false">
      <c r="A45" s="32" t="n">
        <v>30</v>
      </c>
      <c r="B45" s="16" t="s">
        <v>412</v>
      </c>
      <c r="C45" s="32" t="s">
        <v>372</v>
      </c>
      <c r="D45" s="33" t="n">
        <v>0</v>
      </c>
      <c r="E45" s="34"/>
      <c r="F45" s="23" t="str">
        <f aca="false">IF($E45="","",IFERROR(INDEX(MaterialPrices,MATCH($E45,MaterialCodes,0)),0))</f>
        <v/>
      </c>
      <c r="G45" s="35" t="n">
        <v>0</v>
      </c>
      <c r="H45" s="23" t="n">
        <f aca="false">IF($F45="",0,$F45*(1+$G45))</f>
        <v>0</v>
      </c>
      <c r="I45" s="17" t="n">
        <v>0</v>
      </c>
      <c r="J45" s="17" t="n">
        <v>0</v>
      </c>
      <c r="K45" s="17" t="n">
        <v>0</v>
      </c>
      <c r="L45" s="23" t="n">
        <f aca="false">H45+I45+J45+K45</f>
        <v>0</v>
      </c>
      <c r="M45" s="36" t="n">
        <f aca="false">D45*L45</f>
        <v>0</v>
      </c>
      <c r="N45" s="16"/>
    </row>
    <row r="46" customFormat="false" ht="15" hidden="false" customHeight="false" outlineLevel="0" collapsed="false">
      <c r="A46" s="32" t="n">
        <v>31</v>
      </c>
      <c r="B46" s="16" t="s">
        <v>413</v>
      </c>
      <c r="C46" s="32" t="s">
        <v>372</v>
      </c>
      <c r="D46" s="33" t="n">
        <v>0</v>
      </c>
      <c r="E46" s="34"/>
      <c r="F46" s="23" t="str">
        <f aca="false">IF($E46="","",IFERROR(INDEX(MaterialPrices,MATCH($E46,MaterialCodes,0)),0))</f>
        <v/>
      </c>
      <c r="G46" s="35" t="n">
        <v>0</v>
      </c>
      <c r="H46" s="23" t="n">
        <f aca="false">IF($F46="",0,$F46*(1+$G46))</f>
        <v>0</v>
      </c>
      <c r="I46" s="17" t="n">
        <v>0</v>
      </c>
      <c r="J46" s="17" t="n">
        <v>0</v>
      </c>
      <c r="K46" s="17" t="n">
        <v>0</v>
      </c>
      <c r="L46" s="23" t="n">
        <f aca="false">H46+I46+J46+K46</f>
        <v>0</v>
      </c>
      <c r="M46" s="36" t="n">
        <f aca="false">D46*L46</f>
        <v>0</v>
      </c>
      <c r="N46" s="16"/>
    </row>
    <row r="47" customFormat="false" ht="15" hidden="false" customHeight="false" outlineLevel="0" collapsed="false">
      <c r="A47" s="32" t="n">
        <v>32</v>
      </c>
      <c r="B47" s="16" t="s">
        <v>414</v>
      </c>
      <c r="C47" s="32" t="s">
        <v>372</v>
      </c>
      <c r="D47" s="33" t="n">
        <v>0</v>
      </c>
      <c r="E47" s="34"/>
      <c r="F47" s="23" t="str">
        <f aca="false">IF($E47="","",IFERROR(INDEX(MaterialPrices,MATCH($E47,MaterialCodes,0)),0))</f>
        <v/>
      </c>
      <c r="G47" s="35" t="n">
        <v>0</v>
      </c>
      <c r="H47" s="23" t="n">
        <f aca="false">IF($F47="",0,$F47*(1+$G47))</f>
        <v>0</v>
      </c>
      <c r="I47" s="17" t="n">
        <v>0</v>
      </c>
      <c r="J47" s="17" t="n">
        <v>0</v>
      </c>
      <c r="K47" s="17" t="n">
        <v>0</v>
      </c>
      <c r="L47" s="23" t="n">
        <f aca="false">H47+I47+J47+K47</f>
        <v>0</v>
      </c>
      <c r="M47" s="36" t="n">
        <f aca="false">D47*L47</f>
        <v>0</v>
      </c>
      <c r="N47" s="16"/>
    </row>
    <row r="48" customFormat="false" ht="15" hidden="false" customHeight="false" outlineLevel="0" collapsed="false">
      <c r="A48" s="37" t="s">
        <v>415</v>
      </c>
      <c r="B48" s="37"/>
      <c r="C48" s="37"/>
      <c r="D48" s="37"/>
      <c r="E48" s="37"/>
      <c r="F48" s="37"/>
      <c r="G48" s="37"/>
      <c r="H48" s="37"/>
      <c r="I48" s="37"/>
      <c r="J48" s="37"/>
      <c r="K48" s="37"/>
      <c r="L48" s="37"/>
      <c r="M48" s="38" t="n">
        <f aca="false">SUM(M44:M47)</f>
        <v>0</v>
      </c>
      <c r="N48" s="39"/>
    </row>
    <row r="49" customFormat="false" ht="15" hidden="false" customHeight="false" outlineLevel="0" collapsed="false">
      <c r="A49" s="25" t="s">
        <v>416</v>
      </c>
      <c r="B49" s="25"/>
      <c r="C49" s="25"/>
      <c r="D49" s="25"/>
      <c r="E49" s="25"/>
      <c r="F49" s="25"/>
      <c r="G49" s="25"/>
      <c r="H49" s="25"/>
      <c r="I49" s="25"/>
      <c r="J49" s="25"/>
      <c r="K49" s="25"/>
      <c r="L49" s="25"/>
      <c r="M49" s="25"/>
      <c r="N49" s="25"/>
    </row>
    <row r="50" customFormat="false" ht="15" hidden="false" customHeight="false" outlineLevel="0" collapsed="false">
      <c r="A50" s="32" t="n">
        <v>33</v>
      </c>
      <c r="B50" s="16" t="s">
        <v>417</v>
      </c>
      <c r="C50" s="32" t="s">
        <v>126</v>
      </c>
      <c r="D50" s="33" t="n">
        <v>0</v>
      </c>
      <c r="E50" s="34"/>
      <c r="F50" s="23" t="str">
        <f aca="false">IF($E50="","",IFERROR(INDEX(MaterialPrices,MATCH($E50,MaterialCodes,0)),0))</f>
        <v/>
      </c>
      <c r="G50" s="35" t="n">
        <v>0</v>
      </c>
      <c r="H50" s="23" t="n">
        <f aca="false">IF($F50="",0,$F50*(1+$G50))</f>
        <v>0</v>
      </c>
      <c r="I50" s="17" t="n">
        <v>0</v>
      </c>
      <c r="J50" s="17" t="n">
        <v>0</v>
      </c>
      <c r="K50" s="17" t="n">
        <v>0</v>
      </c>
      <c r="L50" s="23" t="n">
        <f aca="false">H50+I50+J50+K50</f>
        <v>0</v>
      </c>
      <c r="M50" s="36" t="n">
        <f aca="false">D50*L50</f>
        <v>0</v>
      </c>
      <c r="N50" s="16"/>
    </row>
    <row r="51" customFormat="false" ht="15" hidden="false" customHeight="false" outlineLevel="0" collapsed="false">
      <c r="A51" s="32" t="n">
        <v>34</v>
      </c>
      <c r="B51" s="16" t="s">
        <v>418</v>
      </c>
      <c r="C51" s="32" t="s">
        <v>419</v>
      </c>
      <c r="D51" s="33" t="n">
        <v>0</v>
      </c>
      <c r="E51" s="34" t="s">
        <v>101</v>
      </c>
      <c r="F51" s="23" t="n">
        <f aca="false">IF($E51="","",IFERROR(INDEX(MaterialPrices,MATCH($E51,MaterialCodes,0)),0))</f>
        <v>5700</v>
      </c>
      <c r="G51" s="40" t="n">
        <f aca="false">'Thresholds &amp; Assumptions'!$B$54</f>
        <v>0.05</v>
      </c>
      <c r="H51" s="23" t="n">
        <f aca="false">IF($F51="",0,$F51*(1+$G51))</f>
        <v>5985</v>
      </c>
      <c r="I51" s="17" t="n">
        <v>0</v>
      </c>
      <c r="J51" s="17" t="n">
        <v>0</v>
      </c>
      <c r="K51" s="17" t="n">
        <v>0</v>
      </c>
      <c r="L51" s="23" t="n">
        <f aca="false">H51+I51+J51+K51</f>
        <v>5985</v>
      </c>
      <c r="M51" s="36" t="n">
        <f aca="false">D51*L51</f>
        <v>0</v>
      </c>
      <c r="N51" s="16"/>
    </row>
    <row r="52" customFormat="false" ht="15" hidden="false" customHeight="false" outlineLevel="0" collapsed="false">
      <c r="A52" s="32" t="n">
        <v>35</v>
      </c>
      <c r="B52" s="16" t="s">
        <v>420</v>
      </c>
      <c r="C52" s="32" t="s">
        <v>372</v>
      </c>
      <c r="D52" s="33" t="n">
        <v>0</v>
      </c>
      <c r="E52" s="34"/>
      <c r="F52" s="23" t="str">
        <f aca="false">IF($E52="","",IFERROR(INDEX(MaterialPrices,MATCH($E52,MaterialCodes,0)),0))</f>
        <v/>
      </c>
      <c r="G52" s="35" t="n">
        <v>0</v>
      </c>
      <c r="H52" s="23" t="n">
        <f aca="false">IF($F52="",0,$F52*(1+$G52))</f>
        <v>0</v>
      </c>
      <c r="I52" s="17" t="n">
        <v>0</v>
      </c>
      <c r="J52" s="17" t="n">
        <v>0</v>
      </c>
      <c r="K52" s="17" t="n">
        <v>0</v>
      </c>
      <c r="L52" s="23" t="n">
        <f aca="false">H52+I52+J52+K52</f>
        <v>0</v>
      </c>
      <c r="M52" s="36" t="n">
        <f aca="false">D52*L52</f>
        <v>0</v>
      </c>
      <c r="N52" s="16"/>
    </row>
    <row r="53" customFormat="false" ht="15" hidden="false" customHeight="false" outlineLevel="0" collapsed="false">
      <c r="A53" s="37" t="s">
        <v>421</v>
      </c>
      <c r="B53" s="37"/>
      <c r="C53" s="37"/>
      <c r="D53" s="37"/>
      <c r="E53" s="37"/>
      <c r="F53" s="37"/>
      <c r="G53" s="37"/>
      <c r="H53" s="37"/>
      <c r="I53" s="37"/>
      <c r="J53" s="37"/>
      <c r="K53" s="37"/>
      <c r="L53" s="37"/>
      <c r="M53" s="38" t="n">
        <f aca="false">SUM(M50:M52)</f>
        <v>0</v>
      </c>
      <c r="N53" s="39"/>
    </row>
    <row r="55" customFormat="false" ht="15" hidden="false" customHeight="false" outlineLevel="0" collapsed="false">
      <c r="A55" s="41" t="s">
        <v>422</v>
      </c>
      <c r="B55" s="41"/>
      <c r="C55" s="41"/>
      <c r="D55" s="41"/>
      <c r="E55" s="41"/>
      <c r="F55" s="41"/>
      <c r="G55" s="41"/>
      <c r="H55" s="41"/>
      <c r="I55" s="41"/>
      <c r="J55" s="41"/>
      <c r="K55" s="41"/>
      <c r="L55" s="41"/>
      <c r="M55" s="42" t="n">
        <f aca="false">M10+M19+M28+M34+M42+M48+M53</f>
        <v>0</v>
      </c>
      <c r="N55" s="43"/>
    </row>
    <row r="57" customFormat="false" ht="15" hidden="false" customHeight="false" outlineLevel="0" collapsed="false">
      <c r="A57" s="44" t="s">
        <v>423</v>
      </c>
      <c r="B57" s="44"/>
      <c r="C57" s="44"/>
      <c r="D57" s="45" t="n">
        <v>1000</v>
      </c>
      <c r="E57" s="46" t="s">
        <v>126</v>
      </c>
    </row>
    <row r="58" customFormat="false" ht="15" hidden="false" customHeight="false" outlineLevel="0" collapsed="false">
      <c r="A58" s="44" t="s">
        <v>424</v>
      </c>
      <c r="B58" s="44"/>
      <c r="C58" s="44"/>
      <c r="D58" s="23" t="n">
        <f aca="false">IF(D57=0,0,M55/D57)</f>
        <v>0</v>
      </c>
    </row>
  </sheetData>
  <mergeCells count="19">
    <mergeCell ref="A1:N1"/>
    <mergeCell ref="A2:N2"/>
    <mergeCell ref="A5:N5"/>
    <mergeCell ref="A10:L10"/>
    <mergeCell ref="A11:N11"/>
    <mergeCell ref="A19:L19"/>
    <mergeCell ref="A20:N20"/>
    <mergeCell ref="A28:L28"/>
    <mergeCell ref="A29:N29"/>
    <mergeCell ref="A34:L34"/>
    <mergeCell ref="A35:N35"/>
    <mergeCell ref="A42:L42"/>
    <mergeCell ref="A43:N43"/>
    <mergeCell ref="A48:L48"/>
    <mergeCell ref="A49:N49"/>
    <mergeCell ref="A53:L53"/>
    <mergeCell ref="A55:L55"/>
    <mergeCell ref="A57:C57"/>
    <mergeCell ref="A58:C58"/>
  </mergeCells>
  <dataValidations count="1">
    <dataValidation allowBlank="true" errorStyle="stop" operator="between" showDropDown="false" showErrorMessage="false" showInputMessage="false" sqref="E5:E53" type="list">
      <formula1>MaterialCodes</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8235"/>
    <pageSetUpPr fitToPage="false"/>
  </sheetPr>
  <dimension ref="A1:N4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40"/>
    <col collapsed="false" customWidth="true" hidden="false" outlineLevel="0" max="3" min="3" style="0" width="9"/>
    <col collapsed="false" customWidth="true" hidden="false" outlineLevel="0" max="5" min="4" style="0" width="10"/>
    <col collapsed="false" customWidth="true" hidden="false" outlineLevel="0" max="6" min="6" style="0" width="13"/>
    <col collapsed="false" customWidth="true" hidden="false" outlineLevel="0" max="7" min="7" style="0" width="9"/>
    <col collapsed="false" customWidth="true" hidden="false" outlineLevel="0" max="12" min="8" style="0" width="13"/>
    <col collapsed="false" customWidth="true" hidden="false" outlineLevel="0" max="13" min="13" style="0" width="15"/>
    <col collapsed="false" customWidth="true" hidden="false" outlineLevel="0" max="14" min="14" style="0" width="28"/>
  </cols>
  <sheetData>
    <row r="1" customFormat="false" ht="31.5" hidden="false" customHeight="true" outlineLevel="0" collapsed="false">
      <c r="A1" s="1" t="s">
        <v>425</v>
      </c>
      <c r="B1" s="1"/>
      <c r="C1" s="1"/>
      <c r="D1" s="1"/>
      <c r="E1" s="1"/>
      <c r="F1" s="1"/>
      <c r="G1" s="1"/>
      <c r="H1" s="1"/>
      <c r="I1" s="1"/>
      <c r="J1" s="1"/>
      <c r="K1" s="1"/>
      <c r="L1" s="1"/>
      <c r="M1" s="1"/>
      <c r="N1" s="1"/>
    </row>
    <row r="2" customFormat="false" ht="18" hidden="false" customHeight="true" outlineLevel="0" collapsed="false">
      <c r="A2" s="2" t="s">
        <v>358</v>
      </c>
      <c r="B2" s="2"/>
      <c r="C2" s="2"/>
      <c r="D2" s="2"/>
      <c r="E2" s="2"/>
      <c r="F2" s="2"/>
      <c r="G2" s="2"/>
      <c r="H2" s="2"/>
      <c r="I2" s="2"/>
      <c r="J2" s="2"/>
      <c r="K2" s="2"/>
      <c r="L2" s="2"/>
      <c r="M2" s="2"/>
      <c r="N2" s="2"/>
    </row>
    <row r="4" customFormat="false" ht="31.5" hidden="false" customHeight="true" outlineLevel="0" collapsed="false">
      <c r="A4" s="11" t="s">
        <v>284</v>
      </c>
      <c r="B4" s="11" t="s">
        <v>175</v>
      </c>
      <c r="C4" s="11" t="s">
        <v>61</v>
      </c>
      <c r="D4" s="11" t="s">
        <v>359</v>
      </c>
      <c r="E4" s="11" t="s">
        <v>360</v>
      </c>
      <c r="F4" s="11" t="s">
        <v>361</v>
      </c>
      <c r="G4" s="11" t="s">
        <v>362</v>
      </c>
      <c r="H4" s="11" t="s">
        <v>363</v>
      </c>
      <c r="I4" s="11" t="s">
        <v>364</v>
      </c>
      <c r="J4" s="11" t="s">
        <v>365</v>
      </c>
      <c r="K4" s="11" t="s">
        <v>366</v>
      </c>
      <c r="L4" s="11" t="s">
        <v>367</v>
      </c>
      <c r="M4" s="11" t="s">
        <v>368</v>
      </c>
      <c r="N4" s="11" t="s">
        <v>369</v>
      </c>
    </row>
    <row r="5" customFormat="false" ht="15" hidden="false" customHeight="false" outlineLevel="0" collapsed="false">
      <c r="A5" s="25" t="s">
        <v>426</v>
      </c>
      <c r="B5" s="25"/>
      <c r="C5" s="25"/>
      <c r="D5" s="25"/>
      <c r="E5" s="25"/>
      <c r="F5" s="25"/>
      <c r="G5" s="25"/>
      <c r="H5" s="25"/>
      <c r="I5" s="25"/>
      <c r="J5" s="25"/>
      <c r="K5" s="25"/>
      <c r="L5" s="25"/>
      <c r="M5" s="25"/>
      <c r="N5" s="25"/>
    </row>
    <row r="6" customFormat="false" ht="15" hidden="false" customHeight="false" outlineLevel="0" collapsed="false">
      <c r="A6" s="32" t="n">
        <v>1</v>
      </c>
      <c r="B6" s="16" t="s">
        <v>427</v>
      </c>
      <c r="C6" s="32" t="s">
        <v>372</v>
      </c>
      <c r="D6" s="33" t="n">
        <v>0</v>
      </c>
      <c r="E6" s="34"/>
      <c r="F6" s="23" t="str">
        <f aca="false">IF($E6="","",IFERROR(INDEX(MaterialPrices,MATCH($E6,MaterialCodes,0)),0))</f>
        <v/>
      </c>
      <c r="G6" s="35" t="n">
        <v>0</v>
      </c>
      <c r="H6" s="23" t="n">
        <f aca="false">IF($F6="",0,$F6*(1+$G6))</f>
        <v>0</v>
      </c>
      <c r="I6" s="17" t="n">
        <v>0</v>
      </c>
      <c r="J6" s="17" t="n">
        <v>0</v>
      </c>
      <c r="K6" s="17" t="n">
        <v>0</v>
      </c>
      <c r="L6" s="23" t="n">
        <f aca="false">H6+I6+J6+K6</f>
        <v>0</v>
      </c>
      <c r="M6" s="36" t="n">
        <f aca="false">D6*L6</f>
        <v>0</v>
      </c>
      <c r="N6" s="16"/>
    </row>
    <row r="7" customFormat="false" ht="15" hidden="false" customHeight="false" outlineLevel="0" collapsed="false">
      <c r="A7" s="32" t="n">
        <v>2</v>
      </c>
      <c r="B7" s="16" t="s">
        <v>374</v>
      </c>
      <c r="C7" s="32" t="s">
        <v>372</v>
      </c>
      <c r="D7" s="33" t="n">
        <v>0</v>
      </c>
      <c r="E7" s="34"/>
      <c r="F7" s="23" t="str">
        <f aca="false">IF($E7="","",IFERROR(INDEX(MaterialPrices,MATCH($E7,MaterialCodes,0)),0))</f>
        <v/>
      </c>
      <c r="G7" s="35" t="n">
        <v>0</v>
      </c>
      <c r="H7" s="23" t="n">
        <f aca="false">IF($F7="",0,$F7*(1+$G7))</f>
        <v>0</v>
      </c>
      <c r="I7" s="17" t="n">
        <v>0</v>
      </c>
      <c r="J7" s="17" t="n">
        <v>0</v>
      </c>
      <c r="K7" s="17" t="n">
        <v>0</v>
      </c>
      <c r="L7" s="23" t="n">
        <f aca="false">H7+I7+J7+K7</f>
        <v>0</v>
      </c>
      <c r="M7" s="36" t="n">
        <f aca="false">D7*L7</f>
        <v>0</v>
      </c>
      <c r="N7" s="16"/>
    </row>
    <row r="8" customFormat="false" ht="15" hidden="false" customHeight="false" outlineLevel="0" collapsed="false">
      <c r="A8" s="37" t="s">
        <v>428</v>
      </c>
      <c r="B8" s="37"/>
      <c r="C8" s="37"/>
      <c r="D8" s="37"/>
      <c r="E8" s="37"/>
      <c r="F8" s="37"/>
      <c r="G8" s="37"/>
      <c r="H8" s="37"/>
      <c r="I8" s="37"/>
      <c r="J8" s="37"/>
      <c r="K8" s="37"/>
      <c r="L8" s="37"/>
      <c r="M8" s="38" t="n">
        <f aca="false">SUM(M6:M7)</f>
        <v>0</v>
      </c>
      <c r="N8" s="39"/>
    </row>
    <row r="9" customFormat="false" ht="15" hidden="false" customHeight="false" outlineLevel="0" collapsed="false">
      <c r="A9" s="25" t="s">
        <v>429</v>
      </c>
      <c r="B9" s="25"/>
      <c r="C9" s="25"/>
      <c r="D9" s="25"/>
      <c r="E9" s="25"/>
      <c r="F9" s="25"/>
      <c r="G9" s="25"/>
      <c r="H9" s="25"/>
      <c r="I9" s="25"/>
      <c r="J9" s="25"/>
      <c r="K9" s="25"/>
      <c r="L9" s="25"/>
      <c r="M9" s="25"/>
      <c r="N9" s="25"/>
    </row>
    <row r="10" customFormat="false" ht="15" hidden="false" customHeight="false" outlineLevel="0" collapsed="false">
      <c r="A10" s="32" t="n">
        <v>3</v>
      </c>
      <c r="B10" s="16" t="s">
        <v>430</v>
      </c>
      <c r="C10" s="32" t="s">
        <v>126</v>
      </c>
      <c r="D10" s="33" t="n">
        <v>0</v>
      </c>
      <c r="E10" s="34"/>
      <c r="F10" s="23" t="str">
        <f aca="false">IF($E10="","",IFERROR(INDEX(MaterialPrices,MATCH($E10,MaterialCodes,0)),0))</f>
        <v/>
      </c>
      <c r="G10" s="35" t="n">
        <v>0</v>
      </c>
      <c r="H10" s="23" t="n">
        <f aca="false">IF($F10="",0,$F10*(1+$G10))</f>
        <v>0</v>
      </c>
      <c r="I10" s="17" t="n">
        <v>0</v>
      </c>
      <c r="J10" s="17" t="n">
        <v>0</v>
      </c>
      <c r="K10" s="17" t="n">
        <v>0</v>
      </c>
      <c r="L10" s="23" t="n">
        <f aca="false">H10+I10+J10+K10</f>
        <v>0</v>
      </c>
      <c r="M10" s="36" t="n">
        <f aca="false">D10*L10</f>
        <v>0</v>
      </c>
      <c r="N10" s="16"/>
    </row>
    <row r="11" customFormat="false" ht="15" hidden="false" customHeight="false" outlineLevel="0" collapsed="false">
      <c r="A11" s="32" t="n">
        <v>4</v>
      </c>
      <c r="B11" s="16" t="s">
        <v>431</v>
      </c>
      <c r="C11" s="32" t="s">
        <v>93</v>
      </c>
      <c r="D11" s="33" t="n">
        <v>0</v>
      </c>
      <c r="E11" s="34"/>
      <c r="F11" s="23" t="str">
        <f aca="false">IF($E11="","",IFERROR(INDEX(MaterialPrices,MATCH($E11,MaterialCodes,0)),0))</f>
        <v/>
      </c>
      <c r="G11" s="35" t="n">
        <v>0</v>
      </c>
      <c r="H11" s="23" t="n">
        <f aca="false">IF($F11="",0,$F11*(1+$G11))</f>
        <v>0</v>
      </c>
      <c r="I11" s="17" t="n">
        <v>0</v>
      </c>
      <c r="J11" s="17" t="n">
        <v>0</v>
      </c>
      <c r="K11" s="17" t="n">
        <v>0</v>
      </c>
      <c r="L11" s="23" t="n">
        <f aca="false">H11+I11+J11+K11</f>
        <v>0</v>
      </c>
      <c r="M11" s="36" t="n">
        <f aca="false">D11*L11</f>
        <v>0</v>
      </c>
      <c r="N11" s="16"/>
    </row>
    <row r="12" customFormat="false" ht="15" hidden="false" customHeight="false" outlineLevel="0" collapsed="false">
      <c r="A12" s="32" t="n">
        <v>5</v>
      </c>
      <c r="B12" s="16" t="s">
        <v>432</v>
      </c>
      <c r="C12" s="32" t="s">
        <v>93</v>
      </c>
      <c r="D12" s="33" t="n">
        <v>0</v>
      </c>
      <c r="E12" s="34" t="s">
        <v>90</v>
      </c>
      <c r="F12" s="23" t="n">
        <f aca="false">IF($E12="","",IFERROR(INDEX(MaterialPrices,MATCH($E12,MaterialCodes,0)),0))</f>
        <v>150</v>
      </c>
      <c r="G12" s="40" t="n">
        <f aca="false">'Thresholds &amp; Assumptions'!$B$55</f>
        <v>0.05</v>
      </c>
      <c r="H12" s="23" t="n">
        <f aca="false">IF($F12="",0,$F12*(1+$G12))</f>
        <v>157.5</v>
      </c>
      <c r="I12" s="17" t="n">
        <v>0</v>
      </c>
      <c r="J12" s="17" t="n">
        <v>0</v>
      </c>
      <c r="K12" s="17" t="n">
        <v>0</v>
      </c>
      <c r="L12" s="23" t="n">
        <f aca="false">H12+I12+J12+K12</f>
        <v>157.5</v>
      </c>
      <c r="M12" s="36" t="n">
        <f aca="false">D12*L12</f>
        <v>0</v>
      </c>
      <c r="N12" s="16"/>
    </row>
    <row r="13" customFormat="false" ht="15" hidden="false" customHeight="false" outlineLevel="0" collapsed="false">
      <c r="A13" s="32" t="n">
        <v>6</v>
      </c>
      <c r="B13" s="16" t="s">
        <v>433</v>
      </c>
      <c r="C13" s="32" t="s">
        <v>126</v>
      </c>
      <c r="D13" s="33" t="n">
        <v>0</v>
      </c>
      <c r="E13" s="34"/>
      <c r="F13" s="23" t="str">
        <f aca="false">IF($E13="","",IFERROR(INDEX(MaterialPrices,MATCH($E13,MaterialCodes,0)),0))</f>
        <v/>
      </c>
      <c r="G13" s="35" t="n">
        <v>0</v>
      </c>
      <c r="H13" s="23" t="n">
        <f aca="false">IF($F13="",0,$F13*(1+$G13))</f>
        <v>0</v>
      </c>
      <c r="I13" s="17" t="n">
        <v>0</v>
      </c>
      <c r="J13" s="17" t="n">
        <v>0</v>
      </c>
      <c r="K13" s="17" t="n">
        <v>0</v>
      </c>
      <c r="L13" s="23" t="n">
        <f aca="false">H13+I13+J13+K13</f>
        <v>0</v>
      </c>
      <c r="M13" s="36" t="n">
        <f aca="false">D13*L13</f>
        <v>0</v>
      </c>
      <c r="N13" s="16"/>
    </row>
    <row r="14" customFormat="false" ht="15" hidden="false" customHeight="false" outlineLevel="0" collapsed="false">
      <c r="A14" s="37" t="s">
        <v>434</v>
      </c>
      <c r="B14" s="37"/>
      <c r="C14" s="37"/>
      <c r="D14" s="37"/>
      <c r="E14" s="37"/>
      <c r="F14" s="37"/>
      <c r="G14" s="37"/>
      <c r="H14" s="37"/>
      <c r="I14" s="37"/>
      <c r="J14" s="37"/>
      <c r="K14" s="37"/>
      <c r="L14" s="37"/>
      <c r="M14" s="38" t="n">
        <f aca="false">SUM(M10:M13)</f>
        <v>0</v>
      </c>
      <c r="N14" s="39"/>
    </row>
    <row r="15" customFormat="false" ht="15" hidden="false" customHeight="false" outlineLevel="0" collapsed="false">
      <c r="A15" s="25" t="s">
        <v>435</v>
      </c>
      <c r="B15" s="25"/>
      <c r="C15" s="25"/>
      <c r="D15" s="25"/>
      <c r="E15" s="25"/>
      <c r="F15" s="25"/>
      <c r="G15" s="25"/>
      <c r="H15" s="25"/>
      <c r="I15" s="25"/>
      <c r="J15" s="25"/>
      <c r="K15" s="25"/>
      <c r="L15" s="25"/>
      <c r="M15" s="25"/>
      <c r="N15" s="25"/>
    </row>
    <row r="16" customFormat="false" ht="15" hidden="false" customHeight="false" outlineLevel="0" collapsed="false">
      <c r="A16" s="32" t="n">
        <v>7</v>
      </c>
      <c r="B16" s="16" t="s">
        <v>436</v>
      </c>
      <c r="C16" s="32" t="s">
        <v>93</v>
      </c>
      <c r="D16" s="33" t="n">
        <v>0</v>
      </c>
      <c r="E16" s="34" t="s">
        <v>98</v>
      </c>
      <c r="F16" s="23" t="n">
        <f aca="false">IF($E16="","",IFERROR(INDEX(MaterialPrices,MATCH($E16,MaterialCodes,0)),0))</f>
        <v>420</v>
      </c>
      <c r="G16" s="40" t="n">
        <f aca="false">'Thresholds &amp; Assumptions'!$B$55</f>
        <v>0.05</v>
      </c>
      <c r="H16" s="23" t="n">
        <f aca="false">IF($F16="",0,$F16*(1+$G16))</f>
        <v>441</v>
      </c>
      <c r="I16" s="17" t="n">
        <v>0</v>
      </c>
      <c r="J16" s="17" t="n">
        <v>0</v>
      </c>
      <c r="K16" s="17" t="n">
        <v>0</v>
      </c>
      <c r="L16" s="23" t="n">
        <f aca="false">H16+I16+J16+K16</f>
        <v>441</v>
      </c>
      <c r="M16" s="36" t="n">
        <f aca="false">D16*L16</f>
        <v>0</v>
      </c>
      <c r="N16" s="16"/>
    </row>
    <row r="17" customFormat="false" ht="15" hidden="false" customHeight="false" outlineLevel="0" collapsed="false">
      <c r="A17" s="32" t="n">
        <v>8</v>
      </c>
      <c r="B17" s="16" t="s">
        <v>437</v>
      </c>
      <c r="C17" s="32" t="s">
        <v>93</v>
      </c>
      <c r="D17" s="33" t="n">
        <v>0</v>
      </c>
      <c r="E17" s="34" t="s">
        <v>98</v>
      </c>
      <c r="F17" s="23" t="n">
        <f aca="false">IF($E17="","",IFERROR(INDEX(MaterialPrices,MATCH($E17,MaterialCodes,0)),0))</f>
        <v>420</v>
      </c>
      <c r="G17" s="40" t="n">
        <f aca="false">'Thresholds &amp; Assumptions'!$B$55</f>
        <v>0.05</v>
      </c>
      <c r="H17" s="23" t="n">
        <f aca="false">IF($F17="",0,$F17*(1+$G17))</f>
        <v>441</v>
      </c>
      <c r="I17" s="17" t="n">
        <v>0</v>
      </c>
      <c r="J17" s="17" t="n">
        <v>0</v>
      </c>
      <c r="K17" s="17" t="n">
        <v>0</v>
      </c>
      <c r="L17" s="23" t="n">
        <f aca="false">H17+I17+J17+K17</f>
        <v>441</v>
      </c>
      <c r="M17" s="36" t="n">
        <f aca="false">D17*L17</f>
        <v>0</v>
      </c>
      <c r="N17" s="16"/>
    </row>
    <row r="18" customFormat="false" ht="15" hidden="false" customHeight="false" outlineLevel="0" collapsed="false">
      <c r="A18" s="32" t="n">
        <v>9</v>
      </c>
      <c r="B18" s="16" t="s">
        <v>438</v>
      </c>
      <c r="C18" s="32" t="s">
        <v>126</v>
      </c>
      <c r="D18" s="33" t="n">
        <v>0</v>
      </c>
      <c r="E18" s="34" t="s">
        <v>133</v>
      </c>
      <c r="F18" s="23" t="n">
        <f aca="false">IF($E18="","",IFERROR(INDEX(MaterialPrices,MATCH($E18,MaterialCodes,0)),0))</f>
        <v>19000</v>
      </c>
      <c r="G18" s="35" t="n">
        <v>0</v>
      </c>
      <c r="H18" s="23" t="n">
        <f aca="false">IF($F18="",0,$F18*(1+$G18))</f>
        <v>19000</v>
      </c>
      <c r="I18" s="17" t="n">
        <v>0</v>
      </c>
      <c r="J18" s="17" t="n">
        <v>0</v>
      </c>
      <c r="K18" s="17" t="n">
        <v>0</v>
      </c>
      <c r="L18" s="23" t="n">
        <f aca="false">H18+I18+J18+K18</f>
        <v>19000</v>
      </c>
      <c r="M18" s="36" t="n">
        <f aca="false">D18*L18</f>
        <v>0</v>
      </c>
      <c r="N18" s="16"/>
    </row>
    <row r="19" customFormat="false" ht="15" hidden="false" customHeight="false" outlineLevel="0" collapsed="false">
      <c r="A19" s="32" t="n">
        <v>10</v>
      </c>
      <c r="B19" s="16" t="s">
        <v>439</v>
      </c>
      <c r="C19" s="32" t="s">
        <v>126</v>
      </c>
      <c r="D19" s="33" t="n">
        <v>0</v>
      </c>
      <c r="E19" s="34" t="s">
        <v>133</v>
      </c>
      <c r="F19" s="23" t="n">
        <f aca="false">IF($E19="","",IFERROR(INDEX(MaterialPrices,MATCH($E19,MaterialCodes,0)),0))</f>
        <v>19000</v>
      </c>
      <c r="G19" s="35" t="n">
        <v>0</v>
      </c>
      <c r="H19" s="23" t="n">
        <f aca="false">IF($F19="",0,$F19*(1+$G19))</f>
        <v>19000</v>
      </c>
      <c r="I19" s="17" t="n">
        <v>0</v>
      </c>
      <c r="J19" s="17" t="n">
        <v>0</v>
      </c>
      <c r="K19" s="17" t="n">
        <v>0</v>
      </c>
      <c r="L19" s="23" t="n">
        <f aca="false">H19+I19+J19+K19</f>
        <v>19000</v>
      </c>
      <c r="M19" s="36" t="n">
        <f aca="false">D19*L19</f>
        <v>0</v>
      </c>
      <c r="N19" s="16"/>
    </row>
    <row r="20" customFormat="false" ht="15" hidden="false" customHeight="false" outlineLevel="0" collapsed="false">
      <c r="A20" s="32" t="n">
        <v>11</v>
      </c>
      <c r="B20" s="16" t="s">
        <v>440</v>
      </c>
      <c r="C20" s="32" t="s">
        <v>70</v>
      </c>
      <c r="D20" s="33" t="n">
        <v>0</v>
      </c>
      <c r="E20" s="34" t="s">
        <v>137</v>
      </c>
      <c r="F20" s="23" t="n">
        <f aca="false">IF($E20="","",IFERROR(INDEX(MaterialPrices,MATCH($E20,MaterialCodes,0)),0))</f>
        <v>8500</v>
      </c>
      <c r="G20" s="35" t="n">
        <v>0</v>
      </c>
      <c r="H20" s="23" t="n">
        <f aca="false">IF($F20="",0,$F20*(1+$G20))</f>
        <v>8500</v>
      </c>
      <c r="I20" s="17" t="n">
        <v>0</v>
      </c>
      <c r="J20" s="17" t="n">
        <v>0</v>
      </c>
      <c r="K20" s="17" t="n">
        <v>0</v>
      </c>
      <c r="L20" s="23" t="n">
        <f aca="false">H20+I20+J20+K20</f>
        <v>8500</v>
      </c>
      <c r="M20" s="36" t="n">
        <f aca="false">D20*L20</f>
        <v>0</v>
      </c>
      <c r="N20" s="16"/>
    </row>
    <row r="21" customFormat="false" ht="15" hidden="false" customHeight="false" outlineLevel="0" collapsed="false">
      <c r="A21" s="32" t="n">
        <v>12</v>
      </c>
      <c r="B21" s="16" t="s">
        <v>441</v>
      </c>
      <c r="C21" s="32" t="s">
        <v>70</v>
      </c>
      <c r="D21" s="33" t="n">
        <v>0</v>
      </c>
      <c r="E21" s="34" t="s">
        <v>137</v>
      </c>
      <c r="F21" s="23" t="n">
        <f aca="false">IF($E21="","",IFERROR(INDEX(MaterialPrices,MATCH($E21,MaterialCodes,0)),0))</f>
        <v>8500</v>
      </c>
      <c r="G21" s="35" t="n">
        <v>0</v>
      </c>
      <c r="H21" s="23" t="n">
        <f aca="false">IF($F21="",0,$F21*(1+$G21))</f>
        <v>8500</v>
      </c>
      <c r="I21" s="17" t="n">
        <v>0</v>
      </c>
      <c r="J21" s="17" t="n">
        <v>0</v>
      </c>
      <c r="K21" s="17" t="n">
        <v>0</v>
      </c>
      <c r="L21" s="23" t="n">
        <f aca="false">H21+I21+J21+K21</f>
        <v>8500</v>
      </c>
      <c r="M21" s="36" t="n">
        <f aca="false">D21*L21</f>
        <v>0</v>
      </c>
      <c r="N21" s="16"/>
    </row>
    <row r="22" customFormat="false" ht="15" hidden="false" customHeight="false" outlineLevel="0" collapsed="false">
      <c r="A22" s="37" t="s">
        <v>442</v>
      </c>
      <c r="B22" s="37"/>
      <c r="C22" s="37"/>
      <c r="D22" s="37"/>
      <c r="E22" s="37"/>
      <c r="F22" s="37"/>
      <c r="G22" s="37"/>
      <c r="H22" s="37"/>
      <c r="I22" s="37"/>
      <c r="J22" s="37"/>
      <c r="K22" s="37"/>
      <c r="L22" s="37"/>
      <c r="M22" s="38" t="n">
        <f aca="false">SUM(M16:M21)</f>
        <v>0</v>
      </c>
      <c r="N22" s="39"/>
    </row>
    <row r="23" customFormat="false" ht="15" hidden="false" customHeight="false" outlineLevel="0" collapsed="false">
      <c r="A23" s="25" t="s">
        <v>443</v>
      </c>
      <c r="B23" s="25"/>
      <c r="C23" s="25"/>
      <c r="D23" s="25"/>
      <c r="E23" s="25"/>
      <c r="F23" s="25"/>
      <c r="G23" s="25"/>
      <c r="H23" s="25"/>
      <c r="I23" s="25"/>
      <c r="J23" s="25"/>
      <c r="K23" s="25"/>
      <c r="L23" s="25"/>
      <c r="M23" s="25"/>
      <c r="N23" s="25"/>
    </row>
    <row r="24" customFormat="false" ht="15" hidden="false" customHeight="false" outlineLevel="0" collapsed="false">
      <c r="A24" s="32" t="n">
        <v>13</v>
      </c>
      <c r="B24" s="16" t="s">
        <v>444</v>
      </c>
      <c r="C24" s="32" t="s">
        <v>419</v>
      </c>
      <c r="D24" s="33" t="n">
        <v>0</v>
      </c>
      <c r="E24" s="34" t="s">
        <v>160</v>
      </c>
      <c r="F24" s="23" t="n">
        <f aca="false">IF($E24="","",IFERROR(INDEX(MaterialPrices,MATCH($E24,MaterialCodes,0)),0))</f>
        <v>2296</v>
      </c>
      <c r="G24" s="40" t="n">
        <f aca="false">'Thresholds &amp; Assumptions'!$B$53</f>
        <v>0.02</v>
      </c>
      <c r="H24" s="23" t="n">
        <f aca="false">IF($F24="",0,$F24*(1+$G24))</f>
        <v>2341.92</v>
      </c>
      <c r="I24" s="17" t="n">
        <v>0</v>
      </c>
      <c r="J24" s="17" t="n">
        <v>0</v>
      </c>
      <c r="K24" s="17" t="n">
        <v>0</v>
      </c>
      <c r="L24" s="23" t="n">
        <f aca="false">H24+I24+J24+K24</f>
        <v>2341.92</v>
      </c>
      <c r="M24" s="36" t="n">
        <f aca="false">D24*L24</f>
        <v>0</v>
      </c>
      <c r="N24" s="16"/>
    </row>
    <row r="25" customFormat="false" ht="15" hidden="false" customHeight="false" outlineLevel="0" collapsed="false">
      <c r="A25" s="32" t="n">
        <v>14</v>
      </c>
      <c r="B25" s="16" t="s">
        <v>445</v>
      </c>
      <c r="C25" s="32" t="s">
        <v>419</v>
      </c>
      <c r="D25" s="33" t="n">
        <v>0</v>
      </c>
      <c r="E25" s="34"/>
      <c r="F25" s="23" t="str">
        <f aca="false">IF($E25="","",IFERROR(INDEX(MaterialPrices,MATCH($E25,MaterialCodes,0)),0))</f>
        <v/>
      </c>
      <c r="G25" s="35" t="n">
        <v>0</v>
      </c>
      <c r="H25" s="23" t="n">
        <f aca="false">IF($F25="",0,$F25*(1+$G25))</f>
        <v>0</v>
      </c>
      <c r="I25" s="17" t="n">
        <v>0</v>
      </c>
      <c r="J25" s="17" t="n">
        <v>0</v>
      </c>
      <c r="K25" s="17" t="n">
        <v>0</v>
      </c>
      <c r="L25" s="23" t="n">
        <f aca="false">H25+I25+J25+K25</f>
        <v>0</v>
      </c>
      <c r="M25" s="36" t="n">
        <f aca="false">D25*L25</f>
        <v>0</v>
      </c>
      <c r="N25" s="16"/>
    </row>
    <row r="26" customFormat="false" ht="15" hidden="false" customHeight="false" outlineLevel="0" collapsed="false">
      <c r="A26" s="32" t="n">
        <v>15</v>
      </c>
      <c r="B26" s="16" t="s">
        <v>446</v>
      </c>
      <c r="C26" s="32" t="s">
        <v>447</v>
      </c>
      <c r="D26" s="33" t="n">
        <v>0</v>
      </c>
      <c r="E26" s="34" t="s">
        <v>160</v>
      </c>
      <c r="F26" s="23" t="n">
        <f aca="false">IF($E26="","",IFERROR(INDEX(MaterialPrices,MATCH($E26,MaterialCodes,0)),0))</f>
        <v>2296</v>
      </c>
      <c r="G26" s="40" t="n">
        <f aca="false">'Thresholds &amp; Assumptions'!$B$53</f>
        <v>0.02</v>
      </c>
      <c r="H26" s="23" t="n">
        <f aca="false">IF($F26="",0,$F26*(1+$G26))</f>
        <v>2341.92</v>
      </c>
      <c r="I26" s="17" t="n">
        <v>0</v>
      </c>
      <c r="J26" s="17" t="n">
        <v>0</v>
      </c>
      <c r="K26" s="17" t="n">
        <v>0</v>
      </c>
      <c r="L26" s="23" t="n">
        <f aca="false">H26+I26+J26+K26</f>
        <v>2341.92</v>
      </c>
      <c r="M26" s="36" t="n">
        <f aca="false">D26*L26</f>
        <v>0</v>
      </c>
      <c r="N26" s="16"/>
    </row>
    <row r="27" customFormat="false" ht="15" hidden="false" customHeight="false" outlineLevel="0" collapsed="false">
      <c r="A27" s="37" t="s">
        <v>448</v>
      </c>
      <c r="B27" s="37"/>
      <c r="C27" s="37"/>
      <c r="D27" s="37"/>
      <c r="E27" s="37"/>
      <c r="F27" s="37"/>
      <c r="G27" s="37"/>
      <c r="H27" s="37"/>
      <c r="I27" s="37"/>
      <c r="J27" s="37"/>
      <c r="K27" s="37"/>
      <c r="L27" s="37"/>
      <c r="M27" s="38" t="n">
        <f aca="false">SUM(M24:M26)</f>
        <v>0</v>
      </c>
      <c r="N27" s="39"/>
    </row>
    <row r="28" customFormat="false" ht="15" hidden="false" customHeight="false" outlineLevel="0" collapsed="false">
      <c r="A28" s="25" t="s">
        <v>449</v>
      </c>
      <c r="B28" s="25"/>
      <c r="C28" s="25"/>
      <c r="D28" s="25"/>
      <c r="E28" s="25"/>
      <c r="F28" s="25"/>
      <c r="G28" s="25"/>
      <c r="H28" s="25"/>
      <c r="I28" s="25"/>
      <c r="J28" s="25"/>
      <c r="K28" s="25"/>
      <c r="L28" s="25"/>
      <c r="M28" s="25"/>
      <c r="N28" s="25"/>
    </row>
    <row r="29" customFormat="false" ht="15" hidden="false" customHeight="false" outlineLevel="0" collapsed="false">
      <c r="A29" s="32" t="n">
        <v>16</v>
      </c>
      <c r="B29" s="16" t="s">
        <v>450</v>
      </c>
      <c r="C29" s="32" t="s">
        <v>419</v>
      </c>
      <c r="D29" s="33" t="n">
        <v>0</v>
      </c>
      <c r="E29" s="34" t="s">
        <v>160</v>
      </c>
      <c r="F29" s="23" t="n">
        <f aca="false">IF($E29="","",IFERROR(INDEX(MaterialPrices,MATCH($E29,MaterialCodes,0)),0))</f>
        <v>2296</v>
      </c>
      <c r="G29" s="40" t="n">
        <f aca="false">'Thresholds &amp; Assumptions'!$B$53</f>
        <v>0.02</v>
      </c>
      <c r="H29" s="23" t="n">
        <f aca="false">IF($F29="",0,$F29*(1+$G29))</f>
        <v>2341.92</v>
      </c>
      <c r="I29" s="17" t="n">
        <v>0</v>
      </c>
      <c r="J29" s="17" t="n">
        <v>0</v>
      </c>
      <c r="K29" s="17" t="n">
        <v>0</v>
      </c>
      <c r="L29" s="23" t="n">
        <f aca="false">H29+I29+J29+K29</f>
        <v>2341.92</v>
      </c>
      <c r="M29" s="36" t="n">
        <f aca="false">D29*L29</f>
        <v>0</v>
      </c>
      <c r="N29" s="16"/>
    </row>
    <row r="30" customFormat="false" ht="15" hidden="false" customHeight="false" outlineLevel="0" collapsed="false">
      <c r="A30" s="32" t="n">
        <v>17</v>
      </c>
      <c r="B30" s="16" t="s">
        <v>451</v>
      </c>
      <c r="C30" s="32" t="s">
        <v>126</v>
      </c>
      <c r="D30" s="33" t="n">
        <v>0</v>
      </c>
      <c r="E30" s="34" t="s">
        <v>160</v>
      </c>
      <c r="F30" s="23" t="n">
        <f aca="false">IF($E30="","",IFERROR(INDEX(MaterialPrices,MATCH($E30,MaterialCodes,0)),0))</f>
        <v>2296</v>
      </c>
      <c r="G30" s="40" t="n">
        <f aca="false">'Thresholds &amp; Assumptions'!$B$53</f>
        <v>0.02</v>
      </c>
      <c r="H30" s="23" t="n">
        <f aca="false">IF($F30="",0,$F30*(1+$G30))</f>
        <v>2341.92</v>
      </c>
      <c r="I30" s="17" t="n">
        <v>0</v>
      </c>
      <c r="J30" s="17" t="n">
        <v>0</v>
      </c>
      <c r="K30" s="17" t="n">
        <v>0</v>
      </c>
      <c r="L30" s="23" t="n">
        <f aca="false">H30+I30+J30+K30</f>
        <v>2341.92</v>
      </c>
      <c r="M30" s="36" t="n">
        <f aca="false">D30*L30</f>
        <v>0</v>
      </c>
      <c r="N30" s="16"/>
    </row>
    <row r="31" customFormat="false" ht="15" hidden="false" customHeight="false" outlineLevel="0" collapsed="false">
      <c r="A31" s="32" t="n">
        <v>18</v>
      </c>
      <c r="B31" s="16" t="s">
        <v>452</v>
      </c>
      <c r="C31" s="32" t="s">
        <v>126</v>
      </c>
      <c r="D31" s="33" t="n">
        <v>0</v>
      </c>
      <c r="E31" s="34"/>
      <c r="F31" s="23" t="str">
        <f aca="false">IF($E31="","",IFERROR(INDEX(MaterialPrices,MATCH($E31,MaterialCodes,0)),0))</f>
        <v/>
      </c>
      <c r="G31" s="35" t="n">
        <v>0</v>
      </c>
      <c r="H31" s="23" t="n">
        <f aca="false">IF($F31="",0,$F31*(1+$G31))</f>
        <v>0</v>
      </c>
      <c r="I31" s="17" t="n">
        <v>0</v>
      </c>
      <c r="J31" s="17" t="n">
        <v>0</v>
      </c>
      <c r="K31" s="17" t="n">
        <v>0</v>
      </c>
      <c r="L31" s="23" t="n">
        <f aca="false">H31+I31+J31+K31</f>
        <v>0</v>
      </c>
      <c r="M31" s="36" t="n">
        <f aca="false">D31*L31</f>
        <v>0</v>
      </c>
      <c r="N31" s="16"/>
    </row>
    <row r="32" customFormat="false" ht="15" hidden="false" customHeight="false" outlineLevel="0" collapsed="false">
      <c r="A32" s="32" t="n">
        <v>19</v>
      </c>
      <c r="B32" s="16" t="s">
        <v>453</v>
      </c>
      <c r="C32" s="32" t="s">
        <v>447</v>
      </c>
      <c r="D32" s="33" t="n">
        <v>0</v>
      </c>
      <c r="E32" s="34"/>
      <c r="F32" s="23" t="str">
        <f aca="false">IF($E32="","",IFERROR(INDEX(MaterialPrices,MATCH($E32,MaterialCodes,0)),0))</f>
        <v/>
      </c>
      <c r="G32" s="35" t="n">
        <v>0</v>
      </c>
      <c r="H32" s="23" t="n">
        <f aca="false">IF($F32="",0,$F32*(1+$G32))</f>
        <v>0</v>
      </c>
      <c r="I32" s="17" t="n">
        <v>0</v>
      </c>
      <c r="J32" s="17" t="n">
        <v>0</v>
      </c>
      <c r="K32" s="17" t="n">
        <v>0</v>
      </c>
      <c r="L32" s="23" t="n">
        <f aca="false">H32+I32+J32+K32</f>
        <v>0</v>
      </c>
      <c r="M32" s="36" t="n">
        <f aca="false">D32*L32</f>
        <v>0</v>
      </c>
      <c r="N32" s="16"/>
    </row>
    <row r="33" customFormat="false" ht="15" hidden="false" customHeight="false" outlineLevel="0" collapsed="false">
      <c r="A33" s="32" t="n">
        <v>20</v>
      </c>
      <c r="B33" s="16" t="s">
        <v>454</v>
      </c>
      <c r="C33" s="32" t="s">
        <v>419</v>
      </c>
      <c r="D33" s="33" t="n">
        <v>0</v>
      </c>
      <c r="E33" s="34" t="s">
        <v>86</v>
      </c>
      <c r="F33" s="23" t="n">
        <f aca="false">IF($E33="","",IFERROR(INDEX(MaterialPrices,MATCH($E33,MaterialCodes,0)),0))</f>
        <v>45000</v>
      </c>
      <c r="G33" s="40" t="n">
        <f aca="false">'Thresholds &amp; Assumptions'!$B$52</f>
        <v>0.03</v>
      </c>
      <c r="H33" s="23" t="n">
        <f aca="false">IF($F33="",0,$F33*(1+$G33))</f>
        <v>46350</v>
      </c>
      <c r="I33" s="17" t="n">
        <v>0</v>
      </c>
      <c r="J33" s="17" t="n">
        <v>0</v>
      </c>
      <c r="K33" s="17" t="n">
        <v>0</v>
      </c>
      <c r="L33" s="23" t="n">
        <f aca="false">H33+I33+J33+K33</f>
        <v>46350</v>
      </c>
      <c r="M33" s="36" t="n">
        <f aca="false">D33*L33</f>
        <v>0</v>
      </c>
      <c r="N33" s="16"/>
    </row>
    <row r="34" customFormat="false" ht="15" hidden="false" customHeight="false" outlineLevel="0" collapsed="false">
      <c r="A34" s="32" t="n">
        <v>21</v>
      </c>
      <c r="B34" s="16" t="s">
        <v>455</v>
      </c>
      <c r="C34" s="32" t="s">
        <v>447</v>
      </c>
      <c r="D34" s="33" t="n">
        <v>0</v>
      </c>
      <c r="E34" s="34"/>
      <c r="F34" s="23" t="str">
        <f aca="false">IF($E34="","",IFERROR(INDEX(MaterialPrices,MATCH($E34,MaterialCodes,0)),0))</f>
        <v/>
      </c>
      <c r="G34" s="35" t="n">
        <v>0</v>
      </c>
      <c r="H34" s="23" t="n">
        <f aca="false">IF($F34="",0,$F34*(1+$G34))</f>
        <v>0</v>
      </c>
      <c r="I34" s="17" t="n">
        <v>0</v>
      </c>
      <c r="J34" s="17" t="n">
        <v>0</v>
      </c>
      <c r="K34" s="17" t="n">
        <v>0</v>
      </c>
      <c r="L34" s="23" t="n">
        <f aca="false">H34+I34+J34+K34</f>
        <v>0</v>
      </c>
      <c r="M34" s="36" t="n">
        <f aca="false">D34*L34</f>
        <v>0</v>
      </c>
      <c r="N34" s="16"/>
    </row>
    <row r="35" customFormat="false" ht="15" hidden="false" customHeight="false" outlineLevel="0" collapsed="false">
      <c r="A35" s="37" t="s">
        <v>456</v>
      </c>
      <c r="B35" s="37"/>
      <c r="C35" s="37"/>
      <c r="D35" s="37"/>
      <c r="E35" s="37"/>
      <c r="F35" s="37"/>
      <c r="G35" s="37"/>
      <c r="H35" s="37"/>
      <c r="I35" s="37"/>
      <c r="J35" s="37"/>
      <c r="K35" s="37"/>
      <c r="L35" s="37"/>
      <c r="M35" s="38" t="n">
        <f aca="false">SUM(M29:M34)</f>
        <v>0</v>
      </c>
      <c r="N35" s="39"/>
    </row>
    <row r="37" customFormat="false" ht="15" hidden="false" customHeight="false" outlineLevel="0" collapsed="false">
      <c r="A37" s="41" t="s">
        <v>422</v>
      </c>
      <c r="B37" s="41"/>
      <c r="C37" s="41"/>
      <c r="D37" s="41"/>
      <c r="E37" s="41"/>
      <c r="F37" s="41"/>
      <c r="G37" s="41"/>
      <c r="H37" s="41"/>
      <c r="I37" s="41"/>
      <c r="J37" s="41"/>
      <c r="K37" s="41"/>
      <c r="L37" s="41"/>
      <c r="M37" s="42" t="n">
        <f aca="false">M8+M14+M22+M27+M35</f>
        <v>0</v>
      </c>
      <c r="N37" s="43"/>
    </row>
    <row r="39" customFormat="false" ht="15" hidden="false" customHeight="false" outlineLevel="0" collapsed="false">
      <c r="A39" s="44" t="s">
        <v>457</v>
      </c>
      <c r="B39" s="44"/>
      <c r="C39" s="44"/>
      <c r="D39" s="45" t="n">
        <v>1</v>
      </c>
      <c r="E39" s="46" t="s">
        <v>458</v>
      </c>
    </row>
    <row r="40" customFormat="false" ht="15" hidden="false" customHeight="false" outlineLevel="0" collapsed="false">
      <c r="A40" s="44" t="s">
        <v>459</v>
      </c>
      <c r="B40" s="44"/>
      <c r="C40" s="44"/>
      <c r="D40" s="23" t="n">
        <f aca="false">IF(D39=0,0,M37/D39)</f>
        <v>0</v>
      </c>
    </row>
  </sheetData>
  <mergeCells count="15">
    <mergeCell ref="A1:N1"/>
    <mergeCell ref="A2:N2"/>
    <mergeCell ref="A5:N5"/>
    <mergeCell ref="A8:L8"/>
    <mergeCell ref="A9:N9"/>
    <mergeCell ref="A14:L14"/>
    <mergeCell ref="A15:N15"/>
    <mergeCell ref="A22:L22"/>
    <mergeCell ref="A23:N23"/>
    <mergeCell ref="A27:L27"/>
    <mergeCell ref="A28:N28"/>
    <mergeCell ref="A35:L35"/>
    <mergeCell ref="A37:L37"/>
    <mergeCell ref="A39:C39"/>
    <mergeCell ref="A40:C40"/>
  </mergeCells>
  <dataValidations count="1">
    <dataValidation allowBlank="true" errorStyle="stop" operator="between" showDropDown="false" showErrorMessage="false" showInputMessage="false" sqref="E5:E35" type="list">
      <formula1>MaterialCodes</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8235"/>
    <pageSetUpPr fitToPage="false"/>
  </sheetPr>
  <dimension ref="A1:N4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40"/>
    <col collapsed="false" customWidth="true" hidden="false" outlineLevel="0" max="3" min="3" style="0" width="9"/>
    <col collapsed="false" customWidth="true" hidden="false" outlineLevel="0" max="5" min="4" style="0" width="10"/>
    <col collapsed="false" customWidth="true" hidden="false" outlineLevel="0" max="6" min="6" style="0" width="13"/>
    <col collapsed="false" customWidth="true" hidden="false" outlineLevel="0" max="7" min="7" style="0" width="9"/>
    <col collapsed="false" customWidth="true" hidden="false" outlineLevel="0" max="12" min="8" style="0" width="13"/>
    <col collapsed="false" customWidth="true" hidden="false" outlineLevel="0" max="13" min="13" style="0" width="15"/>
    <col collapsed="false" customWidth="true" hidden="false" outlineLevel="0" max="14" min="14" style="0" width="28"/>
  </cols>
  <sheetData>
    <row r="1" customFormat="false" ht="31.5" hidden="false" customHeight="true" outlineLevel="0" collapsed="false">
      <c r="A1" s="1" t="s">
        <v>460</v>
      </c>
      <c r="B1" s="1"/>
      <c r="C1" s="1"/>
      <c r="D1" s="1"/>
      <c r="E1" s="1"/>
      <c r="F1" s="1"/>
      <c r="G1" s="1"/>
      <c r="H1" s="1"/>
      <c r="I1" s="1"/>
      <c r="J1" s="1"/>
      <c r="K1" s="1"/>
      <c r="L1" s="1"/>
      <c r="M1" s="1"/>
      <c r="N1" s="1"/>
    </row>
    <row r="2" customFormat="false" ht="18" hidden="false" customHeight="true" outlineLevel="0" collapsed="false">
      <c r="A2" s="2" t="s">
        <v>358</v>
      </c>
      <c r="B2" s="2"/>
      <c r="C2" s="2"/>
      <c r="D2" s="2"/>
      <c r="E2" s="2"/>
      <c r="F2" s="2"/>
      <c r="G2" s="2"/>
      <c r="H2" s="2"/>
      <c r="I2" s="2"/>
      <c r="J2" s="2"/>
      <c r="K2" s="2"/>
      <c r="L2" s="2"/>
      <c r="M2" s="2"/>
      <c r="N2" s="2"/>
    </row>
    <row r="4" customFormat="false" ht="31.5" hidden="false" customHeight="true" outlineLevel="0" collapsed="false">
      <c r="A4" s="11" t="s">
        <v>284</v>
      </c>
      <c r="B4" s="11" t="s">
        <v>175</v>
      </c>
      <c r="C4" s="11" t="s">
        <v>61</v>
      </c>
      <c r="D4" s="11" t="s">
        <v>359</v>
      </c>
      <c r="E4" s="11" t="s">
        <v>360</v>
      </c>
      <c r="F4" s="11" t="s">
        <v>361</v>
      </c>
      <c r="G4" s="11" t="s">
        <v>362</v>
      </c>
      <c r="H4" s="11" t="s">
        <v>363</v>
      </c>
      <c r="I4" s="11" t="s">
        <v>364</v>
      </c>
      <c r="J4" s="11" t="s">
        <v>365</v>
      </c>
      <c r="K4" s="11" t="s">
        <v>366</v>
      </c>
      <c r="L4" s="11" t="s">
        <v>367</v>
      </c>
      <c r="M4" s="11" t="s">
        <v>368</v>
      </c>
      <c r="N4" s="11" t="s">
        <v>369</v>
      </c>
    </row>
    <row r="5" customFormat="false" ht="15" hidden="false" customHeight="false" outlineLevel="0" collapsed="false">
      <c r="A5" s="25" t="s">
        <v>426</v>
      </c>
      <c r="B5" s="25"/>
      <c r="C5" s="25"/>
      <c r="D5" s="25"/>
      <c r="E5" s="25"/>
      <c r="F5" s="25"/>
      <c r="G5" s="25"/>
      <c r="H5" s="25"/>
      <c r="I5" s="25"/>
      <c r="J5" s="25"/>
      <c r="K5" s="25"/>
      <c r="L5" s="25"/>
      <c r="M5" s="25"/>
      <c r="N5" s="25"/>
    </row>
    <row r="6" customFormat="false" ht="15" hidden="false" customHeight="false" outlineLevel="0" collapsed="false">
      <c r="A6" s="32" t="n">
        <v>1</v>
      </c>
      <c r="B6" s="16" t="s">
        <v>461</v>
      </c>
      <c r="C6" s="32" t="s">
        <v>372</v>
      </c>
      <c r="D6" s="33" t="n">
        <v>0</v>
      </c>
      <c r="E6" s="34"/>
      <c r="F6" s="23" t="str">
        <f aca="false">IF($E6="","",IFERROR(INDEX(MaterialPrices,MATCH($E6,MaterialCodes,0)),0))</f>
        <v/>
      </c>
      <c r="G6" s="35" t="n">
        <v>0</v>
      </c>
      <c r="H6" s="23" t="n">
        <f aca="false">IF($F6="",0,$F6*(1+$G6))</f>
        <v>0</v>
      </c>
      <c r="I6" s="17" t="n">
        <v>0</v>
      </c>
      <c r="J6" s="17" t="n">
        <v>0</v>
      </c>
      <c r="K6" s="17" t="n">
        <v>0</v>
      </c>
      <c r="L6" s="23" t="n">
        <f aca="false">H6+I6+J6+K6</f>
        <v>0</v>
      </c>
      <c r="M6" s="36" t="n">
        <f aca="false">D6*L6</f>
        <v>0</v>
      </c>
      <c r="N6" s="16"/>
    </row>
    <row r="7" customFormat="false" ht="15" hidden="false" customHeight="false" outlineLevel="0" collapsed="false">
      <c r="A7" s="32" t="n">
        <v>2</v>
      </c>
      <c r="B7" s="16" t="s">
        <v>462</v>
      </c>
      <c r="C7" s="32" t="s">
        <v>372</v>
      </c>
      <c r="D7" s="33" t="n">
        <v>0</v>
      </c>
      <c r="E7" s="34"/>
      <c r="F7" s="23" t="str">
        <f aca="false">IF($E7="","",IFERROR(INDEX(MaterialPrices,MATCH($E7,MaterialCodes,0)),0))</f>
        <v/>
      </c>
      <c r="G7" s="35" t="n">
        <v>0</v>
      </c>
      <c r="H7" s="23" t="n">
        <f aca="false">IF($F7="",0,$F7*(1+$G7))</f>
        <v>0</v>
      </c>
      <c r="I7" s="17" t="n">
        <v>0</v>
      </c>
      <c r="J7" s="17" t="n">
        <v>0</v>
      </c>
      <c r="K7" s="17" t="n">
        <v>0</v>
      </c>
      <c r="L7" s="23" t="n">
        <f aca="false">H7+I7+J7+K7</f>
        <v>0</v>
      </c>
      <c r="M7" s="36" t="n">
        <f aca="false">D7*L7</f>
        <v>0</v>
      </c>
      <c r="N7" s="16"/>
    </row>
    <row r="8" customFormat="false" ht="15" hidden="false" customHeight="false" outlineLevel="0" collapsed="false">
      <c r="A8" s="37" t="s">
        <v>428</v>
      </c>
      <c r="B8" s="37"/>
      <c r="C8" s="37"/>
      <c r="D8" s="37"/>
      <c r="E8" s="37"/>
      <c r="F8" s="37"/>
      <c r="G8" s="37"/>
      <c r="H8" s="37"/>
      <c r="I8" s="37"/>
      <c r="J8" s="37"/>
      <c r="K8" s="37"/>
      <c r="L8" s="37"/>
      <c r="M8" s="38" t="n">
        <f aca="false">SUM(M6:M7)</f>
        <v>0</v>
      </c>
      <c r="N8" s="39"/>
    </row>
    <row r="9" customFormat="false" ht="15" hidden="false" customHeight="false" outlineLevel="0" collapsed="false">
      <c r="A9" s="25" t="s">
        <v>463</v>
      </c>
      <c r="B9" s="25"/>
      <c r="C9" s="25"/>
      <c r="D9" s="25"/>
      <c r="E9" s="25"/>
      <c r="F9" s="25"/>
      <c r="G9" s="25"/>
      <c r="H9" s="25"/>
      <c r="I9" s="25"/>
      <c r="J9" s="25"/>
      <c r="K9" s="25"/>
      <c r="L9" s="25"/>
      <c r="M9" s="25"/>
      <c r="N9" s="25"/>
    </row>
    <row r="10" customFormat="false" ht="15" hidden="false" customHeight="false" outlineLevel="0" collapsed="false">
      <c r="A10" s="32" t="n">
        <v>3</v>
      </c>
      <c r="B10" s="16" t="s">
        <v>464</v>
      </c>
      <c r="C10" s="32" t="s">
        <v>419</v>
      </c>
      <c r="D10" s="33" t="n">
        <v>0</v>
      </c>
      <c r="E10" s="34" t="s">
        <v>162</v>
      </c>
      <c r="F10" s="23" t="n">
        <f aca="false">IF($E10="","",IFERROR(INDEX(MaterialPrices,MATCH($E10,MaterialCodes,0)),0))</f>
        <v>2387.5</v>
      </c>
      <c r="G10" s="40" t="n">
        <f aca="false">'Thresholds &amp; Assumptions'!$B$53</f>
        <v>0.02</v>
      </c>
      <c r="H10" s="23" t="n">
        <f aca="false">IF($F10="",0,$F10*(1+$G10))</f>
        <v>2435.25</v>
      </c>
      <c r="I10" s="17" t="n">
        <v>0</v>
      </c>
      <c r="J10" s="17" t="n">
        <v>0</v>
      </c>
      <c r="K10" s="17" t="n">
        <v>0</v>
      </c>
      <c r="L10" s="23" t="n">
        <f aca="false">H10+I10+J10+K10</f>
        <v>2435.25</v>
      </c>
      <c r="M10" s="36" t="n">
        <f aca="false">D10*L10</f>
        <v>0</v>
      </c>
      <c r="N10" s="16"/>
    </row>
    <row r="11" customFormat="false" ht="15" hidden="false" customHeight="false" outlineLevel="0" collapsed="false">
      <c r="A11" s="32" t="n">
        <v>4</v>
      </c>
      <c r="B11" s="16" t="s">
        <v>465</v>
      </c>
      <c r="C11" s="32" t="s">
        <v>93</v>
      </c>
      <c r="D11" s="33" t="n">
        <v>0</v>
      </c>
      <c r="E11" s="34" t="s">
        <v>162</v>
      </c>
      <c r="F11" s="23" t="n">
        <f aca="false">IF($E11="","",IFERROR(INDEX(MaterialPrices,MATCH($E11,MaterialCodes,0)),0))</f>
        <v>2387.5</v>
      </c>
      <c r="G11" s="40" t="n">
        <f aca="false">'Thresholds &amp; Assumptions'!$B$53</f>
        <v>0.02</v>
      </c>
      <c r="H11" s="23" t="n">
        <f aca="false">IF($F11="",0,$F11*(1+$G11))</f>
        <v>2435.25</v>
      </c>
      <c r="I11" s="17" t="n">
        <v>0</v>
      </c>
      <c r="J11" s="17" t="n">
        <v>0</v>
      </c>
      <c r="K11" s="17" t="n">
        <v>0</v>
      </c>
      <c r="L11" s="23" t="n">
        <f aca="false">H11+I11+J11+K11</f>
        <v>2435.25</v>
      </c>
      <c r="M11" s="36" t="n">
        <f aca="false">D11*L11</f>
        <v>0</v>
      </c>
      <c r="N11" s="16"/>
    </row>
    <row r="12" customFormat="false" ht="15" hidden="false" customHeight="false" outlineLevel="0" collapsed="false">
      <c r="A12" s="32" t="n">
        <v>5</v>
      </c>
      <c r="B12" s="16" t="s">
        <v>466</v>
      </c>
      <c r="C12" s="32" t="s">
        <v>70</v>
      </c>
      <c r="D12" s="33" t="n">
        <v>0</v>
      </c>
      <c r="E12" s="34" t="s">
        <v>79</v>
      </c>
      <c r="F12" s="23" t="n">
        <f aca="false">IF($E12="","",IFERROR(INDEX(MaterialPrices,MATCH($E12,MaterialCodes,0)),0))</f>
        <v>36500</v>
      </c>
      <c r="G12" s="40" t="n">
        <f aca="false">'Thresholds &amp; Assumptions'!$B$52</f>
        <v>0.03</v>
      </c>
      <c r="H12" s="23" t="n">
        <f aca="false">IF($F12="",0,$F12*(1+$G12))</f>
        <v>37595</v>
      </c>
      <c r="I12" s="17" t="n">
        <v>0</v>
      </c>
      <c r="J12" s="17" t="n">
        <v>0</v>
      </c>
      <c r="K12" s="17" t="n">
        <v>0</v>
      </c>
      <c r="L12" s="23" t="n">
        <f aca="false">H12+I12+J12+K12</f>
        <v>37595</v>
      </c>
      <c r="M12" s="36" t="n">
        <f aca="false">D12*L12</f>
        <v>0</v>
      </c>
      <c r="N12" s="16"/>
    </row>
    <row r="13" customFormat="false" ht="15" hidden="false" customHeight="false" outlineLevel="0" collapsed="false">
      <c r="A13" s="32" t="n">
        <v>6</v>
      </c>
      <c r="B13" s="16" t="s">
        <v>467</v>
      </c>
      <c r="C13" s="32" t="s">
        <v>93</v>
      </c>
      <c r="D13" s="33" t="n">
        <v>0</v>
      </c>
      <c r="E13" s="34" t="s">
        <v>164</v>
      </c>
      <c r="F13" s="23" t="n">
        <f aca="false">IF($E13="","",IFERROR(INDEX(MaterialPrices,MATCH($E13,MaterialCodes,0)),0))</f>
        <v>2445.5</v>
      </c>
      <c r="G13" s="40" t="n">
        <f aca="false">'Thresholds &amp; Assumptions'!$B$53</f>
        <v>0.02</v>
      </c>
      <c r="H13" s="23" t="n">
        <f aca="false">IF($F13="",0,$F13*(1+$G13))</f>
        <v>2494.41</v>
      </c>
      <c r="I13" s="17" t="n">
        <v>0</v>
      </c>
      <c r="J13" s="17" t="n">
        <v>0</v>
      </c>
      <c r="K13" s="17" t="n">
        <v>0</v>
      </c>
      <c r="L13" s="23" t="n">
        <f aca="false">H13+I13+J13+K13</f>
        <v>2494.41</v>
      </c>
      <c r="M13" s="36" t="n">
        <f aca="false">D13*L13</f>
        <v>0</v>
      </c>
      <c r="N13" s="16"/>
    </row>
    <row r="14" customFormat="false" ht="15" hidden="false" customHeight="false" outlineLevel="0" collapsed="false">
      <c r="A14" s="32" t="n">
        <v>7</v>
      </c>
      <c r="B14" s="16" t="s">
        <v>468</v>
      </c>
      <c r="C14" s="32" t="s">
        <v>70</v>
      </c>
      <c r="D14" s="33" t="n">
        <v>0</v>
      </c>
      <c r="E14" s="34" t="s">
        <v>79</v>
      </c>
      <c r="F14" s="23" t="n">
        <f aca="false">IF($E14="","",IFERROR(INDEX(MaterialPrices,MATCH($E14,MaterialCodes,0)),0))</f>
        <v>36500</v>
      </c>
      <c r="G14" s="40" t="n">
        <f aca="false">'Thresholds &amp; Assumptions'!$B$52</f>
        <v>0.03</v>
      </c>
      <c r="H14" s="23" t="n">
        <f aca="false">IF($F14="",0,$F14*(1+$G14))</f>
        <v>37595</v>
      </c>
      <c r="I14" s="17" t="n">
        <v>0</v>
      </c>
      <c r="J14" s="17" t="n">
        <v>0</v>
      </c>
      <c r="K14" s="17" t="n">
        <v>0</v>
      </c>
      <c r="L14" s="23" t="n">
        <f aca="false">H14+I14+J14+K14</f>
        <v>37595</v>
      </c>
      <c r="M14" s="36" t="n">
        <f aca="false">D14*L14</f>
        <v>0</v>
      </c>
      <c r="N14" s="16"/>
    </row>
    <row r="15" customFormat="false" ht="15" hidden="false" customHeight="false" outlineLevel="0" collapsed="false">
      <c r="A15" s="32" t="n">
        <v>8</v>
      </c>
      <c r="B15" s="16" t="s">
        <v>469</v>
      </c>
      <c r="C15" s="32" t="s">
        <v>93</v>
      </c>
      <c r="D15" s="33" t="n">
        <v>0</v>
      </c>
      <c r="E15" s="34" t="s">
        <v>162</v>
      </c>
      <c r="F15" s="23" t="n">
        <f aca="false">IF($E15="","",IFERROR(INDEX(MaterialPrices,MATCH($E15,MaterialCodes,0)),0))</f>
        <v>2387.5</v>
      </c>
      <c r="G15" s="40" t="n">
        <f aca="false">'Thresholds &amp; Assumptions'!$B$53</f>
        <v>0.02</v>
      </c>
      <c r="H15" s="23" t="n">
        <f aca="false">IF($F15="",0,$F15*(1+$G15))</f>
        <v>2435.25</v>
      </c>
      <c r="I15" s="17" t="n">
        <v>0</v>
      </c>
      <c r="J15" s="17" t="n">
        <v>0</v>
      </c>
      <c r="K15" s="17" t="n">
        <v>0</v>
      </c>
      <c r="L15" s="23" t="n">
        <f aca="false">H15+I15+J15+K15</f>
        <v>2435.25</v>
      </c>
      <c r="M15" s="36" t="n">
        <f aca="false">D15*L15</f>
        <v>0</v>
      </c>
      <c r="N15" s="16"/>
    </row>
    <row r="16" customFormat="false" ht="15" hidden="false" customHeight="false" outlineLevel="0" collapsed="false">
      <c r="A16" s="32" t="n">
        <v>9</v>
      </c>
      <c r="B16" s="16" t="s">
        <v>470</v>
      </c>
      <c r="C16" s="32" t="s">
        <v>70</v>
      </c>
      <c r="D16" s="33" t="n">
        <v>0</v>
      </c>
      <c r="E16" s="34" t="s">
        <v>79</v>
      </c>
      <c r="F16" s="23" t="n">
        <f aca="false">IF($E16="","",IFERROR(INDEX(MaterialPrices,MATCH($E16,MaterialCodes,0)),0))</f>
        <v>36500</v>
      </c>
      <c r="G16" s="40" t="n">
        <f aca="false">'Thresholds &amp; Assumptions'!$B$52</f>
        <v>0.03</v>
      </c>
      <c r="H16" s="23" t="n">
        <f aca="false">IF($F16="",0,$F16*(1+$G16))</f>
        <v>37595</v>
      </c>
      <c r="I16" s="17" t="n">
        <v>0</v>
      </c>
      <c r="J16" s="17" t="n">
        <v>0</v>
      </c>
      <c r="K16" s="17" t="n">
        <v>0</v>
      </c>
      <c r="L16" s="23" t="n">
        <f aca="false">H16+I16+J16+K16</f>
        <v>37595</v>
      </c>
      <c r="M16" s="36" t="n">
        <f aca="false">D16*L16</f>
        <v>0</v>
      </c>
      <c r="N16" s="16"/>
    </row>
    <row r="17" customFormat="false" ht="15" hidden="false" customHeight="false" outlineLevel="0" collapsed="false">
      <c r="A17" s="37" t="s">
        <v>471</v>
      </c>
      <c r="B17" s="37"/>
      <c r="C17" s="37"/>
      <c r="D17" s="37"/>
      <c r="E17" s="37"/>
      <c r="F17" s="37"/>
      <c r="G17" s="37"/>
      <c r="H17" s="37"/>
      <c r="I17" s="37"/>
      <c r="J17" s="37"/>
      <c r="K17" s="37"/>
      <c r="L17" s="37"/>
      <c r="M17" s="38" t="n">
        <f aca="false">SUM(M10:M16)</f>
        <v>0</v>
      </c>
      <c r="N17" s="39"/>
    </row>
    <row r="18" customFormat="false" ht="15" hidden="false" customHeight="false" outlineLevel="0" collapsed="false">
      <c r="A18" s="25" t="s">
        <v>472</v>
      </c>
      <c r="B18" s="25"/>
      <c r="C18" s="25"/>
      <c r="D18" s="25"/>
      <c r="E18" s="25"/>
      <c r="F18" s="25"/>
      <c r="G18" s="25"/>
      <c r="H18" s="25"/>
      <c r="I18" s="25"/>
      <c r="J18" s="25"/>
      <c r="K18" s="25"/>
      <c r="L18" s="25"/>
      <c r="M18" s="25"/>
      <c r="N18" s="25"/>
    </row>
    <row r="19" customFormat="false" ht="15" hidden="false" customHeight="false" outlineLevel="0" collapsed="false">
      <c r="A19" s="32" t="n">
        <v>10</v>
      </c>
      <c r="B19" s="16" t="s">
        <v>473</v>
      </c>
      <c r="C19" s="32" t="s">
        <v>93</v>
      </c>
      <c r="D19" s="33" t="n">
        <v>0</v>
      </c>
      <c r="E19" s="34" t="s">
        <v>166</v>
      </c>
      <c r="F19" s="23" t="n">
        <f aca="false">IF($E19="","",IFERROR(INDEX(MaterialPrices,MATCH($E19,MaterialCodes,0)),0))</f>
        <v>2522.5</v>
      </c>
      <c r="G19" s="40" t="n">
        <f aca="false">'Thresholds &amp; Assumptions'!$B$53</f>
        <v>0.02</v>
      </c>
      <c r="H19" s="23" t="n">
        <f aca="false">IF($F19="",0,$F19*(1+$G19))</f>
        <v>2572.95</v>
      </c>
      <c r="I19" s="17" t="n">
        <v>0</v>
      </c>
      <c r="J19" s="17" t="n">
        <v>0</v>
      </c>
      <c r="K19" s="17" t="n">
        <v>0</v>
      </c>
      <c r="L19" s="23" t="n">
        <f aca="false">H19+I19+J19+K19</f>
        <v>2572.95</v>
      </c>
      <c r="M19" s="36" t="n">
        <f aca="false">D19*L19</f>
        <v>0</v>
      </c>
      <c r="N19" s="16"/>
    </row>
    <row r="20" customFormat="false" ht="15" hidden="false" customHeight="false" outlineLevel="0" collapsed="false">
      <c r="A20" s="32" t="n">
        <v>11</v>
      </c>
      <c r="B20" s="16" t="s">
        <v>474</v>
      </c>
      <c r="C20" s="32" t="s">
        <v>93</v>
      </c>
      <c r="D20" s="33" t="n">
        <v>0</v>
      </c>
      <c r="E20" s="34" t="s">
        <v>164</v>
      </c>
      <c r="F20" s="23" t="n">
        <f aca="false">IF($E20="","",IFERROR(INDEX(MaterialPrices,MATCH($E20,MaterialCodes,0)),0))</f>
        <v>2445.5</v>
      </c>
      <c r="G20" s="40" t="n">
        <f aca="false">'Thresholds &amp; Assumptions'!$B$53</f>
        <v>0.02</v>
      </c>
      <c r="H20" s="23" t="n">
        <f aca="false">IF($F20="",0,$F20*(1+$G20))</f>
        <v>2494.41</v>
      </c>
      <c r="I20" s="17" t="n">
        <v>0</v>
      </c>
      <c r="J20" s="17" t="n">
        <v>0</v>
      </c>
      <c r="K20" s="17" t="n">
        <v>0</v>
      </c>
      <c r="L20" s="23" t="n">
        <f aca="false">H20+I20+J20+K20</f>
        <v>2494.41</v>
      </c>
      <c r="M20" s="36" t="n">
        <f aca="false">D20*L20</f>
        <v>0</v>
      </c>
      <c r="N20" s="16"/>
    </row>
    <row r="21" customFormat="false" ht="15" hidden="false" customHeight="false" outlineLevel="0" collapsed="false">
      <c r="A21" s="32" t="n">
        <v>12</v>
      </c>
      <c r="B21" s="16" t="s">
        <v>475</v>
      </c>
      <c r="C21" s="32" t="s">
        <v>70</v>
      </c>
      <c r="D21" s="33" t="n">
        <v>0</v>
      </c>
      <c r="E21" s="34" t="s">
        <v>79</v>
      </c>
      <c r="F21" s="23" t="n">
        <f aca="false">IF($E21="","",IFERROR(INDEX(MaterialPrices,MATCH($E21,MaterialCodes,0)),0))</f>
        <v>36500</v>
      </c>
      <c r="G21" s="40" t="n">
        <f aca="false">'Thresholds &amp; Assumptions'!$B$52</f>
        <v>0.03</v>
      </c>
      <c r="H21" s="23" t="n">
        <f aca="false">IF($F21="",0,$F21*(1+$G21))</f>
        <v>37595</v>
      </c>
      <c r="I21" s="17" t="n">
        <v>0</v>
      </c>
      <c r="J21" s="17" t="n">
        <v>0</v>
      </c>
      <c r="K21" s="17" t="n">
        <v>0</v>
      </c>
      <c r="L21" s="23" t="n">
        <f aca="false">H21+I21+J21+K21</f>
        <v>37595</v>
      </c>
      <c r="M21" s="36" t="n">
        <f aca="false">D21*L21</f>
        <v>0</v>
      </c>
      <c r="N21" s="16"/>
    </row>
    <row r="22" customFormat="false" ht="15" hidden="false" customHeight="false" outlineLevel="0" collapsed="false">
      <c r="A22" s="32" t="n">
        <v>13</v>
      </c>
      <c r="B22" s="16" t="s">
        <v>476</v>
      </c>
      <c r="C22" s="32" t="s">
        <v>70</v>
      </c>
      <c r="D22" s="33" t="n">
        <v>0</v>
      </c>
      <c r="E22" s="34" t="s">
        <v>83</v>
      </c>
      <c r="F22" s="23" t="n">
        <f aca="false">IF($E22="","",IFERROR(INDEX(MaterialPrices,MATCH($E22,MaterialCodes,0)),0))</f>
        <v>39500</v>
      </c>
      <c r="G22" s="40" t="n">
        <f aca="false">'Thresholds &amp; Assumptions'!$B$52</f>
        <v>0.03</v>
      </c>
      <c r="H22" s="23" t="n">
        <f aca="false">IF($F22="",0,$F22*(1+$G22))</f>
        <v>40685</v>
      </c>
      <c r="I22" s="17" t="n">
        <v>0</v>
      </c>
      <c r="J22" s="17" t="n">
        <v>0</v>
      </c>
      <c r="K22" s="17" t="n">
        <v>0</v>
      </c>
      <c r="L22" s="23" t="n">
        <f aca="false">H22+I22+J22+K22</f>
        <v>40685</v>
      </c>
      <c r="M22" s="36" t="n">
        <f aca="false">D22*L22</f>
        <v>0</v>
      </c>
      <c r="N22" s="16"/>
    </row>
    <row r="23" customFormat="false" ht="15" hidden="false" customHeight="false" outlineLevel="0" collapsed="false">
      <c r="A23" s="32" t="n">
        <v>14</v>
      </c>
      <c r="B23" s="16" t="s">
        <v>477</v>
      </c>
      <c r="C23" s="32" t="s">
        <v>126</v>
      </c>
      <c r="D23" s="33" t="n">
        <v>0</v>
      </c>
      <c r="E23" s="34" t="s">
        <v>140</v>
      </c>
      <c r="F23" s="23" t="n">
        <f aca="false">IF($E23="","",IFERROR(INDEX(MaterialPrices,MATCH($E23,MaterialCodes,0)),0))</f>
        <v>900</v>
      </c>
      <c r="G23" s="40" t="n">
        <f aca="false">'Thresholds &amp; Assumptions'!$B$57</f>
        <v>0.2</v>
      </c>
      <c r="H23" s="23" t="n">
        <f aca="false">IF($F23="",0,$F23*(1+$G23))</f>
        <v>1080</v>
      </c>
      <c r="I23" s="17" t="n">
        <v>0</v>
      </c>
      <c r="J23" s="17" t="n">
        <v>0</v>
      </c>
      <c r="K23" s="17" t="n">
        <v>0</v>
      </c>
      <c r="L23" s="23" t="n">
        <f aca="false">H23+I23+J23+K23</f>
        <v>1080</v>
      </c>
      <c r="M23" s="36" t="n">
        <f aca="false">D23*L23</f>
        <v>0</v>
      </c>
      <c r="N23" s="16"/>
    </row>
    <row r="24" customFormat="false" ht="15" hidden="false" customHeight="false" outlineLevel="0" collapsed="false">
      <c r="A24" s="37" t="s">
        <v>478</v>
      </c>
      <c r="B24" s="37"/>
      <c r="C24" s="37"/>
      <c r="D24" s="37"/>
      <c r="E24" s="37"/>
      <c r="F24" s="37"/>
      <c r="G24" s="37"/>
      <c r="H24" s="37"/>
      <c r="I24" s="37"/>
      <c r="J24" s="37"/>
      <c r="K24" s="37"/>
      <c r="L24" s="37"/>
      <c r="M24" s="38" t="n">
        <f aca="false">SUM(M19:M23)</f>
        <v>0</v>
      </c>
      <c r="N24" s="39"/>
    </row>
    <row r="25" customFormat="false" ht="15" hidden="false" customHeight="false" outlineLevel="0" collapsed="false">
      <c r="A25" s="25" t="s">
        <v>479</v>
      </c>
      <c r="B25" s="25"/>
      <c r="C25" s="25"/>
      <c r="D25" s="25"/>
      <c r="E25" s="25"/>
      <c r="F25" s="25"/>
      <c r="G25" s="25"/>
      <c r="H25" s="25"/>
      <c r="I25" s="25"/>
      <c r="J25" s="25"/>
      <c r="K25" s="25"/>
      <c r="L25" s="25"/>
      <c r="M25" s="25"/>
      <c r="N25" s="25"/>
    </row>
    <row r="26" customFormat="false" ht="15" hidden="false" customHeight="false" outlineLevel="0" collapsed="false">
      <c r="A26" s="32" t="n">
        <v>15</v>
      </c>
      <c r="B26" s="16" t="s">
        <v>480</v>
      </c>
      <c r="C26" s="32" t="s">
        <v>447</v>
      </c>
      <c r="D26" s="33" t="n">
        <v>0</v>
      </c>
      <c r="E26" s="34" t="s">
        <v>86</v>
      </c>
      <c r="F26" s="23" t="n">
        <f aca="false">IF($E26="","",IFERROR(INDEX(MaterialPrices,MATCH($E26,MaterialCodes,0)),0))</f>
        <v>45000</v>
      </c>
      <c r="G26" s="40" t="n">
        <f aca="false">'Thresholds &amp; Assumptions'!$B$52</f>
        <v>0.03</v>
      </c>
      <c r="H26" s="23" t="n">
        <f aca="false">IF($F26="",0,$F26*(1+$G26))</f>
        <v>46350</v>
      </c>
      <c r="I26" s="17" t="n">
        <v>0</v>
      </c>
      <c r="J26" s="17" t="n">
        <v>0</v>
      </c>
      <c r="K26" s="17" t="n">
        <v>0</v>
      </c>
      <c r="L26" s="23" t="n">
        <f aca="false">H26+I26+J26+K26</f>
        <v>46350</v>
      </c>
      <c r="M26" s="36" t="n">
        <f aca="false">D26*L26</f>
        <v>0</v>
      </c>
      <c r="N26" s="16"/>
    </row>
    <row r="27" customFormat="false" ht="15" hidden="false" customHeight="false" outlineLevel="0" collapsed="false">
      <c r="A27" s="32" t="n">
        <v>16</v>
      </c>
      <c r="B27" s="16" t="s">
        <v>481</v>
      </c>
      <c r="C27" s="32" t="s">
        <v>419</v>
      </c>
      <c r="D27" s="33" t="n">
        <v>0</v>
      </c>
      <c r="E27" s="34" t="s">
        <v>86</v>
      </c>
      <c r="F27" s="23" t="n">
        <f aca="false">IF($E27="","",IFERROR(INDEX(MaterialPrices,MATCH($E27,MaterialCodes,0)),0))</f>
        <v>45000</v>
      </c>
      <c r="G27" s="40" t="n">
        <f aca="false">'Thresholds &amp; Assumptions'!$B$52</f>
        <v>0.03</v>
      </c>
      <c r="H27" s="23" t="n">
        <f aca="false">IF($F27="",0,$F27*(1+$G27))</f>
        <v>46350</v>
      </c>
      <c r="I27" s="17" t="n">
        <v>0</v>
      </c>
      <c r="J27" s="17" t="n">
        <v>0</v>
      </c>
      <c r="K27" s="17" t="n">
        <v>0</v>
      </c>
      <c r="L27" s="23" t="n">
        <f aca="false">H27+I27+J27+K27</f>
        <v>46350</v>
      </c>
      <c r="M27" s="36" t="n">
        <f aca="false">D27*L27</f>
        <v>0</v>
      </c>
      <c r="N27" s="16"/>
    </row>
    <row r="28" customFormat="false" ht="15" hidden="false" customHeight="false" outlineLevel="0" collapsed="false">
      <c r="A28" s="32" t="n">
        <v>17</v>
      </c>
      <c r="B28" s="16" t="s">
        <v>482</v>
      </c>
      <c r="C28" s="32" t="s">
        <v>419</v>
      </c>
      <c r="D28" s="33" t="n">
        <v>0</v>
      </c>
      <c r="E28" s="34" t="s">
        <v>86</v>
      </c>
      <c r="F28" s="23" t="n">
        <f aca="false">IF($E28="","",IFERROR(INDEX(MaterialPrices,MATCH($E28,MaterialCodes,0)),0))</f>
        <v>45000</v>
      </c>
      <c r="G28" s="40" t="n">
        <f aca="false">'Thresholds &amp; Assumptions'!$B$52</f>
        <v>0.03</v>
      </c>
      <c r="H28" s="23" t="n">
        <f aca="false">IF($F28="",0,$F28*(1+$G28))</f>
        <v>46350</v>
      </c>
      <c r="I28" s="17" t="n">
        <v>0</v>
      </c>
      <c r="J28" s="17" t="n">
        <v>0</v>
      </c>
      <c r="K28" s="17" t="n">
        <v>0</v>
      </c>
      <c r="L28" s="23" t="n">
        <f aca="false">H28+I28+J28+K28</f>
        <v>46350</v>
      </c>
      <c r="M28" s="36" t="n">
        <f aca="false">D28*L28</f>
        <v>0</v>
      </c>
      <c r="N28" s="16"/>
    </row>
    <row r="29" customFormat="false" ht="15" hidden="false" customHeight="false" outlineLevel="0" collapsed="false">
      <c r="A29" s="32" t="n">
        <v>18</v>
      </c>
      <c r="B29" s="16" t="s">
        <v>483</v>
      </c>
      <c r="C29" s="32" t="s">
        <v>126</v>
      </c>
      <c r="D29" s="33" t="n">
        <v>0</v>
      </c>
      <c r="E29" s="34" t="s">
        <v>149</v>
      </c>
      <c r="F29" s="23" t="n">
        <f aca="false">IF($E29="","",IFERROR(INDEX(MaterialPrices,MATCH($E29,MaterialCodes,0)),0))</f>
        <v>220</v>
      </c>
      <c r="G29" s="35" t="n">
        <v>0</v>
      </c>
      <c r="H29" s="23" t="n">
        <f aca="false">IF($F29="",0,$F29*(1+$G29))</f>
        <v>220</v>
      </c>
      <c r="I29" s="17" t="n">
        <v>0</v>
      </c>
      <c r="J29" s="17" t="n">
        <v>0</v>
      </c>
      <c r="K29" s="17" t="n">
        <v>0</v>
      </c>
      <c r="L29" s="23" t="n">
        <f aca="false">H29+I29+J29+K29</f>
        <v>220</v>
      </c>
      <c r="M29" s="36" t="n">
        <f aca="false">D29*L29</f>
        <v>0</v>
      </c>
      <c r="N29" s="16"/>
    </row>
    <row r="30" customFormat="false" ht="15" hidden="false" customHeight="false" outlineLevel="0" collapsed="false">
      <c r="A30" s="32" t="n">
        <v>19</v>
      </c>
      <c r="B30" s="16" t="s">
        <v>484</v>
      </c>
      <c r="C30" s="32" t="s">
        <v>126</v>
      </c>
      <c r="D30" s="33" t="n">
        <v>0</v>
      </c>
      <c r="E30" s="34" t="s">
        <v>137</v>
      </c>
      <c r="F30" s="23" t="n">
        <f aca="false">IF($E30="","",IFERROR(INDEX(MaterialPrices,MATCH($E30,MaterialCodes,0)),0))</f>
        <v>8500</v>
      </c>
      <c r="G30" s="35" t="n">
        <v>0</v>
      </c>
      <c r="H30" s="23" t="n">
        <f aca="false">IF($F30="",0,$F30*(1+$G30))</f>
        <v>8500</v>
      </c>
      <c r="I30" s="17" t="n">
        <v>0</v>
      </c>
      <c r="J30" s="17" t="n">
        <v>0</v>
      </c>
      <c r="K30" s="17" t="n">
        <v>0</v>
      </c>
      <c r="L30" s="23" t="n">
        <f aca="false">H30+I30+J30+K30</f>
        <v>8500</v>
      </c>
      <c r="M30" s="36" t="n">
        <f aca="false">D30*L30</f>
        <v>0</v>
      </c>
      <c r="N30" s="16"/>
    </row>
    <row r="31" customFormat="false" ht="15" hidden="false" customHeight="false" outlineLevel="0" collapsed="false">
      <c r="A31" s="32" t="n">
        <v>20</v>
      </c>
      <c r="B31" s="16" t="s">
        <v>485</v>
      </c>
      <c r="C31" s="32" t="s">
        <v>447</v>
      </c>
      <c r="D31" s="33" t="n">
        <v>0</v>
      </c>
      <c r="E31" s="34"/>
      <c r="F31" s="23" t="str">
        <f aca="false">IF($E31="","",IFERROR(INDEX(MaterialPrices,MATCH($E31,MaterialCodes,0)),0))</f>
        <v/>
      </c>
      <c r="G31" s="35" t="n">
        <v>0</v>
      </c>
      <c r="H31" s="23" t="n">
        <f aca="false">IF($F31="",0,$F31*(1+$G31))</f>
        <v>0</v>
      </c>
      <c r="I31" s="17" t="n">
        <v>0</v>
      </c>
      <c r="J31" s="17" t="n">
        <v>0</v>
      </c>
      <c r="K31" s="17" t="n">
        <v>0</v>
      </c>
      <c r="L31" s="23" t="n">
        <f aca="false">H31+I31+J31+K31</f>
        <v>0</v>
      </c>
      <c r="M31" s="36" t="n">
        <f aca="false">D31*L31</f>
        <v>0</v>
      </c>
      <c r="N31" s="16"/>
    </row>
    <row r="32" customFormat="false" ht="15" hidden="false" customHeight="false" outlineLevel="0" collapsed="false">
      <c r="A32" s="37" t="s">
        <v>486</v>
      </c>
      <c r="B32" s="37"/>
      <c r="C32" s="37"/>
      <c r="D32" s="37"/>
      <c r="E32" s="37"/>
      <c r="F32" s="37"/>
      <c r="G32" s="37"/>
      <c r="H32" s="37"/>
      <c r="I32" s="37"/>
      <c r="J32" s="37"/>
      <c r="K32" s="37"/>
      <c r="L32" s="37"/>
      <c r="M32" s="38" t="n">
        <f aca="false">SUM(M26:M31)</f>
        <v>0</v>
      </c>
      <c r="N32" s="39"/>
    </row>
    <row r="33" customFormat="false" ht="15" hidden="false" customHeight="false" outlineLevel="0" collapsed="false">
      <c r="A33" s="25" t="s">
        <v>487</v>
      </c>
      <c r="B33" s="25"/>
      <c r="C33" s="25"/>
      <c r="D33" s="25"/>
      <c r="E33" s="25"/>
      <c r="F33" s="25"/>
      <c r="G33" s="25"/>
      <c r="H33" s="25"/>
      <c r="I33" s="25"/>
      <c r="J33" s="25"/>
      <c r="K33" s="25"/>
      <c r="L33" s="25"/>
      <c r="M33" s="25"/>
      <c r="N33" s="25"/>
    </row>
    <row r="34" customFormat="false" ht="15" hidden="false" customHeight="false" outlineLevel="0" collapsed="false">
      <c r="A34" s="32" t="n">
        <v>21</v>
      </c>
      <c r="B34" s="16" t="s">
        <v>488</v>
      </c>
      <c r="C34" s="32" t="s">
        <v>93</v>
      </c>
      <c r="D34" s="33" t="n">
        <v>0</v>
      </c>
      <c r="E34" s="34" t="s">
        <v>162</v>
      </c>
      <c r="F34" s="23" t="n">
        <f aca="false">IF($E34="","",IFERROR(INDEX(MaterialPrices,MATCH($E34,MaterialCodes,0)),0))</f>
        <v>2387.5</v>
      </c>
      <c r="G34" s="40" t="n">
        <f aca="false">'Thresholds &amp; Assumptions'!$B$53</f>
        <v>0.02</v>
      </c>
      <c r="H34" s="23" t="n">
        <f aca="false">IF($F34="",0,$F34*(1+$G34))</f>
        <v>2435.25</v>
      </c>
      <c r="I34" s="17" t="n">
        <v>0</v>
      </c>
      <c r="J34" s="17" t="n">
        <v>0</v>
      </c>
      <c r="K34" s="17" t="n">
        <v>0</v>
      </c>
      <c r="L34" s="23" t="n">
        <f aca="false">H34+I34+J34+K34</f>
        <v>2435.25</v>
      </c>
      <c r="M34" s="36" t="n">
        <f aca="false">D34*L34</f>
        <v>0</v>
      </c>
      <c r="N34" s="16"/>
    </row>
    <row r="35" customFormat="false" ht="15" hidden="false" customHeight="false" outlineLevel="0" collapsed="false">
      <c r="A35" s="32" t="n">
        <v>22</v>
      </c>
      <c r="B35" s="16" t="s">
        <v>489</v>
      </c>
      <c r="C35" s="32" t="s">
        <v>93</v>
      </c>
      <c r="D35" s="33" t="n">
        <v>0</v>
      </c>
      <c r="E35" s="34" t="s">
        <v>90</v>
      </c>
      <c r="F35" s="23" t="n">
        <f aca="false">IF($E35="","",IFERROR(INDEX(MaterialPrices,MATCH($E35,MaterialCodes,0)),0))</f>
        <v>150</v>
      </c>
      <c r="G35" s="40" t="n">
        <f aca="false">'Thresholds &amp; Assumptions'!$B$55</f>
        <v>0.05</v>
      </c>
      <c r="H35" s="23" t="n">
        <f aca="false">IF($F35="",0,$F35*(1+$G35))</f>
        <v>157.5</v>
      </c>
      <c r="I35" s="17" t="n">
        <v>0</v>
      </c>
      <c r="J35" s="17" t="n">
        <v>0</v>
      </c>
      <c r="K35" s="17" t="n">
        <v>0</v>
      </c>
      <c r="L35" s="23" t="n">
        <f aca="false">H35+I35+J35+K35</f>
        <v>157.5</v>
      </c>
      <c r="M35" s="36" t="n">
        <f aca="false">D35*L35</f>
        <v>0</v>
      </c>
      <c r="N35" s="16"/>
    </row>
    <row r="36" customFormat="false" ht="15" hidden="false" customHeight="false" outlineLevel="0" collapsed="false">
      <c r="A36" s="32" t="n">
        <v>23</v>
      </c>
      <c r="B36" s="16" t="s">
        <v>490</v>
      </c>
      <c r="C36" s="32" t="s">
        <v>419</v>
      </c>
      <c r="D36" s="33" t="n">
        <v>0</v>
      </c>
      <c r="E36" s="34" t="s">
        <v>86</v>
      </c>
      <c r="F36" s="23" t="n">
        <f aca="false">IF($E36="","",IFERROR(INDEX(MaterialPrices,MATCH($E36,MaterialCodes,0)),0))</f>
        <v>45000</v>
      </c>
      <c r="G36" s="40" t="n">
        <f aca="false">'Thresholds &amp; Assumptions'!$B$52</f>
        <v>0.03</v>
      </c>
      <c r="H36" s="23" t="n">
        <f aca="false">IF($F36="",0,$F36*(1+$G36))</f>
        <v>46350</v>
      </c>
      <c r="I36" s="17" t="n">
        <v>0</v>
      </c>
      <c r="J36" s="17" t="n">
        <v>0</v>
      </c>
      <c r="K36" s="17" t="n">
        <v>0</v>
      </c>
      <c r="L36" s="23" t="n">
        <f aca="false">H36+I36+J36+K36</f>
        <v>46350</v>
      </c>
      <c r="M36" s="36" t="n">
        <f aca="false">D36*L36</f>
        <v>0</v>
      </c>
      <c r="N36" s="16"/>
    </row>
    <row r="37" customFormat="false" ht="15" hidden="false" customHeight="false" outlineLevel="0" collapsed="false">
      <c r="A37" s="37" t="s">
        <v>491</v>
      </c>
      <c r="B37" s="37"/>
      <c r="C37" s="37"/>
      <c r="D37" s="37"/>
      <c r="E37" s="37"/>
      <c r="F37" s="37"/>
      <c r="G37" s="37"/>
      <c r="H37" s="37"/>
      <c r="I37" s="37"/>
      <c r="J37" s="37"/>
      <c r="K37" s="37"/>
      <c r="L37" s="37"/>
      <c r="M37" s="38" t="n">
        <f aca="false">SUM(M34:M36)</f>
        <v>0</v>
      </c>
      <c r="N37" s="39"/>
    </row>
    <row r="39" customFormat="false" ht="15" hidden="false" customHeight="false" outlineLevel="0" collapsed="false">
      <c r="A39" s="41" t="s">
        <v>422</v>
      </c>
      <c r="B39" s="41"/>
      <c r="C39" s="41"/>
      <c r="D39" s="41"/>
      <c r="E39" s="41"/>
      <c r="F39" s="41"/>
      <c r="G39" s="41"/>
      <c r="H39" s="41"/>
      <c r="I39" s="41"/>
      <c r="J39" s="41"/>
      <c r="K39" s="41"/>
      <c r="L39" s="41"/>
      <c r="M39" s="42" t="n">
        <f aca="false">M8+M17+M24+M32+M37</f>
        <v>0</v>
      </c>
      <c r="N39" s="43"/>
    </row>
    <row r="41" customFormat="false" ht="15" hidden="false" customHeight="false" outlineLevel="0" collapsed="false">
      <c r="A41" s="44" t="s">
        <v>492</v>
      </c>
      <c r="B41" s="44"/>
      <c r="C41" s="44"/>
      <c r="D41" s="45" t="n">
        <v>100</v>
      </c>
      <c r="E41" s="46" t="s">
        <v>419</v>
      </c>
    </row>
    <row r="42" customFormat="false" ht="15" hidden="false" customHeight="false" outlineLevel="0" collapsed="false">
      <c r="A42" s="44" t="s">
        <v>493</v>
      </c>
      <c r="B42" s="44"/>
      <c r="C42" s="44"/>
      <c r="D42" s="23" t="n">
        <f aca="false">IF(D41=0,0,M39/D41)</f>
        <v>0</v>
      </c>
    </row>
  </sheetData>
  <mergeCells count="15">
    <mergeCell ref="A1:N1"/>
    <mergeCell ref="A2:N2"/>
    <mergeCell ref="A5:N5"/>
    <mergeCell ref="A8:L8"/>
    <mergeCell ref="A9:N9"/>
    <mergeCell ref="A17:L17"/>
    <mergeCell ref="A18:N18"/>
    <mergeCell ref="A24:L24"/>
    <mergeCell ref="A25:N25"/>
    <mergeCell ref="A32:L32"/>
    <mergeCell ref="A33:N33"/>
    <mergeCell ref="A37:L37"/>
    <mergeCell ref="A39:L39"/>
    <mergeCell ref="A41:C41"/>
    <mergeCell ref="A42:C42"/>
  </mergeCells>
  <dataValidations count="1">
    <dataValidation allowBlank="true" errorStyle="stop" operator="between" showDropDown="false" showErrorMessage="false" showInputMessage="false" sqref="E5:E37" type="list">
      <formula1>MaterialCodes</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8235"/>
    <pageSetUpPr fitToPage="false"/>
  </sheetPr>
  <dimension ref="A1:N4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40"/>
    <col collapsed="false" customWidth="true" hidden="false" outlineLevel="0" max="3" min="3" style="0" width="9"/>
    <col collapsed="false" customWidth="true" hidden="false" outlineLevel="0" max="5" min="4" style="0" width="10"/>
    <col collapsed="false" customWidth="true" hidden="false" outlineLevel="0" max="6" min="6" style="0" width="13"/>
    <col collapsed="false" customWidth="true" hidden="false" outlineLevel="0" max="7" min="7" style="0" width="9"/>
    <col collapsed="false" customWidth="true" hidden="false" outlineLevel="0" max="12" min="8" style="0" width="13"/>
    <col collapsed="false" customWidth="true" hidden="false" outlineLevel="0" max="13" min="13" style="0" width="15"/>
    <col collapsed="false" customWidth="true" hidden="false" outlineLevel="0" max="14" min="14" style="0" width="28"/>
  </cols>
  <sheetData>
    <row r="1" customFormat="false" ht="31.5" hidden="false" customHeight="true" outlineLevel="0" collapsed="false">
      <c r="A1" s="1" t="s">
        <v>494</v>
      </c>
      <c r="B1" s="1"/>
      <c r="C1" s="1"/>
      <c r="D1" s="1"/>
      <c r="E1" s="1"/>
      <c r="F1" s="1"/>
      <c r="G1" s="1"/>
      <c r="H1" s="1"/>
      <c r="I1" s="1"/>
      <c r="J1" s="1"/>
      <c r="K1" s="1"/>
      <c r="L1" s="1"/>
      <c r="M1" s="1"/>
      <c r="N1" s="1"/>
    </row>
    <row r="2" customFormat="false" ht="18" hidden="false" customHeight="true" outlineLevel="0" collapsed="false">
      <c r="A2" s="2" t="s">
        <v>358</v>
      </c>
      <c r="B2" s="2"/>
      <c r="C2" s="2"/>
      <c r="D2" s="2"/>
      <c r="E2" s="2"/>
      <c r="F2" s="2"/>
      <c r="G2" s="2"/>
      <c r="H2" s="2"/>
      <c r="I2" s="2"/>
      <c r="J2" s="2"/>
      <c r="K2" s="2"/>
      <c r="L2" s="2"/>
      <c r="M2" s="2"/>
      <c r="N2" s="2"/>
    </row>
    <row r="4" customFormat="false" ht="31.5" hidden="false" customHeight="true" outlineLevel="0" collapsed="false">
      <c r="A4" s="11" t="s">
        <v>284</v>
      </c>
      <c r="B4" s="11" t="s">
        <v>175</v>
      </c>
      <c r="C4" s="11" t="s">
        <v>61</v>
      </c>
      <c r="D4" s="11" t="s">
        <v>359</v>
      </c>
      <c r="E4" s="11" t="s">
        <v>360</v>
      </c>
      <c r="F4" s="11" t="s">
        <v>361</v>
      </c>
      <c r="G4" s="11" t="s">
        <v>362</v>
      </c>
      <c r="H4" s="11" t="s">
        <v>363</v>
      </c>
      <c r="I4" s="11" t="s">
        <v>364</v>
      </c>
      <c r="J4" s="11" t="s">
        <v>365</v>
      </c>
      <c r="K4" s="11" t="s">
        <v>366</v>
      </c>
      <c r="L4" s="11" t="s">
        <v>367</v>
      </c>
      <c r="M4" s="11" t="s">
        <v>368</v>
      </c>
      <c r="N4" s="11" t="s">
        <v>369</v>
      </c>
    </row>
    <row r="5" customFormat="false" ht="15" hidden="false" customHeight="false" outlineLevel="0" collapsed="false">
      <c r="A5" s="25" t="s">
        <v>495</v>
      </c>
      <c r="B5" s="25"/>
      <c r="C5" s="25"/>
      <c r="D5" s="25"/>
      <c r="E5" s="25"/>
      <c r="F5" s="25"/>
      <c r="G5" s="25"/>
      <c r="H5" s="25"/>
      <c r="I5" s="25"/>
      <c r="J5" s="25"/>
      <c r="K5" s="25"/>
      <c r="L5" s="25"/>
      <c r="M5" s="25"/>
      <c r="N5" s="25"/>
    </row>
    <row r="6" customFormat="false" ht="28.35" hidden="false" customHeight="false" outlineLevel="0" collapsed="false">
      <c r="A6" s="32" t="n">
        <v>1</v>
      </c>
      <c r="B6" s="16" t="s">
        <v>496</v>
      </c>
      <c r="C6" s="32" t="s">
        <v>372</v>
      </c>
      <c r="D6" s="33" t="n">
        <v>0</v>
      </c>
      <c r="E6" s="34"/>
      <c r="F6" s="23" t="str">
        <f aca="false">IF($E6="","",IFERROR(INDEX(MaterialPrices,MATCH($E6,MaterialCodes,0)),0))</f>
        <v/>
      </c>
      <c r="G6" s="35" t="n">
        <v>0</v>
      </c>
      <c r="H6" s="23" t="n">
        <f aca="false">IF($F6="",0,$F6*(1+$G6))</f>
        <v>0</v>
      </c>
      <c r="I6" s="17" t="n">
        <v>0</v>
      </c>
      <c r="J6" s="17" t="n">
        <v>0</v>
      </c>
      <c r="K6" s="17" t="n">
        <v>0</v>
      </c>
      <c r="L6" s="23" t="n">
        <f aca="false">H6+I6+J6+K6</f>
        <v>0</v>
      </c>
      <c r="M6" s="36" t="n">
        <f aca="false">D6*L6</f>
        <v>0</v>
      </c>
      <c r="N6" s="16"/>
    </row>
    <row r="7" customFormat="false" ht="15" hidden="false" customHeight="false" outlineLevel="0" collapsed="false">
      <c r="A7" s="32" t="n">
        <v>2</v>
      </c>
      <c r="B7" s="16" t="s">
        <v>497</v>
      </c>
      <c r="C7" s="32" t="s">
        <v>372</v>
      </c>
      <c r="D7" s="33" t="n">
        <v>0</v>
      </c>
      <c r="E7" s="34"/>
      <c r="F7" s="23" t="str">
        <f aca="false">IF($E7="","",IFERROR(INDEX(MaterialPrices,MATCH($E7,MaterialCodes,0)),0))</f>
        <v/>
      </c>
      <c r="G7" s="35" t="n">
        <v>0</v>
      </c>
      <c r="H7" s="23" t="n">
        <f aca="false">IF($F7="",0,$F7*(1+$G7))</f>
        <v>0</v>
      </c>
      <c r="I7" s="17" t="n">
        <v>0</v>
      </c>
      <c r="J7" s="17" t="n">
        <v>0</v>
      </c>
      <c r="K7" s="17" t="n">
        <v>0</v>
      </c>
      <c r="L7" s="23" t="n">
        <f aca="false">H7+I7+J7+K7</f>
        <v>0</v>
      </c>
      <c r="M7" s="36" t="n">
        <f aca="false">D7*L7</f>
        <v>0</v>
      </c>
      <c r="N7" s="16"/>
    </row>
    <row r="8" customFormat="false" ht="15" hidden="false" customHeight="false" outlineLevel="0" collapsed="false">
      <c r="A8" s="37" t="s">
        <v>498</v>
      </c>
      <c r="B8" s="37"/>
      <c r="C8" s="37"/>
      <c r="D8" s="37"/>
      <c r="E8" s="37"/>
      <c r="F8" s="37"/>
      <c r="G8" s="37"/>
      <c r="H8" s="37"/>
      <c r="I8" s="37"/>
      <c r="J8" s="37"/>
      <c r="K8" s="37"/>
      <c r="L8" s="37"/>
      <c r="M8" s="38" t="n">
        <f aca="false">SUM(M6:M7)</f>
        <v>0</v>
      </c>
      <c r="N8" s="39"/>
    </row>
    <row r="9" customFormat="false" ht="15" hidden="false" customHeight="false" outlineLevel="0" collapsed="false">
      <c r="A9" s="25" t="s">
        <v>499</v>
      </c>
      <c r="B9" s="25"/>
      <c r="C9" s="25"/>
      <c r="D9" s="25"/>
      <c r="E9" s="25"/>
      <c r="F9" s="25"/>
      <c r="G9" s="25"/>
      <c r="H9" s="25"/>
      <c r="I9" s="25"/>
      <c r="J9" s="25"/>
      <c r="K9" s="25"/>
      <c r="L9" s="25"/>
      <c r="M9" s="25"/>
      <c r="N9" s="25"/>
    </row>
    <row r="10" customFormat="false" ht="15" hidden="false" customHeight="false" outlineLevel="0" collapsed="false">
      <c r="A10" s="32" t="n">
        <v>3</v>
      </c>
      <c r="B10" s="16" t="s">
        <v>500</v>
      </c>
      <c r="C10" s="32" t="s">
        <v>93</v>
      </c>
      <c r="D10" s="33" t="n">
        <v>0</v>
      </c>
      <c r="E10" s="34"/>
      <c r="F10" s="23" t="str">
        <f aca="false">IF($E10="","",IFERROR(INDEX(MaterialPrices,MATCH($E10,MaterialCodes,0)),0))</f>
        <v/>
      </c>
      <c r="G10" s="35" t="n">
        <v>0</v>
      </c>
      <c r="H10" s="23" t="n">
        <f aca="false">IF($F10="",0,$F10*(1+$G10))</f>
        <v>0</v>
      </c>
      <c r="I10" s="17" t="n">
        <v>0</v>
      </c>
      <c r="J10" s="17" t="n">
        <v>0</v>
      </c>
      <c r="K10" s="17" t="n">
        <v>0</v>
      </c>
      <c r="L10" s="23" t="n">
        <f aca="false">H10+I10+J10+K10</f>
        <v>0</v>
      </c>
      <c r="M10" s="36" t="n">
        <f aca="false">D10*L10</f>
        <v>0</v>
      </c>
      <c r="N10" s="16"/>
    </row>
    <row r="11" customFormat="false" ht="15" hidden="false" customHeight="false" outlineLevel="0" collapsed="false">
      <c r="A11" s="32" t="n">
        <v>4</v>
      </c>
      <c r="B11" s="16" t="s">
        <v>501</v>
      </c>
      <c r="C11" s="32" t="s">
        <v>93</v>
      </c>
      <c r="D11" s="33" t="n">
        <v>0</v>
      </c>
      <c r="E11" s="34" t="s">
        <v>162</v>
      </c>
      <c r="F11" s="23" t="n">
        <f aca="false">IF($E11="","",IFERROR(INDEX(MaterialPrices,MATCH($E11,MaterialCodes,0)),0))</f>
        <v>2387.5</v>
      </c>
      <c r="G11" s="40" t="n">
        <f aca="false">'Thresholds &amp; Assumptions'!$B$53</f>
        <v>0.02</v>
      </c>
      <c r="H11" s="23" t="n">
        <f aca="false">IF($F11="",0,$F11*(1+$G11))</f>
        <v>2435.25</v>
      </c>
      <c r="I11" s="17" t="n">
        <v>0</v>
      </c>
      <c r="J11" s="17" t="n">
        <v>0</v>
      </c>
      <c r="K11" s="17" t="n">
        <v>0</v>
      </c>
      <c r="L11" s="23" t="n">
        <f aca="false">H11+I11+J11+K11</f>
        <v>2435.25</v>
      </c>
      <c r="M11" s="36" t="n">
        <f aca="false">D11*L11</f>
        <v>0</v>
      </c>
      <c r="N11" s="16"/>
    </row>
    <row r="12" customFormat="false" ht="15" hidden="false" customHeight="false" outlineLevel="0" collapsed="false">
      <c r="A12" s="37" t="s">
        <v>502</v>
      </c>
      <c r="B12" s="37"/>
      <c r="C12" s="37"/>
      <c r="D12" s="37"/>
      <c r="E12" s="37"/>
      <c r="F12" s="37"/>
      <c r="G12" s="37"/>
      <c r="H12" s="37"/>
      <c r="I12" s="37"/>
      <c r="J12" s="37"/>
      <c r="K12" s="37"/>
      <c r="L12" s="37"/>
      <c r="M12" s="38" t="n">
        <f aca="false">SUM(M10:M11)</f>
        <v>0</v>
      </c>
      <c r="N12" s="39"/>
    </row>
    <row r="13" customFormat="false" ht="15" hidden="false" customHeight="false" outlineLevel="0" collapsed="false">
      <c r="A13" s="25" t="s">
        <v>503</v>
      </c>
      <c r="B13" s="25"/>
      <c r="C13" s="25"/>
      <c r="D13" s="25"/>
      <c r="E13" s="25"/>
      <c r="F13" s="25"/>
      <c r="G13" s="25"/>
      <c r="H13" s="25"/>
      <c r="I13" s="25"/>
      <c r="J13" s="25"/>
      <c r="K13" s="25"/>
      <c r="L13" s="25"/>
      <c r="M13" s="25"/>
      <c r="N13" s="25"/>
    </row>
    <row r="14" customFormat="false" ht="15" hidden="false" customHeight="false" outlineLevel="0" collapsed="false">
      <c r="A14" s="32" t="n">
        <v>5</v>
      </c>
      <c r="B14" s="16" t="s">
        <v>504</v>
      </c>
      <c r="C14" s="32" t="s">
        <v>93</v>
      </c>
      <c r="D14" s="33" t="n">
        <v>0</v>
      </c>
      <c r="E14" s="34"/>
      <c r="F14" s="23" t="str">
        <f aca="false">IF($E14="","",IFERROR(INDEX(MaterialPrices,MATCH($E14,MaterialCodes,0)),0))</f>
        <v/>
      </c>
      <c r="G14" s="35" t="n">
        <v>0</v>
      </c>
      <c r="H14" s="23" t="n">
        <f aca="false">IF($F14="",0,$F14*(1+$G14))</f>
        <v>0</v>
      </c>
      <c r="I14" s="17" t="n">
        <v>0</v>
      </c>
      <c r="J14" s="17" t="n">
        <v>0</v>
      </c>
      <c r="K14" s="17" t="n">
        <v>0</v>
      </c>
      <c r="L14" s="23" t="n">
        <f aca="false">H14+I14+J14+K14</f>
        <v>0</v>
      </c>
      <c r="M14" s="36" t="n">
        <f aca="false">D14*L14</f>
        <v>0</v>
      </c>
      <c r="N14" s="16"/>
    </row>
    <row r="15" customFormat="false" ht="15" hidden="false" customHeight="false" outlineLevel="0" collapsed="false">
      <c r="A15" s="32" t="n">
        <v>6</v>
      </c>
      <c r="B15" s="16" t="s">
        <v>505</v>
      </c>
      <c r="C15" s="32" t="s">
        <v>93</v>
      </c>
      <c r="D15" s="33" t="n">
        <v>0</v>
      </c>
      <c r="E15" s="34" t="s">
        <v>162</v>
      </c>
      <c r="F15" s="23" t="n">
        <f aca="false">IF($E15="","",IFERROR(INDEX(MaterialPrices,MATCH($E15,MaterialCodes,0)),0))</f>
        <v>2387.5</v>
      </c>
      <c r="G15" s="40" t="n">
        <f aca="false">'Thresholds &amp; Assumptions'!$B$53</f>
        <v>0.02</v>
      </c>
      <c r="H15" s="23" t="n">
        <f aca="false">IF($F15="",0,$F15*(1+$G15))</f>
        <v>2435.25</v>
      </c>
      <c r="I15" s="17" t="n">
        <v>0</v>
      </c>
      <c r="J15" s="17" t="n">
        <v>0</v>
      </c>
      <c r="K15" s="17" t="n">
        <v>0</v>
      </c>
      <c r="L15" s="23" t="n">
        <f aca="false">H15+I15+J15+K15</f>
        <v>2435.25</v>
      </c>
      <c r="M15" s="36" t="n">
        <f aca="false">D15*L15</f>
        <v>0</v>
      </c>
      <c r="N15" s="16"/>
    </row>
    <row r="16" customFormat="false" ht="15" hidden="false" customHeight="false" outlineLevel="0" collapsed="false">
      <c r="A16" s="32" t="n">
        <v>7</v>
      </c>
      <c r="B16" s="16" t="s">
        <v>506</v>
      </c>
      <c r="C16" s="32" t="s">
        <v>70</v>
      </c>
      <c r="D16" s="33" t="n">
        <v>0</v>
      </c>
      <c r="E16" s="34" t="s">
        <v>86</v>
      </c>
      <c r="F16" s="23" t="n">
        <f aca="false">IF($E16="","",IFERROR(INDEX(MaterialPrices,MATCH($E16,MaterialCodes,0)),0))</f>
        <v>45000</v>
      </c>
      <c r="G16" s="40" t="n">
        <f aca="false">'Thresholds &amp; Assumptions'!$B$52</f>
        <v>0.03</v>
      </c>
      <c r="H16" s="23" t="n">
        <f aca="false">IF($F16="",0,$F16*(1+$G16))</f>
        <v>46350</v>
      </c>
      <c r="I16" s="17" t="n">
        <v>0</v>
      </c>
      <c r="J16" s="17" t="n">
        <v>0</v>
      </c>
      <c r="K16" s="17" t="n">
        <v>0</v>
      </c>
      <c r="L16" s="23" t="n">
        <f aca="false">H16+I16+J16+K16</f>
        <v>46350</v>
      </c>
      <c r="M16" s="36" t="n">
        <f aca="false">D16*L16</f>
        <v>0</v>
      </c>
      <c r="N16" s="16"/>
    </row>
    <row r="17" customFormat="false" ht="15" hidden="false" customHeight="false" outlineLevel="0" collapsed="false">
      <c r="A17" s="32" t="n">
        <v>8</v>
      </c>
      <c r="B17" s="16" t="s">
        <v>507</v>
      </c>
      <c r="C17" s="32" t="s">
        <v>447</v>
      </c>
      <c r="D17" s="33" t="n">
        <v>0</v>
      </c>
      <c r="E17" s="34" t="s">
        <v>79</v>
      </c>
      <c r="F17" s="23" t="n">
        <f aca="false">IF($E17="","",IFERROR(INDEX(MaterialPrices,MATCH($E17,MaterialCodes,0)),0))</f>
        <v>36500</v>
      </c>
      <c r="G17" s="40" t="n">
        <f aca="false">'Thresholds &amp; Assumptions'!$B$52</f>
        <v>0.03</v>
      </c>
      <c r="H17" s="23" t="n">
        <f aca="false">IF($F17="",0,$F17*(1+$G17))</f>
        <v>37595</v>
      </c>
      <c r="I17" s="17" t="n">
        <v>0</v>
      </c>
      <c r="J17" s="17" t="n">
        <v>0</v>
      </c>
      <c r="K17" s="17" t="n">
        <v>0</v>
      </c>
      <c r="L17" s="23" t="n">
        <f aca="false">H17+I17+J17+K17</f>
        <v>37595</v>
      </c>
      <c r="M17" s="36" t="n">
        <f aca="false">D17*L17</f>
        <v>0</v>
      </c>
      <c r="N17" s="16"/>
    </row>
    <row r="18" customFormat="false" ht="15" hidden="false" customHeight="false" outlineLevel="0" collapsed="false">
      <c r="A18" s="32" t="n">
        <v>9</v>
      </c>
      <c r="B18" s="16" t="s">
        <v>508</v>
      </c>
      <c r="C18" s="32" t="s">
        <v>126</v>
      </c>
      <c r="D18" s="33" t="n">
        <v>0</v>
      </c>
      <c r="E18" s="34" t="s">
        <v>79</v>
      </c>
      <c r="F18" s="23" t="n">
        <f aca="false">IF($E18="","",IFERROR(INDEX(MaterialPrices,MATCH($E18,MaterialCodes,0)),0))</f>
        <v>36500</v>
      </c>
      <c r="G18" s="40" t="n">
        <f aca="false">'Thresholds &amp; Assumptions'!$B$52</f>
        <v>0.03</v>
      </c>
      <c r="H18" s="23" t="n">
        <f aca="false">IF($F18="",0,$F18*(1+$G18))</f>
        <v>37595</v>
      </c>
      <c r="I18" s="17" t="n">
        <v>0</v>
      </c>
      <c r="J18" s="17" t="n">
        <v>0</v>
      </c>
      <c r="K18" s="17" t="n">
        <v>0</v>
      </c>
      <c r="L18" s="23" t="n">
        <f aca="false">H18+I18+J18+K18</f>
        <v>37595</v>
      </c>
      <c r="M18" s="36" t="n">
        <f aca="false">D18*L18</f>
        <v>0</v>
      </c>
      <c r="N18" s="16"/>
    </row>
    <row r="19" customFormat="false" ht="15" hidden="false" customHeight="false" outlineLevel="0" collapsed="false">
      <c r="A19" s="32" t="n">
        <v>10</v>
      </c>
      <c r="B19" s="16" t="s">
        <v>509</v>
      </c>
      <c r="C19" s="32" t="s">
        <v>93</v>
      </c>
      <c r="D19" s="33" t="n">
        <v>0</v>
      </c>
      <c r="E19" s="34" t="s">
        <v>67</v>
      </c>
      <c r="F19" s="23" t="n">
        <f aca="false">IF($E19="","",IFERROR(INDEX(MaterialPrices,MATCH($E19,MaterialCodes,0)),0))</f>
        <v>3800</v>
      </c>
      <c r="G19" s="35" t="n">
        <v>0</v>
      </c>
      <c r="H19" s="23" t="n">
        <f aca="false">IF($F19="",0,$F19*(1+$G19))</f>
        <v>3800</v>
      </c>
      <c r="I19" s="17" t="n">
        <v>0</v>
      </c>
      <c r="J19" s="17" t="n">
        <v>0</v>
      </c>
      <c r="K19" s="17" t="n">
        <v>0</v>
      </c>
      <c r="L19" s="23" t="n">
        <f aca="false">H19+I19+J19+K19</f>
        <v>3800</v>
      </c>
      <c r="M19" s="36" t="n">
        <f aca="false">D19*L19</f>
        <v>0</v>
      </c>
      <c r="N19" s="16"/>
    </row>
    <row r="20" customFormat="false" ht="15" hidden="false" customHeight="false" outlineLevel="0" collapsed="false">
      <c r="A20" s="37" t="s">
        <v>510</v>
      </c>
      <c r="B20" s="37"/>
      <c r="C20" s="37"/>
      <c r="D20" s="37"/>
      <c r="E20" s="37"/>
      <c r="F20" s="37"/>
      <c r="G20" s="37"/>
      <c r="H20" s="37"/>
      <c r="I20" s="37"/>
      <c r="J20" s="37"/>
      <c r="K20" s="37"/>
      <c r="L20" s="37"/>
      <c r="M20" s="38" t="n">
        <f aca="false">SUM(M14:M19)</f>
        <v>0</v>
      </c>
      <c r="N20" s="39"/>
    </row>
    <row r="21" customFormat="false" ht="15" hidden="false" customHeight="false" outlineLevel="0" collapsed="false">
      <c r="A21" s="25" t="s">
        <v>511</v>
      </c>
      <c r="B21" s="25"/>
      <c r="C21" s="25"/>
      <c r="D21" s="25"/>
      <c r="E21" s="25"/>
      <c r="F21" s="25"/>
      <c r="G21" s="25"/>
      <c r="H21" s="25"/>
      <c r="I21" s="25"/>
      <c r="J21" s="25"/>
      <c r="K21" s="25"/>
      <c r="L21" s="25"/>
      <c r="M21" s="25"/>
      <c r="N21" s="25"/>
    </row>
    <row r="22" customFormat="false" ht="15" hidden="false" customHeight="false" outlineLevel="0" collapsed="false">
      <c r="A22" s="32" t="n">
        <v>11</v>
      </c>
      <c r="B22" s="16" t="s">
        <v>512</v>
      </c>
      <c r="C22" s="32" t="s">
        <v>126</v>
      </c>
      <c r="D22" s="33" t="n">
        <v>0</v>
      </c>
      <c r="E22" s="34" t="s">
        <v>149</v>
      </c>
      <c r="F22" s="23" t="n">
        <f aca="false">IF($E22="","",IFERROR(INDEX(MaterialPrices,MATCH($E22,MaterialCodes,0)),0))</f>
        <v>220</v>
      </c>
      <c r="G22" s="35" t="n">
        <v>0</v>
      </c>
      <c r="H22" s="23" t="n">
        <f aca="false">IF($F22="",0,$F22*(1+$G22))</f>
        <v>220</v>
      </c>
      <c r="I22" s="17" t="n">
        <v>0</v>
      </c>
      <c r="J22" s="17" t="n">
        <v>0</v>
      </c>
      <c r="K22" s="17" t="n">
        <v>0</v>
      </c>
      <c r="L22" s="23" t="n">
        <f aca="false">H22+I22+J22+K22</f>
        <v>220</v>
      </c>
      <c r="M22" s="36" t="n">
        <f aca="false">D22*L22</f>
        <v>0</v>
      </c>
      <c r="N22" s="16"/>
    </row>
    <row r="23" customFormat="false" ht="15" hidden="false" customHeight="false" outlineLevel="0" collapsed="false">
      <c r="A23" s="32" t="n">
        <v>12</v>
      </c>
      <c r="B23" s="16" t="s">
        <v>513</v>
      </c>
      <c r="C23" s="32" t="s">
        <v>93</v>
      </c>
      <c r="D23" s="33" t="n">
        <v>0</v>
      </c>
      <c r="E23" s="34" t="s">
        <v>164</v>
      </c>
      <c r="F23" s="23" t="n">
        <f aca="false">IF($E23="","",IFERROR(INDEX(MaterialPrices,MATCH($E23,MaterialCodes,0)),0))</f>
        <v>2445.5</v>
      </c>
      <c r="G23" s="40" t="n">
        <f aca="false">'Thresholds &amp; Assumptions'!$B$53</f>
        <v>0.02</v>
      </c>
      <c r="H23" s="23" t="n">
        <f aca="false">IF($F23="",0,$F23*(1+$G23))</f>
        <v>2494.41</v>
      </c>
      <c r="I23" s="17" t="n">
        <v>0</v>
      </c>
      <c r="J23" s="17" t="n">
        <v>0</v>
      </c>
      <c r="K23" s="17" t="n">
        <v>0</v>
      </c>
      <c r="L23" s="23" t="n">
        <f aca="false">H23+I23+J23+K23</f>
        <v>2494.41</v>
      </c>
      <c r="M23" s="36" t="n">
        <f aca="false">D23*L23</f>
        <v>0</v>
      </c>
      <c r="N23" s="16"/>
    </row>
    <row r="24" customFormat="false" ht="15" hidden="false" customHeight="false" outlineLevel="0" collapsed="false">
      <c r="A24" s="32" t="n">
        <v>13</v>
      </c>
      <c r="B24" s="16" t="s">
        <v>514</v>
      </c>
      <c r="C24" s="32" t="s">
        <v>70</v>
      </c>
      <c r="D24" s="33" t="n">
        <v>0</v>
      </c>
      <c r="E24" s="34" t="s">
        <v>79</v>
      </c>
      <c r="F24" s="23" t="n">
        <f aca="false">IF($E24="","",IFERROR(INDEX(MaterialPrices,MATCH($E24,MaterialCodes,0)),0))</f>
        <v>36500</v>
      </c>
      <c r="G24" s="40" t="n">
        <f aca="false">'Thresholds &amp; Assumptions'!$B$52</f>
        <v>0.03</v>
      </c>
      <c r="H24" s="23" t="n">
        <f aca="false">IF($F24="",0,$F24*(1+$G24))</f>
        <v>37595</v>
      </c>
      <c r="I24" s="17" t="n">
        <v>0</v>
      </c>
      <c r="J24" s="17" t="n">
        <v>0</v>
      </c>
      <c r="K24" s="17" t="n">
        <v>0</v>
      </c>
      <c r="L24" s="23" t="n">
        <f aca="false">H24+I24+J24+K24</f>
        <v>37595</v>
      </c>
      <c r="M24" s="36" t="n">
        <f aca="false">D24*L24</f>
        <v>0</v>
      </c>
      <c r="N24" s="16"/>
    </row>
    <row r="25" customFormat="false" ht="15" hidden="false" customHeight="false" outlineLevel="0" collapsed="false">
      <c r="A25" s="32" t="n">
        <v>14</v>
      </c>
      <c r="B25" s="16" t="s">
        <v>515</v>
      </c>
      <c r="C25" s="32" t="s">
        <v>93</v>
      </c>
      <c r="D25" s="33" t="n">
        <v>0</v>
      </c>
      <c r="E25" s="34" t="s">
        <v>162</v>
      </c>
      <c r="F25" s="23" t="n">
        <f aca="false">IF($E25="","",IFERROR(INDEX(MaterialPrices,MATCH($E25,MaterialCodes,0)),0))</f>
        <v>2387.5</v>
      </c>
      <c r="G25" s="40" t="n">
        <f aca="false">'Thresholds &amp; Assumptions'!$B$53</f>
        <v>0.02</v>
      </c>
      <c r="H25" s="23" t="n">
        <f aca="false">IF($F25="",0,$F25*(1+$G25))</f>
        <v>2435.25</v>
      </c>
      <c r="I25" s="17" t="n">
        <v>0</v>
      </c>
      <c r="J25" s="17" t="n">
        <v>0</v>
      </c>
      <c r="K25" s="17" t="n">
        <v>0</v>
      </c>
      <c r="L25" s="23" t="n">
        <f aca="false">H25+I25+J25+K25</f>
        <v>2435.25</v>
      </c>
      <c r="M25" s="36" t="n">
        <f aca="false">D25*L25</f>
        <v>0</v>
      </c>
      <c r="N25" s="16"/>
    </row>
    <row r="26" customFormat="false" ht="15" hidden="false" customHeight="false" outlineLevel="0" collapsed="false">
      <c r="A26" s="37" t="s">
        <v>516</v>
      </c>
      <c r="B26" s="37"/>
      <c r="C26" s="37"/>
      <c r="D26" s="37"/>
      <c r="E26" s="37"/>
      <c r="F26" s="37"/>
      <c r="G26" s="37"/>
      <c r="H26" s="37"/>
      <c r="I26" s="37"/>
      <c r="J26" s="37"/>
      <c r="K26" s="37"/>
      <c r="L26" s="37"/>
      <c r="M26" s="38" t="n">
        <f aca="false">SUM(M22:M25)</f>
        <v>0</v>
      </c>
      <c r="N26" s="39"/>
    </row>
    <row r="27" customFormat="false" ht="15" hidden="false" customHeight="false" outlineLevel="0" collapsed="false">
      <c r="A27" s="25" t="s">
        <v>517</v>
      </c>
      <c r="B27" s="25"/>
      <c r="C27" s="25"/>
      <c r="D27" s="25"/>
      <c r="E27" s="25"/>
      <c r="F27" s="25"/>
      <c r="G27" s="25"/>
      <c r="H27" s="25"/>
      <c r="I27" s="25"/>
      <c r="J27" s="25"/>
      <c r="K27" s="25"/>
      <c r="L27" s="25"/>
      <c r="M27" s="25"/>
      <c r="N27" s="25"/>
    </row>
    <row r="28" customFormat="false" ht="15" hidden="false" customHeight="false" outlineLevel="0" collapsed="false">
      <c r="A28" s="32" t="n">
        <v>15</v>
      </c>
      <c r="B28" s="16" t="s">
        <v>518</v>
      </c>
      <c r="C28" s="32" t="s">
        <v>372</v>
      </c>
      <c r="D28" s="33" t="n">
        <v>0</v>
      </c>
      <c r="E28" s="34"/>
      <c r="F28" s="23" t="str">
        <f aca="false">IF($E28="","",IFERROR(INDEX(MaterialPrices,MATCH($E28,MaterialCodes,0)),0))</f>
        <v/>
      </c>
      <c r="G28" s="35" t="n">
        <v>0</v>
      </c>
      <c r="H28" s="23" t="n">
        <f aca="false">IF($F28="",0,$F28*(1+$G28))</f>
        <v>0</v>
      </c>
      <c r="I28" s="17" t="n">
        <v>0</v>
      </c>
      <c r="J28" s="17" t="n">
        <v>0</v>
      </c>
      <c r="K28" s="17" t="n">
        <v>0</v>
      </c>
      <c r="L28" s="23" t="n">
        <f aca="false">H28+I28+J28+K28</f>
        <v>0</v>
      </c>
      <c r="M28" s="36" t="n">
        <f aca="false">D28*L28</f>
        <v>0</v>
      </c>
      <c r="N28" s="16"/>
    </row>
    <row r="29" customFormat="false" ht="15" hidden="false" customHeight="false" outlineLevel="0" collapsed="false">
      <c r="A29" s="32" t="n">
        <v>16</v>
      </c>
      <c r="B29" s="16" t="s">
        <v>519</v>
      </c>
      <c r="C29" s="32" t="s">
        <v>372</v>
      </c>
      <c r="D29" s="33" t="n">
        <v>0</v>
      </c>
      <c r="E29" s="34"/>
      <c r="F29" s="23" t="str">
        <f aca="false">IF($E29="","",IFERROR(INDEX(MaterialPrices,MATCH($E29,MaterialCodes,0)),0))</f>
        <v/>
      </c>
      <c r="G29" s="35" t="n">
        <v>0</v>
      </c>
      <c r="H29" s="23" t="n">
        <f aca="false">IF($F29="",0,$F29*(1+$G29))</f>
        <v>0</v>
      </c>
      <c r="I29" s="17" t="n">
        <v>0</v>
      </c>
      <c r="J29" s="17" t="n">
        <v>0</v>
      </c>
      <c r="K29" s="17" t="n">
        <v>0</v>
      </c>
      <c r="L29" s="23" t="n">
        <f aca="false">H29+I29+J29+K29</f>
        <v>0</v>
      </c>
      <c r="M29" s="36" t="n">
        <f aca="false">D29*L29</f>
        <v>0</v>
      </c>
      <c r="N29" s="16"/>
    </row>
    <row r="30" customFormat="false" ht="15" hidden="false" customHeight="false" outlineLevel="0" collapsed="false">
      <c r="A30" s="32" t="n">
        <v>17</v>
      </c>
      <c r="B30" s="16" t="s">
        <v>520</v>
      </c>
      <c r="C30" s="32" t="s">
        <v>372</v>
      </c>
      <c r="D30" s="33" t="n">
        <v>0</v>
      </c>
      <c r="E30" s="34"/>
      <c r="F30" s="23" t="str">
        <f aca="false">IF($E30="","",IFERROR(INDEX(MaterialPrices,MATCH($E30,MaterialCodes,0)),0))</f>
        <v/>
      </c>
      <c r="G30" s="35" t="n">
        <v>0</v>
      </c>
      <c r="H30" s="23" t="n">
        <f aca="false">IF($F30="",0,$F30*(1+$G30))</f>
        <v>0</v>
      </c>
      <c r="I30" s="17" t="n">
        <v>0</v>
      </c>
      <c r="J30" s="17" t="n">
        <v>0</v>
      </c>
      <c r="K30" s="17" t="n">
        <v>0</v>
      </c>
      <c r="L30" s="23" t="n">
        <f aca="false">H30+I30+J30+K30</f>
        <v>0</v>
      </c>
      <c r="M30" s="36" t="n">
        <f aca="false">D30*L30</f>
        <v>0</v>
      </c>
      <c r="N30" s="16"/>
    </row>
    <row r="31" customFormat="false" ht="15" hidden="false" customHeight="false" outlineLevel="0" collapsed="false">
      <c r="A31" s="32" t="n">
        <v>18</v>
      </c>
      <c r="B31" s="16" t="s">
        <v>521</v>
      </c>
      <c r="C31" s="32" t="s">
        <v>372</v>
      </c>
      <c r="D31" s="33" t="n">
        <v>0</v>
      </c>
      <c r="E31" s="34"/>
      <c r="F31" s="23" t="str">
        <f aca="false">IF($E31="","",IFERROR(INDEX(MaterialPrices,MATCH($E31,MaterialCodes,0)),0))</f>
        <v/>
      </c>
      <c r="G31" s="35" t="n">
        <v>0</v>
      </c>
      <c r="H31" s="23" t="n">
        <f aca="false">IF($F31="",0,$F31*(1+$G31))</f>
        <v>0</v>
      </c>
      <c r="I31" s="17" t="n">
        <v>0</v>
      </c>
      <c r="J31" s="17" t="n">
        <v>0</v>
      </c>
      <c r="K31" s="17" t="n">
        <v>0</v>
      </c>
      <c r="L31" s="23" t="n">
        <f aca="false">H31+I31+J31+K31</f>
        <v>0</v>
      </c>
      <c r="M31" s="36" t="n">
        <f aca="false">D31*L31</f>
        <v>0</v>
      </c>
      <c r="N31" s="16"/>
    </row>
    <row r="32" customFormat="false" ht="15" hidden="false" customHeight="false" outlineLevel="0" collapsed="false">
      <c r="A32" s="37" t="s">
        <v>522</v>
      </c>
      <c r="B32" s="37"/>
      <c r="C32" s="37"/>
      <c r="D32" s="37"/>
      <c r="E32" s="37"/>
      <c r="F32" s="37"/>
      <c r="G32" s="37"/>
      <c r="H32" s="37"/>
      <c r="I32" s="37"/>
      <c r="J32" s="37"/>
      <c r="K32" s="37"/>
      <c r="L32" s="37"/>
      <c r="M32" s="38" t="n">
        <f aca="false">SUM(M28:M31)</f>
        <v>0</v>
      </c>
      <c r="N32" s="39"/>
    </row>
    <row r="33" customFormat="false" ht="15" hidden="false" customHeight="false" outlineLevel="0" collapsed="false">
      <c r="A33" s="25" t="s">
        <v>523</v>
      </c>
      <c r="B33" s="25"/>
      <c r="C33" s="25"/>
      <c r="D33" s="25"/>
      <c r="E33" s="25"/>
      <c r="F33" s="25"/>
      <c r="G33" s="25"/>
      <c r="H33" s="25"/>
      <c r="I33" s="25"/>
      <c r="J33" s="25"/>
      <c r="K33" s="25"/>
      <c r="L33" s="25"/>
      <c r="M33" s="25"/>
      <c r="N33" s="25"/>
    </row>
    <row r="34" customFormat="false" ht="15" hidden="false" customHeight="false" outlineLevel="0" collapsed="false">
      <c r="A34" s="32" t="n">
        <v>19</v>
      </c>
      <c r="B34" s="16" t="s">
        <v>524</v>
      </c>
      <c r="C34" s="32" t="s">
        <v>372</v>
      </c>
      <c r="D34" s="33" t="n">
        <v>0</v>
      </c>
      <c r="E34" s="34"/>
      <c r="F34" s="23" t="str">
        <f aca="false">IF($E34="","",IFERROR(INDEX(MaterialPrices,MATCH($E34,MaterialCodes,0)),0))</f>
        <v/>
      </c>
      <c r="G34" s="35" t="n">
        <v>0</v>
      </c>
      <c r="H34" s="23" t="n">
        <f aca="false">IF($F34="",0,$F34*(1+$G34))</f>
        <v>0</v>
      </c>
      <c r="I34" s="17" t="n">
        <v>0</v>
      </c>
      <c r="J34" s="17" t="n">
        <v>0</v>
      </c>
      <c r="K34" s="17" t="n">
        <v>0</v>
      </c>
      <c r="L34" s="23" t="n">
        <f aca="false">H34+I34+J34+K34</f>
        <v>0</v>
      </c>
      <c r="M34" s="36" t="n">
        <f aca="false">D34*L34</f>
        <v>0</v>
      </c>
      <c r="N34" s="16"/>
    </row>
    <row r="35" customFormat="false" ht="15" hidden="false" customHeight="false" outlineLevel="0" collapsed="false">
      <c r="A35" s="37" t="s">
        <v>525</v>
      </c>
      <c r="B35" s="37"/>
      <c r="C35" s="37"/>
      <c r="D35" s="37"/>
      <c r="E35" s="37"/>
      <c r="F35" s="37"/>
      <c r="G35" s="37"/>
      <c r="H35" s="37"/>
      <c r="I35" s="37"/>
      <c r="J35" s="37"/>
      <c r="K35" s="37"/>
      <c r="L35" s="37"/>
      <c r="M35" s="38" t="n">
        <f aca="false">SUM(M34:M34)</f>
        <v>0</v>
      </c>
      <c r="N35" s="39"/>
    </row>
    <row r="37" customFormat="false" ht="15" hidden="false" customHeight="false" outlineLevel="0" collapsed="false">
      <c r="A37" s="41" t="s">
        <v>422</v>
      </c>
      <c r="B37" s="41"/>
      <c r="C37" s="41"/>
      <c r="D37" s="41"/>
      <c r="E37" s="41"/>
      <c r="F37" s="41"/>
      <c r="G37" s="41"/>
      <c r="H37" s="41"/>
      <c r="I37" s="41"/>
      <c r="J37" s="41"/>
      <c r="K37" s="41"/>
      <c r="L37" s="41"/>
      <c r="M37" s="42" t="n">
        <f aca="false">M8+M12+M20+M26+M32+M35</f>
        <v>0</v>
      </c>
      <c r="N37" s="43"/>
    </row>
    <row r="39" customFormat="false" ht="15" hidden="false" customHeight="false" outlineLevel="0" collapsed="false">
      <c r="A39" s="44" t="s">
        <v>526</v>
      </c>
      <c r="B39" s="44"/>
      <c r="C39" s="44"/>
      <c r="D39" s="45" t="n">
        <v>500</v>
      </c>
      <c r="E39" s="46" t="s">
        <v>419</v>
      </c>
    </row>
    <row r="40" customFormat="false" ht="15" hidden="false" customHeight="false" outlineLevel="0" collapsed="false">
      <c r="A40" s="44" t="s">
        <v>493</v>
      </c>
      <c r="B40" s="44"/>
      <c r="C40" s="44"/>
      <c r="D40" s="23" t="n">
        <f aca="false">IF(D39=0,0,M37/D39)</f>
        <v>0</v>
      </c>
    </row>
  </sheetData>
  <mergeCells count="17">
    <mergeCell ref="A1:N1"/>
    <mergeCell ref="A2:N2"/>
    <mergeCell ref="A5:N5"/>
    <mergeCell ref="A8:L8"/>
    <mergeCell ref="A9:N9"/>
    <mergeCell ref="A12:L12"/>
    <mergeCell ref="A13:N13"/>
    <mergeCell ref="A20:L20"/>
    <mergeCell ref="A21:N21"/>
    <mergeCell ref="A26:L26"/>
    <mergeCell ref="A27:N27"/>
    <mergeCell ref="A32:L32"/>
    <mergeCell ref="A33:N33"/>
    <mergeCell ref="A35:L35"/>
    <mergeCell ref="A37:L37"/>
    <mergeCell ref="A39:C39"/>
    <mergeCell ref="A40:C40"/>
  </mergeCells>
  <dataValidations count="1">
    <dataValidation allowBlank="true" errorStyle="stop" operator="between" showDropDown="false" showErrorMessage="false" showInputMessage="false" sqref="E5:E35" type="list">
      <formula1>MaterialCodes</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false"/>
  </sheetPr>
  <dimension ref="A1:F3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5" min="2" style="0" width="18"/>
    <col collapsed="false" customWidth="true" hidden="false" outlineLevel="0" max="6" min="6" style="0" width="20"/>
  </cols>
  <sheetData>
    <row r="1" customFormat="false" ht="31.5" hidden="false" customHeight="true" outlineLevel="0" collapsed="false">
      <c r="A1" s="1" t="s">
        <v>527</v>
      </c>
      <c r="B1" s="1"/>
      <c r="C1" s="1"/>
      <c r="D1" s="1"/>
      <c r="E1" s="1"/>
      <c r="F1" s="1"/>
    </row>
    <row r="2" customFormat="false" ht="18" hidden="false" customHeight="true" outlineLevel="0" collapsed="false">
      <c r="A2" s="2" t="s">
        <v>528</v>
      </c>
      <c r="B2" s="2"/>
      <c r="C2" s="2"/>
      <c r="D2" s="2"/>
      <c r="E2" s="2"/>
      <c r="F2" s="2"/>
    </row>
    <row r="4" customFormat="false" ht="31.5" hidden="false" customHeight="true" outlineLevel="0" collapsed="false">
      <c r="A4" s="11"/>
      <c r="B4" s="11" t="s">
        <v>279</v>
      </c>
      <c r="C4" s="11" t="s">
        <v>280</v>
      </c>
      <c r="D4" s="11" t="s">
        <v>281</v>
      </c>
      <c r="E4" s="11" t="s">
        <v>282</v>
      </c>
      <c r="F4" s="11" t="s">
        <v>529</v>
      </c>
    </row>
    <row r="5" customFormat="false" ht="15" hidden="false" customHeight="false" outlineLevel="0" collapsed="false">
      <c r="A5" s="47" t="s">
        <v>530</v>
      </c>
      <c r="B5" s="48" t="s">
        <v>531</v>
      </c>
      <c r="C5" s="48" t="s">
        <v>531</v>
      </c>
      <c r="D5" s="48" t="s">
        <v>531</v>
      </c>
      <c r="E5" s="48" t="s">
        <v>531</v>
      </c>
      <c r="F5" s="19"/>
    </row>
    <row r="6" customFormat="false" ht="15" hidden="false" customHeight="false" outlineLevel="0" collapsed="false">
      <c r="A6" s="47" t="s">
        <v>532</v>
      </c>
      <c r="B6" s="49" t="n">
        <f aca="false">IF(B5="Yes",'BOQ - Buildings'!$M$55,0)</f>
        <v>0</v>
      </c>
      <c r="C6" s="49" t="n">
        <f aca="false">IF(C5="Yes",'BOQ - Roads'!$M$37,0)</f>
        <v>0</v>
      </c>
      <c r="D6" s="49" t="n">
        <f aca="false">IF(D5="Yes",'BOQ - Bridges'!$M$39,0)</f>
        <v>0</v>
      </c>
      <c r="E6" s="49" t="n">
        <f aca="false">IF(E5="Yes",'BOQ - Tunnels'!$M$37,0)</f>
        <v>0</v>
      </c>
      <c r="F6" s="50" t="n">
        <f aca="false">SUM(B6:E6)</f>
        <v>0</v>
      </c>
    </row>
    <row r="7" customFormat="false" ht="15" hidden="false" customHeight="false" outlineLevel="0" collapsed="false">
      <c r="A7" s="47" t="s">
        <v>270</v>
      </c>
      <c r="B7" s="40" t="n">
        <f aca="false">'Thresholds &amp; Assumptions'!$B$13</f>
        <v>0.1</v>
      </c>
      <c r="C7" s="40" t="n">
        <f aca="false">'Thresholds &amp; Assumptions'!$B$13</f>
        <v>0.1</v>
      </c>
      <c r="D7" s="40" t="n">
        <f aca="false">'Thresholds &amp; Assumptions'!$B$13</f>
        <v>0.1</v>
      </c>
      <c r="E7" s="40" t="n">
        <f aca="false">'Thresholds &amp; Assumptions'!$B$13</f>
        <v>0.1</v>
      </c>
      <c r="F7" s="19"/>
    </row>
    <row r="8" customFormat="false" ht="15" hidden="false" customHeight="false" outlineLevel="0" collapsed="false">
      <c r="A8" s="47" t="s">
        <v>533</v>
      </c>
      <c r="B8" s="36" t="n">
        <f aca="false">B6*B7</f>
        <v>0</v>
      </c>
      <c r="C8" s="36" t="n">
        <f aca="false">C6*C7</f>
        <v>0</v>
      </c>
      <c r="D8" s="36" t="n">
        <f aca="false">D6*D7</f>
        <v>0</v>
      </c>
      <c r="E8" s="36" t="n">
        <f aca="false">E6*E7</f>
        <v>0</v>
      </c>
      <c r="F8" s="50" t="n">
        <f aca="false">SUM(B8:E8)</f>
        <v>0</v>
      </c>
    </row>
    <row r="9" customFormat="false" ht="15" hidden="false" customHeight="false" outlineLevel="0" collapsed="false">
      <c r="A9" s="47" t="s">
        <v>272</v>
      </c>
      <c r="B9" s="40" t="n">
        <f aca="false">'Thresholds &amp; Assumptions'!$B$14</f>
        <v>0.06</v>
      </c>
      <c r="C9" s="40" t="n">
        <f aca="false">'Thresholds &amp; Assumptions'!$B$14</f>
        <v>0.06</v>
      </c>
      <c r="D9" s="40" t="n">
        <f aca="false">'Thresholds &amp; Assumptions'!$B$14</f>
        <v>0.06</v>
      </c>
      <c r="E9" s="40" t="n">
        <f aca="false">'Thresholds &amp; Assumptions'!$B$14</f>
        <v>0.06</v>
      </c>
      <c r="F9" s="19"/>
    </row>
    <row r="10" customFormat="false" ht="15" hidden="false" customHeight="false" outlineLevel="0" collapsed="false">
      <c r="A10" s="47" t="s">
        <v>534</v>
      </c>
      <c r="B10" s="36" t="n">
        <f aca="false">B6*B9</f>
        <v>0</v>
      </c>
      <c r="C10" s="36" t="n">
        <f aca="false">C6*C9</f>
        <v>0</v>
      </c>
      <c r="D10" s="36" t="n">
        <f aca="false">D6*D9</f>
        <v>0</v>
      </c>
      <c r="E10" s="36" t="n">
        <f aca="false">E6*E9</f>
        <v>0</v>
      </c>
      <c r="F10" s="50" t="n">
        <f aca="false">SUM(B10:E10)</f>
        <v>0</v>
      </c>
    </row>
    <row r="11" customFormat="false" ht="15" hidden="false" customHeight="false" outlineLevel="0" collapsed="false">
      <c r="A11" s="51" t="s">
        <v>535</v>
      </c>
      <c r="B11" s="38" t="n">
        <f aca="false">B6+B8+B10</f>
        <v>0</v>
      </c>
      <c r="C11" s="38" t="n">
        <f aca="false">C6+C8+C10</f>
        <v>0</v>
      </c>
      <c r="D11" s="38" t="n">
        <f aca="false">D6+D8+D10</f>
        <v>0</v>
      </c>
      <c r="E11" s="38" t="n">
        <f aca="false">E6+E8+E10</f>
        <v>0</v>
      </c>
      <c r="F11" s="38" t="n">
        <f aca="false">SUM(B11:E11)</f>
        <v>0</v>
      </c>
    </row>
    <row r="12" customFormat="false" ht="15" hidden="false" customHeight="false" outlineLevel="0" collapsed="false">
      <c r="A12" s="47" t="s">
        <v>258</v>
      </c>
      <c r="B12" s="48" t="s">
        <v>262</v>
      </c>
      <c r="C12" s="48" t="s">
        <v>262</v>
      </c>
      <c r="D12" s="48" t="s">
        <v>262</v>
      </c>
      <c r="E12" s="48" t="s">
        <v>262</v>
      </c>
      <c r="F12" s="19"/>
    </row>
    <row r="13" customFormat="false" ht="15" hidden="false" customHeight="false" outlineLevel="0" collapsed="false">
      <c r="A13" s="47" t="s">
        <v>536</v>
      </c>
      <c r="B13" s="40" t="n">
        <f aca="false">IFERROR(INDEX('Thresholds &amp; Assumptions'!$A$6:$B$9,MATCH(B12,'Thresholds &amp; Assumptions'!$A$6:$A$9,0),2),0)</f>
        <v>0.06</v>
      </c>
      <c r="C13" s="40" t="n">
        <f aca="false">IFERROR(INDEX('Thresholds &amp; Assumptions'!$A$6:$B$9,MATCH(C12,'Thresholds &amp; Assumptions'!$A$6:$A$9,0),2),0)</f>
        <v>0.06</v>
      </c>
      <c r="D13" s="40" t="n">
        <f aca="false">IFERROR(INDEX('Thresholds &amp; Assumptions'!$A$6:$B$9,MATCH(D12,'Thresholds &amp; Assumptions'!$A$6:$A$9,0),2),0)</f>
        <v>0.06</v>
      </c>
      <c r="E13" s="40" t="n">
        <f aca="false">IFERROR(INDEX('Thresholds &amp; Assumptions'!$A$6:$B$9,MATCH(E12,'Thresholds &amp; Assumptions'!$A$6:$A$9,0),2),0)</f>
        <v>0.06</v>
      </c>
      <c r="F13" s="19"/>
    </row>
    <row r="14" customFormat="false" ht="15" hidden="false" customHeight="false" outlineLevel="0" collapsed="false">
      <c r="A14" s="47" t="s">
        <v>537</v>
      </c>
      <c r="B14" s="36" t="n">
        <f aca="false">B11*B13</f>
        <v>0</v>
      </c>
      <c r="C14" s="36" t="n">
        <f aca="false">C11*C13</f>
        <v>0</v>
      </c>
      <c r="D14" s="36" t="n">
        <f aca="false">D11*D13</f>
        <v>0</v>
      </c>
      <c r="E14" s="36" t="n">
        <f aca="false">E11*E13</f>
        <v>0</v>
      </c>
      <c r="F14" s="50" t="n">
        <f aca="false">SUM(B14:E14)</f>
        <v>0</v>
      </c>
    </row>
    <row r="15" customFormat="false" ht="15" hidden="false" customHeight="false" outlineLevel="0" collapsed="false">
      <c r="A15" s="47" t="s">
        <v>538</v>
      </c>
      <c r="B15" s="40" t="n">
        <f aca="false">'Thresholds &amp; Assumptions'!$B$27</f>
        <v>0.075</v>
      </c>
      <c r="C15" s="40" t="n">
        <f aca="false">'Thresholds &amp; Assumptions'!$B$27</f>
        <v>0.075</v>
      </c>
      <c r="D15" s="40" t="n">
        <f aca="false">'Thresholds &amp; Assumptions'!$B$27</f>
        <v>0.075</v>
      </c>
      <c r="E15" s="40" t="n">
        <f aca="false">'Thresholds &amp; Assumptions'!$B$27</f>
        <v>0.075</v>
      </c>
      <c r="F15" s="19"/>
    </row>
    <row r="16" customFormat="false" ht="15" hidden="false" customHeight="false" outlineLevel="0" collapsed="false">
      <c r="A16" s="47" t="s">
        <v>539</v>
      </c>
      <c r="B16" s="36" t="n">
        <f aca="false">B11*B15</f>
        <v>0</v>
      </c>
      <c r="C16" s="36" t="n">
        <f aca="false">C11*C15</f>
        <v>0</v>
      </c>
      <c r="D16" s="36" t="n">
        <f aca="false">D11*D15</f>
        <v>0</v>
      </c>
      <c r="E16" s="36" t="n">
        <f aca="false">E11*E15</f>
        <v>0</v>
      </c>
      <c r="F16" s="50" t="n">
        <f aca="false">SUM(B16:E16)</f>
        <v>0</v>
      </c>
    </row>
    <row r="17" customFormat="false" ht="15" hidden="false" customHeight="false" outlineLevel="0" collapsed="false">
      <c r="A17" s="51" t="s">
        <v>540</v>
      </c>
      <c r="B17" s="38" t="n">
        <f aca="false">B11+B14+B16</f>
        <v>0</v>
      </c>
      <c r="C17" s="38" t="n">
        <f aca="false">C11+C14+C16</f>
        <v>0</v>
      </c>
      <c r="D17" s="38" t="n">
        <f aca="false">D11+D14+D16</f>
        <v>0</v>
      </c>
      <c r="E17" s="38" t="n">
        <f aca="false">E11+E14+E16</f>
        <v>0</v>
      </c>
      <c r="F17" s="38" t="n">
        <f aca="false">SUM(B17:E17)</f>
        <v>0</v>
      </c>
    </row>
    <row r="18" customFormat="false" ht="15" hidden="false" customHeight="false" outlineLevel="0" collapsed="false">
      <c r="A18" s="47" t="s">
        <v>541</v>
      </c>
      <c r="B18" s="26" t="n">
        <f aca="false">'Thresholds &amp; Assumptions'!$C$18</f>
        <v>0.1</v>
      </c>
      <c r="C18" s="26" t="n">
        <f aca="false">'Thresholds &amp; Assumptions'!$C$19</f>
        <v>0.08</v>
      </c>
      <c r="D18" s="26" t="n">
        <f aca="false">'Thresholds &amp; Assumptions'!$C$20</f>
        <v>0.12</v>
      </c>
      <c r="E18" s="26" t="n">
        <f aca="false">'Thresholds &amp; Assumptions'!$C$21</f>
        <v>0.15</v>
      </c>
      <c r="F18" s="19"/>
    </row>
    <row r="19" customFormat="false" ht="15" hidden="false" customHeight="false" outlineLevel="0" collapsed="false">
      <c r="A19" s="47" t="s">
        <v>542</v>
      </c>
      <c r="B19" s="36" t="n">
        <f aca="false">B17*B18</f>
        <v>0</v>
      </c>
      <c r="C19" s="36" t="n">
        <f aca="false">C17*C18</f>
        <v>0</v>
      </c>
      <c r="D19" s="36" t="n">
        <f aca="false">D17*D18</f>
        <v>0</v>
      </c>
      <c r="E19" s="36" t="n">
        <f aca="false">E17*E18</f>
        <v>0</v>
      </c>
      <c r="F19" s="50" t="n">
        <f aca="false">SUM(B19:E19)</f>
        <v>0</v>
      </c>
    </row>
    <row r="20" customFormat="false" ht="15" hidden="false" customHeight="false" outlineLevel="0" collapsed="false">
      <c r="A20" s="51" t="s">
        <v>543</v>
      </c>
      <c r="B20" s="38" t="n">
        <f aca="false">B17+B19</f>
        <v>0</v>
      </c>
      <c r="C20" s="38" t="n">
        <f aca="false">C17+C19</f>
        <v>0</v>
      </c>
      <c r="D20" s="38" t="n">
        <f aca="false">D17+D19</f>
        <v>0</v>
      </c>
      <c r="E20" s="38" t="n">
        <f aca="false">E17+E19</f>
        <v>0</v>
      </c>
      <c r="F20" s="38" t="n">
        <f aca="false">SUM(B20:E20)</f>
        <v>0</v>
      </c>
    </row>
    <row r="21" customFormat="false" ht="15" hidden="false" customHeight="false" outlineLevel="0" collapsed="false">
      <c r="A21" s="52" t="s">
        <v>544</v>
      </c>
      <c r="B21" s="53" t="n">
        <f aca="false">'Thresholds &amp; Assumptions'!$B$36*('Thresholds &amp; Assumptions'!$B$32+'Thresholds &amp; Assumptions'!$B$34)+'Thresholds &amp; Assumptions'!$B$40+'Thresholds &amp; Assumptions'!$B$41</f>
        <v>0.0095</v>
      </c>
      <c r="C21" s="53" t="n">
        <f aca="false">'Thresholds &amp; Assumptions'!$B$36*('Thresholds &amp; Assumptions'!$B$32+'Thresholds &amp; Assumptions'!$B$34)+'Thresholds &amp; Assumptions'!$B$40+'Thresholds &amp; Assumptions'!$B$41</f>
        <v>0.0095</v>
      </c>
      <c r="D21" s="53" t="n">
        <f aca="false">'Thresholds &amp; Assumptions'!$B$36*('Thresholds &amp; Assumptions'!$B$32+'Thresholds &amp; Assumptions'!$B$34)+'Thresholds &amp; Assumptions'!$B$40+'Thresholds &amp; Assumptions'!$B$41</f>
        <v>0.0095</v>
      </c>
      <c r="E21" s="53" t="n">
        <f aca="false">'Thresholds &amp; Assumptions'!$B$36*('Thresholds &amp; Assumptions'!$B$32+'Thresholds &amp; Assumptions'!$B$34)+'Thresholds &amp; Assumptions'!$B$40+'Thresholds &amp; Assumptions'!$B$41</f>
        <v>0.0095</v>
      </c>
      <c r="F21" s="19"/>
    </row>
    <row r="22" customFormat="false" ht="15" hidden="false" customHeight="false" outlineLevel="0" collapsed="false">
      <c r="A22" s="47" t="s">
        <v>545</v>
      </c>
      <c r="B22" s="36" t="n">
        <f aca="false">B20*B21</f>
        <v>0</v>
      </c>
      <c r="C22" s="36" t="n">
        <f aca="false">C20*C21</f>
        <v>0</v>
      </c>
      <c r="D22" s="36" t="n">
        <f aca="false">D20*D21</f>
        <v>0</v>
      </c>
      <c r="E22" s="36" t="n">
        <f aca="false">E20*E21</f>
        <v>0</v>
      </c>
      <c r="F22" s="50" t="n">
        <f aca="false">SUM(B22:E22)</f>
        <v>0</v>
      </c>
    </row>
    <row r="23" customFormat="false" ht="15" hidden="false" customHeight="false" outlineLevel="0" collapsed="false">
      <c r="A23" s="47" t="s">
        <v>546</v>
      </c>
      <c r="B23" s="53" t="n">
        <f aca="false">'Thresholds &amp; Assumptions'!$B$64</f>
        <v>0.0361643835616438</v>
      </c>
      <c r="C23" s="53" t="n">
        <f aca="false">'Thresholds &amp; Assumptions'!$B$64</f>
        <v>0.0361643835616438</v>
      </c>
      <c r="D23" s="53" t="n">
        <f aca="false">'Thresholds &amp; Assumptions'!$B$64</f>
        <v>0.0361643835616438</v>
      </c>
      <c r="E23" s="53" t="n">
        <f aca="false">'Thresholds &amp; Assumptions'!$B$64</f>
        <v>0.0361643835616438</v>
      </c>
      <c r="F23" s="19"/>
    </row>
    <row r="24" customFormat="false" ht="15" hidden="false" customHeight="false" outlineLevel="0" collapsed="false">
      <c r="A24" s="47" t="s">
        <v>547</v>
      </c>
      <c r="B24" s="36" t="n">
        <f aca="false">B20*B23</f>
        <v>0</v>
      </c>
      <c r="C24" s="36" t="n">
        <f aca="false">C20*C23</f>
        <v>0</v>
      </c>
      <c r="D24" s="36" t="n">
        <f aca="false">D20*D23</f>
        <v>0</v>
      </c>
      <c r="E24" s="36" t="n">
        <f aca="false">E20*E23</f>
        <v>0</v>
      </c>
      <c r="F24" s="50" t="n">
        <f aca="false">SUM(B24:E24)</f>
        <v>0</v>
      </c>
    </row>
    <row r="25" customFormat="false" ht="15" hidden="false" customHeight="false" outlineLevel="0" collapsed="false">
      <c r="A25" s="51" t="s">
        <v>548</v>
      </c>
      <c r="B25" s="38" t="n">
        <f aca="false">B20+B22+B24</f>
        <v>0</v>
      </c>
      <c r="C25" s="38" t="n">
        <f aca="false">C20+C22+C24</f>
        <v>0</v>
      </c>
      <c r="D25" s="38" t="n">
        <f aca="false">D20+D22+D24</f>
        <v>0</v>
      </c>
      <c r="E25" s="38" t="n">
        <f aca="false">E20+E22+E24</f>
        <v>0</v>
      </c>
      <c r="F25" s="38" t="n">
        <f aca="false">SUM(B25:E25)</f>
        <v>0</v>
      </c>
    </row>
    <row r="26" customFormat="false" ht="15" hidden="false" customHeight="false" outlineLevel="0" collapsed="false">
      <c r="A26" s="47" t="s">
        <v>549</v>
      </c>
      <c r="B26" s="40" t="n">
        <f aca="false">'Thresholds &amp; Assumptions'!$B$46</f>
        <v>0.14</v>
      </c>
      <c r="C26" s="40" t="n">
        <f aca="false">'Thresholds &amp; Assumptions'!$B$46</f>
        <v>0.14</v>
      </c>
      <c r="D26" s="40" t="n">
        <f aca="false">'Thresholds &amp; Assumptions'!$B$46</f>
        <v>0.14</v>
      </c>
      <c r="E26" s="40" t="n">
        <f aca="false">'Thresholds &amp; Assumptions'!$B$46</f>
        <v>0.14</v>
      </c>
      <c r="F26" s="19"/>
    </row>
    <row r="27" customFormat="false" ht="15" hidden="false" customHeight="false" outlineLevel="0" collapsed="false">
      <c r="A27" s="47" t="s">
        <v>550</v>
      </c>
      <c r="B27" s="36" t="n">
        <f aca="false">B25*B26</f>
        <v>0</v>
      </c>
      <c r="C27" s="36" t="n">
        <f aca="false">C25*C26</f>
        <v>0</v>
      </c>
      <c r="D27" s="36" t="n">
        <f aca="false">D25*D26</f>
        <v>0</v>
      </c>
      <c r="E27" s="36" t="n">
        <f aca="false">E25*E26</f>
        <v>0</v>
      </c>
      <c r="F27" s="50" t="n">
        <f aca="false">SUM(B27:E27)</f>
        <v>0</v>
      </c>
    </row>
    <row r="28" customFormat="false" ht="19.5" hidden="false" customHeight="true" outlineLevel="0" collapsed="false">
      <c r="A28" s="54" t="s">
        <v>551</v>
      </c>
      <c r="B28" s="42" t="n">
        <f aca="false">B25+B27</f>
        <v>0</v>
      </c>
      <c r="C28" s="42" t="n">
        <f aca="false">C25+C27</f>
        <v>0</v>
      </c>
      <c r="D28" s="42" t="n">
        <f aca="false">D25+D27</f>
        <v>0</v>
      </c>
      <c r="E28" s="42" t="n">
        <f aca="false">E25+E27</f>
        <v>0</v>
      </c>
      <c r="F28" s="42" t="n">
        <f aca="false">SUM(B28:E28)</f>
        <v>0</v>
      </c>
    </row>
    <row r="30" customFormat="false" ht="15" hidden="false" customHeight="false" outlineLevel="0" collapsed="false">
      <c r="A30" s="47" t="s">
        <v>552</v>
      </c>
      <c r="B30" s="55" t="n">
        <f aca="false">'BOQ - Buildings'!$D$57</f>
        <v>1000</v>
      </c>
      <c r="C30" s="55" t="n">
        <f aca="false">'BOQ - Roads'!$D$39</f>
        <v>1</v>
      </c>
      <c r="D30" s="55" t="n">
        <f aca="false">'BOQ - Bridges'!$D$41</f>
        <v>100</v>
      </c>
      <c r="E30" s="55" t="n">
        <f aca="false">'BOQ - Tunnels'!$D$39</f>
        <v>500</v>
      </c>
      <c r="F30" s="19"/>
    </row>
    <row r="31" customFormat="false" ht="15" hidden="false" customHeight="false" outlineLevel="0" collapsed="false">
      <c r="A31" s="47" t="s">
        <v>553</v>
      </c>
      <c r="B31" s="23" t="n">
        <f aca="false">IF(B30=0,0,B28/B30)</f>
        <v>0</v>
      </c>
      <c r="C31" s="23" t="n">
        <f aca="false">IF(C30=0,0,C28/C30)</f>
        <v>0</v>
      </c>
      <c r="D31" s="23" t="n">
        <f aca="false">IF(D30=0,0,D28/D30)</f>
        <v>0</v>
      </c>
      <c r="E31" s="23" t="n">
        <f aca="false">IF(E30=0,0,E28/E30)</f>
        <v>0</v>
      </c>
      <c r="F31" s="19"/>
    </row>
    <row r="33" customFormat="false" ht="30" hidden="false" customHeight="true" outlineLevel="0" collapsed="false">
      <c r="A33" s="52" t="s">
        <v>554</v>
      </c>
      <c r="B33" s="56" t="str">
        <f aca="false">IF(B18&lt;'Thresholds &amp; Assumptions'!$B$18,"BELOW MIN – REVIEW",IF(B18&gt;'Thresholds &amp; Assumptions'!$D$18,"ABOVE MAX – CHECK COMPETITIVENESS",IF(B18&gt;='Thresholds &amp; Assumptions'!$C$18,"AT/ABOVE TARGET","ACCEPTABLE")))</f>
        <v>AT/ABOVE TARGET</v>
      </c>
      <c r="C33" s="56" t="str">
        <f aca="false">IF(C18&lt;'Thresholds &amp; Assumptions'!$B$19,"BELOW MIN – REVIEW",IF(C18&gt;'Thresholds &amp; Assumptions'!$D$19,"ABOVE MAX – CHECK COMPETITIVENESS",IF(C18&gt;='Thresholds &amp; Assumptions'!$C$19,"AT/ABOVE TARGET","ACCEPTABLE")))</f>
        <v>AT/ABOVE TARGET</v>
      </c>
      <c r="D33" s="56" t="str">
        <f aca="false">IF(D18&lt;'Thresholds &amp; Assumptions'!$B$20,"BELOW MIN – REVIEW",IF(D18&gt;'Thresholds &amp; Assumptions'!$D$20,"ABOVE MAX – CHECK COMPETITIVENESS",IF(D18&gt;='Thresholds &amp; Assumptions'!$C$20,"AT/ABOVE TARGET","ACCEPTABLE")))</f>
        <v>AT/ABOVE TARGET</v>
      </c>
      <c r="E33" s="56" t="str">
        <f aca="false">IF(E18&lt;'Thresholds &amp; Assumptions'!$B$21,"BELOW MIN – REVIEW",IF(E18&gt;'Thresholds &amp; Assumptions'!$D$21,"ABOVE MAX – CHECK COMPETITIVENESS",IF(E18&gt;='Thresholds &amp; Assumptions'!$C$21,"AT/ABOVE TARGET","ACCEPTABLE")))</f>
        <v>AT/ABOVE TARGET</v>
      </c>
      <c r="F33" s="19"/>
    </row>
    <row r="35" customFormat="false" ht="69.75" hidden="false" customHeight="true" outlineLevel="0" collapsed="false">
      <c r="A35" s="4" t="s">
        <v>555</v>
      </c>
      <c r="B35" s="4"/>
      <c r="C35" s="4"/>
      <c r="D35" s="4"/>
      <c r="E35" s="4"/>
      <c r="F35" s="4"/>
    </row>
    <row r="36" customFormat="false" ht="15" hidden="false" customHeight="false" outlineLevel="0" collapsed="false">
      <c r="A36" s="4"/>
      <c r="B36" s="4"/>
      <c r="C36" s="4"/>
      <c r="D36" s="4"/>
      <c r="E36" s="4"/>
      <c r="F36" s="4"/>
    </row>
    <row r="37" customFormat="false" ht="15" hidden="false" customHeight="false" outlineLevel="0" collapsed="false">
      <c r="A37" s="4"/>
      <c r="B37" s="4"/>
      <c r="C37" s="4"/>
      <c r="D37" s="4"/>
      <c r="E37" s="4"/>
      <c r="F37" s="4"/>
    </row>
    <row r="38" customFormat="false" ht="15" hidden="false" customHeight="false" outlineLevel="0" collapsed="false">
      <c r="A38" s="4"/>
      <c r="B38" s="4"/>
      <c r="C38" s="4"/>
      <c r="D38" s="4"/>
      <c r="E38" s="4"/>
      <c r="F38" s="4"/>
    </row>
  </sheetData>
  <mergeCells count="3">
    <mergeCell ref="A1:F1"/>
    <mergeCell ref="A2:F2"/>
    <mergeCell ref="A35:F38"/>
  </mergeCells>
  <conditionalFormatting sqref="B33">
    <cfRule type="expression" priority="2" aboveAverage="0" equalAverage="0" bottom="0" percent="0" rank="0" text="" dxfId="0">
      <formula>B33="BELOW MIN – REVIEW"</formula>
    </cfRule>
    <cfRule type="expression" priority="3" aboveAverage="0" equalAverage="0" bottom="0" percent="0" rank="0" text="" dxfId="1">
      <formula>B33="ABOVE MAX – CHECK COMPETITIVENESS"</formula>
    </cfRule>
    <cfRule type="expression" priority="4" aboveAverage="0" equalAverage="0" bottom="0" percent="0" rank="0" text="" dxfId="2">
      <formula>B33="AT/ABOVE TARGET"</formula>
    </cfRule>
  </conditionalFormatting>
  <conditionalFormatting sqref="C33">
    <cfRule type="expression" priority="5" aboveAverage="0" equalAverage="0" bottom="0" percent="0" rank="0" text="" dxfId="0">
      <formula>C33="BELOW MIN – REVIEW"</formula>
    </cfRule>
    <cfRule type="expression" priority="6" aboveAverage="0" equalAverage="0" bottom="0" percent="0" rank="0" text="" dxfId="1">
      <formula>C33="ABOVE MAX – CHECK COMPETITIVENESS"</formula>
    </cfRule>
    <cfRule type="expression" priority="7" aboveAverage="0" equalAverage="0" bottom="0" percent="0" rank="0" text="" dxfId="2">
      <formula>C33="AT/ABOVE TARGET"</formula>
    </cfRule>
  </conditionalFormatting>
  <conditionalFormatting sqref="D33">
    <cfRule type="expression" priority="8" aboveAverage="0" equalAverage="0" bottom="0" percent="0" rank="0" text="" dxfId="0">
      <formula>D33="BELOW MIN – REVIEW"</formula>
    </cfRule>
    <cfRule type="expression" priority="9" aboveAverage="0" equalAverage="0" bottom="0" percent="0" rank="0" text="" dxfId="1">
      <formula>D33="ABOVE MAX – CHECK COMPETITIVENESS"</formula>
    </cfRule>
    <cfRule type="expression" priority="10" aboveAverage="0" equalAverage="0" bottom="0" percent="0" rank="0" text="" dxfId="2">
      <formula>D33="AT/ABOVE TARGET"</formula>
    </cfRule>
  </conditionalFormatting>
  <conditionalFormatting sqref="E33">
    <cfRule type="expression" priority="11" aboveAverage="0" equalAverage="0" bottom="0" percent="0" rank="0" text="" dxfId="0">
      <formula>E33="BELOW MIN – REVIEW"</formula>
    </cfRule>
    <cfRule type="expression" priority="12" aboveAverage="0" equalAverage="0" bottom="0" percent="0" rank="0" text="" dxfId="1">
      <formula>E33="ABOVE MAX – CHECK COMPETITIVENESS"</formula>
    </cfRule>
    <cfRule type="expression" priority="13" aboveAverage="0" equalAverage="0" bottom="0" percent="0" rank="0" text="" dxfId="2">
      <formula>E33="AT/ABOVE TARGET"</formula>
    </cfRule>
  </conditionalFormatting>
  <dataValidations count="2">
    <dataValidation allowBlank="false" errorStyle="stop" operator="between" showDropDown="false" showErrorMessage="false" showInputMessage="false" sqref="B5:E5" type="list">
      <formula1>"Yes,No"</formula1>
      <formula2>0</formula2>
    </dataValidation>
    <dataValidation allowBlank="false" errorStyle="stop" operator="between" showDropDown="false" showErrorMessage="false" showInputMessage="false" sqref="B12:E12" type="list">
      <formula1>"Low,Medium,High,Very High"</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2026-09-15T10:17:27Z</dcterms:created>
  <dc:creator>openpyxl</dc:creator>
  <dc:description/>
  <dc:language>en-US</dc:language>
  <cp:lastModifiedBy/>
  <dcterms:modified xsi:type="dcterms:W3CDTF">2026-09-15T10:17:27Z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