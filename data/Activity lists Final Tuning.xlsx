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 Intelligence Hub NextJS\Primavera_Planning_Recovery_Intelligence_10X_v6.0.0_RELEASE\"/>
    </mc:Choice>
  </mc:AlternateContent>
  <xr:revisionPtr revIDLastSave="0" documentId="13_ncr:1_{2763B6BE-2A85-4908-B581-674AE9856FE5}" xr6:coauthVersionLast="47" xr6:coauthVersionMax="47" xr10:uidLastSave="{00000000-0000-0000-0000-000000000000}"/>
  <bookViews>
    <workbookView xWindow="-120" yWindow="-120" windowWidth="29040" windowHeight="15840" firstSheet="3" activeTab="3" xr2:uid="{00000000-000D-0000-FFFF-FFFF00000000}"/>
  </bookViews>
  <sheets>
    <sheet name="Manual Manpower Database" sheetId="12" r:id="rId1"/>
    <sheet name="Activity List CSI" sheetId="2" r:id="rId2"/>
    <sheet name="Resource Unique List " sheetId="18" r:id="rId3"/>
    <sheet name="Mat. List CSI" sheetId="4" r:id="rId4"/>
    <sheet name="Material Unique List" sheetId="5" r:id="rId5"/>
    <sheet name="Manpower List" sheetId="17" r:id="rId6"/>
    <sheet name="Manpower PR" sheetId="6" r:id="rId7"/>
    <sheet name="MP. List CSI" sheetId="8" r:id="rId8"/>
    <sheet name="ManPower Unique List" sheetId="7" r:id="rId9"/>
    <sheet name="SUBC. List CSI" sheetId="3" r:id="rId10"/>
    <sheet name="Sub-Contractors Unique List" sheetId="9" r:id="rId11"/>
    <sheet name="Machinary PR" sheetId="14" r:id="rId12"/>
    <sheet name="Machinary PR2" sheetId="15" r:id="rId13"/>
    <sheet name="Equip. List CSI" sheetId="10" r:id="rId14"/>
    <sheet name="Machine List" sheetId="16" r:id="rId15"/>
    <sheet name="List of Unique Machinary" sheetId="11" r:id="rId16"/>
  </sheets>
  <definedNames>
    <definedName name="__1" localSheetId="2">#REF!</definedName>
    <definedName name="__1" localSheetId="10">#REF!</definedName>
    <definedName name="__1">#REF!</definedName>
    <definedName name="_2" localSheetId="2">#REF!</definedName>
    <definedName name="_2" localSheetId="10">#REF!</definedName>
    <definedName name="_2">#REF!</definedName>
    <definedName name="_xlnm._FilterDatabase" localSheetId="1" hidden="1">'Activity List CSI'!$A$3:$J$3</definedName>
    <definedName name="_xlnm._FilterDatabase" localSheetId="13" hidden="1">'Equip. List CSI'!$D$3:$N$159</definedName>
    <definedName name="_xlnm._FilterDatabase" localSheetId="15" hidden="1">'List of Unique Machinary'!$B$4:$AY$71</definedName>
    <definedName name="_xlnm._FilterDatabase" localSheetId="14" hidden="1">'Machine List'!$D$3:$AI$39</definedName>
    <definedName name="_xlnm._FilterDatabase" localSheetId="5" hidden="1">'Manpower List'!$A$4:$Y$170</definedName>
    <definedName name="_xlnm._FilterDatabase" localSheetId="6" hidden="1">'Manpower PR'!$B$3:$AV$145</definedName>
    <definedName name="_xlnm._FilterDatabase" localSheetId="0" hidden="1">'Manual Manpower Database'!$C$4:$AY$160</definedName>
    <definedName name="_xlnm._FilterDatabase" localSheetId="3" hidden="1">'Mat. List CSI'!$D$3:$Q$341</definedName>
    <definedName name="_xlnm._FilterDatabase" localSheetId="4" hidden="1">'Material Unique List'!$B$3:$E$73</definedName>
    <definedName name="_xlnm._FilterDatabase" localSheetId="7" hidden="1">'MP. List CSI'!$A$3:$O$194</definedName>
    <definedName name="_xlnm._FilterDatabase" localSheetId="2" hidden="1">'Resource Unique List '!$B$3:$H$73</definedName>
    <definedName name="_xlnm._FilterDatabase" localSheetId="9" hidden="1">'SUBC. List CSI'!$D$3:$Q$223</definedName>
    <definedName name="a" localSheetId="2">#REF!</definedName>
    <definedName name="a" localSheetId="10">#REF!</definedName>
    <definedName name="a">#REF!</definedName>
    <definedName name="Ahmed" localSheetId="2">#REF!</definedName>
    <definedName name="Ahmed" localSheetId="10">#REF!</definedName>
    <definedName name="Ahmed">#REF!</definedName>
    <definedName name="Ali" localSheetId="2">#REF!</definedName>
    <definedName name="Ali" localSheetId="10">#REF!</definedName>
    <definedName name="Ali">#REF!</definedName>
    <definedName name="B" localSheetId="2">#REF!</definedName>
    <definedName name="B" localSheetId="10">#REF!</definedName>
    <definedName name="B">#REF!</definedName>
    <definedName name="BlockWork" localSheetId="2">#REF!</definedName>
    <definedName name="BlockWork" localSheetId="10">#REF!</definedName>
    <definedName name="BlockWork">#REF!</definedName>
    <definedName name="Budget_code_Rev" localSheetId="2">#REF!</definedName>
    <definedName name="Budget_code_Rev" localSheetId="10">#REF!</definedName>
    <definedName name="Budget_code_Rev">#REF!</definedName>
    <definedName name="buyout" localSheetId="2">#REF!</definedName>
    <definedName name="buyout" localSheetId="10">#REF!</definedName>
    <definedName name="buyout">#REF!</definedName>
    <definedName name="Buyout_items" localSheetId="2">#REF!</definedName>
    <definedName name="Buyout_items" localSheetId="10">#REF!</definedName>
    <definedName name="Buyout_items">#REF!</definedName>
    <definedName name="ConcreteWork" localSheetId="2">#REF!</definedName>
    <definedName name="ConcreteWork" localSheetId="10">#REF!</definedName>
    <definedName name="ConcreteWork">#REF!</definedName>
    <definedName name="ConveyingSystems" localSheetId="2">#REF!</definedName>
    <definedName name="ConveyingSystems" localSheetId="10">#REF!</definedName>
    <definedName name="ConveyingSystems">#REF!</definedName>
    <definedName name="EarthWork" localSheetId="2">#REF!</definedName>
    <definedName name="EarthWork" localSheetId="10">#REF!</definedName>
    <definedName name="EarthWork">#REF!</definedName>
    <definedName name="ElectricalWork" localSheetId="2">#REF!</definedName>
    <definedName name="ElectricalWork" localSheetId="10">#REF!</definedName>
    <definedName name="ElectricalWork">#REF!</definedName>
    <definedName name="Finishing" localSheetId="2">#REF!</definedName>
    <definedName name="Finishing" localSheetId="10">#REF!</definedName>
    <definedName name="Finishing">#REF!</definedName>
    <definedName name="FireFighting" localSheetId="2">#REF!</definedName>
    <definedName name="FireFighting" localSheetId="10">#REF!</definedName>
    <definedName name="FireFighting">#REF!</definedName>
    <definedName name="Furniture" localSheetId="2">#REF!</definedName>
    <definedName name="Furniture" localSheetId="10">#REF!</definedName>
    <definedName name="Furniture">#REF!</definedName>
    <definedName name="HVACWork" localSheetId="2">#REF!</definedName>
    <definedName name="HVACWork" localSheetId="10">#REF!</definedName>
    <definedName name="HVACWork">#REF!</definedName>
    <definedName name="Insulation" localSheetId="2">#REF!</definedName>
    <definedName name="Insulation" localSheetId="10">#REF!</definedName>
    <definedName name="Insulation">#REF!</definedName>
    <definedName name="MetalWork" localSheetId="2">#REF!</definedName>
    <definedName name="MetalWork" localSheetId="10">#REF!</definedName>
    <definedName name="MetalWork">#REF!</definedName>
    <definedName name="Obastacles" localSheetId="2">#REF!</definedName>
    <definedName name="Obastacles" localSheetId="10">#REF!</definedName>
    <definedName name="Obastacles">#REF!</definedName>
    <definedName name="Opennings" localSheetId="2">#REF!</definedName>
    <definedName name="Opennings" localSheetId="10">#REF!</definedName>
    <definedName name="Opennings">#REF!</definedName>
    <definedName name="_xlnm.Print_Area" localSheetId="11">'Machinary PR'!$B$2:$AD$62</definedName>
    <definedName name="_xlnm.Print_Area" localSheetId="12">'Machinary PR2'!$B$2:$AA$62</definedName>
    <definedName name="RoadWork" localSheetId="2">#REF!</definedName>
    <definedName name="RoadWork" localSheetId="10">#REF!</definedName>
    <definedName name="RoadWork">#REF!</definedName>
    <definedName name="S" localSheetId="2">#REF!</definedName>
    <definedName name="S" localSheetId="10">#REF!</definedName>
    <definedName name="S">#REF!</definedName>
    <definedName name="Specialities" localSheetId="2">#REF!</definedName>
    <definedName name="Specialities" localSheetId="10">#REF!</definedName>
    <definedName name="Specialities">#REF!</definedName>
    <definedName name="X" localSheetId="2">#REF!</definedName>
    <definedName name="X" localSheetId="10">#REF!</definedName>
    <definedName name="X">#REF!</definedName>
  </definedNames>
  <calcPr calcId="191029"/>
</workbook>
</file>

<file path=xl/calcChain.xml><?xml version="1.0" encoding="utf-8"?>
<calcChain xmlns="http://schemas.openxmlformats.org/spreadsheetml/2006/main">
  <c r="B4" i="6" l="1"/>
  <c r="C152" i="18" l="1"/>
  <c r="C153" i="18"/>
  <c r="C154" i="18"/>
  <c r="C155" i="18"/>
  <c r="C156" i="18"/>
  <c r="C157" i="18"/>
  <c r="C158" i="18"/>
  <c r="C159" i="18"/>
  <c r="C160" i="18"/>
  <c r="C161" i="18"/>
  <c r="C162" i="18"/>
  <c r="C163" i="18"/>
  <c r="C164" i="18"/>
  <c r="C165" i="18"/>
  <c r="C166" i="18"/>
  <c r="C167" i="18"/>
  <c r="C168" i="18"/>
  <c r="C169" i="18"/>
  <c r="C170" i="18"/>
  <c r="C171" i="18"/>
  <c r="C172" i="18"/>
  <c r="C173" i="18"/>
  <c r="C174" i="18"/>
  <c r="C175" i="18"/>
  <c r="C176" i="18"/>
  <c r="C177" i="18"/>
  <c r="C178" i="18"/>
  <c r="C179" i="18"/>
  <c r="C180" i="18"/>
  <c r="C181" i="18"/>
  <c r="C182" i="18"/>
  <c r="C183" i="18"/>
  <c r="C184" i="18"/>
  <c r="C185" i="18"/>
  <c r="C186" i="18"/>
  <c r="C187" i="18"/>
  <c r="C151" i="18"/>
  <c r="C150" i="18"/>
  <c r="C149" i="18"/>
  <c r="C148" i="18"/>
  <c r="C147" i="18"/>
  <c r="C146" i="18"/>
  <c r="C145" i="18"/>
  <c r="C144" i="18"/>
  <c r="C143" i="18"/>
  <c r="C142" i="18"/>
  <c r="C141" i="18"/>
  <c r="C140" i="18"/>
  <c r="C139" i="18"/>
  <c r="C138" i="18"/>
  <c r="C137" i="18"/>
  <c r="C136" i="18"/>
  <c r="C135" i="18"/>
  <c r="C134" i="18"/>
  <c r="C133" i="18"/>
  <c r="C132" i="18"/>
  <c r="C131" i="18"/>
  <c r="C130" i="18"/>
  <c r="C129" i="18"/>
  <c r="C128" i="18"/>
  <c r="C127" i="18"/>
  <c r="C126" i="18"/>
  <c r="C125" i="18"/>
  <c r="C124" i="18"/>
  <c r="C123" i="18"/>
  <c r="C122" i="18"/>
  <c r="C121" i="18"/>
  <c r="C120" i="18"/>
  <c r="C119" i="18"/>
  <c r="C118" i="18"/>
  <c r="C117" i="18"/>
  <c r="C116" i="18"/>
  <c r="C115" i="18"/>
  <c r="C114" i="18"/>
  <c r="C113" i="18"/>
  <c r="C112" i="18"/>
  <c r="C111" i="18"/>
  <c r="C110" i="18"/>
  <c r="C109" i="18"/>
  <c r="C108" i="18"/>
  <c r="C107" i="18"/>
  <c r="C106" i="18"/>
  <c r="C105" i="18"/>
  <c r="C104" i="18"/>
  <c r="C103" i="18"/>
  <c r="C102" i="18"/>
  <c r="C101" i="18"/>
  <c r="C100" i="18"/>
  <c r="C99" i="18"/>
  <c r="C98" i="18"/>
  <c r="C97" i="18"/>
  <c r="C96" i="18"/>
  <c r="C95" i="18"/>
  <c r="C94" i="18"/>
  <c r="C93" i="18"/>
  <c r="C92" i="18"/>
  <c r="C91" i="18"/>
  <c r="C90" i="18"/>
  <c r="C89" i="18"/>
  <c r="C88" i="18"/>
  <c r="C87" i="18"/>
  <c r="C86" i="18"/>
  <c r="C85" i="18"/>
  <c r="C84" i="18"/>
  <c r="C83" i="18"/>
  <c r="C82" i="18"/>
  <c r="C81" i="18"/>
  <c r="C80" i="18"/>
  <c r="C79" i="18"/>
  <c r="C78" i="18"/>
  <c r="C77" i="18"/>
  <c r="C76" i="18"/>
  <c r="C75" i="18"/>
  <c r="C74" i="18"/>
  <c r="C73" i="18"/>
  <c r="C72" i="18"/>
  <c r="C71" i="18"/>
  <c r="C70" i="18"/>
  <c r="C69" i="18"/>
  <c r="C68" i="18"/>
  <c r="C67" i="18"/>
  <c r="C66" i="18"/>
  <c r="C65" i="18"/>
  <c r="C64" i="18"/>
  <c r="C63" i="18"/>
  <c r="C62" i="18"/>
  <c r="C61" i="18"/>
  <c r="C60" i="18"/>
  <c r="C59" i="18"/>
  <c r="C58" i="18"/>
  <c r="C57" i="18"/>
  <c r="C56" i="18"/>
  <c r="C55" i="18"/>
  <c r="C54" i="18"/>
  <c r="C53" i="18"/>
  <c r="C52" i="18"/>
  <c r="C51" i="18"/>
  <c r="C50" i="18"/>
  <c r="C49" i="18"/>
  <c r="C48" i="18"/>
  <c r="C47" i="18"/>
  <c r="C46" i="18"/>
  <c r="C45" i="18"/>
  <c r="C44" i="18"/>
  <c r="C43" i="18"/>
  <c r="C42" i="18"/>
  <c r="C41" i="18"/>
  <c r="C40" i="18"/>
  <c r="C39" i="18"/>
  <c r="C38" i="18"/>
  <c r="C37" i="18"/>
  <c r="C36" i="18"/>
  <c r="C35" i="18"/>
  <c r="C34" i="18"/>
  <c r="C33" i="18"/>
  <c r="C32" i="18"/>
  <c r="C31" i="18"/>
  <c r="C30" i="18"/>
  <c r="C29" i="18"/>
  <c r="C28" i="18"/>
  <c r="C27" i="18"/>
  <c r="C26" i="18"/>
  <c r="C25" i="18"/>
  <c r="C24" i="18"/>
  <c r="C23" i="18"/>
  <c r="C22" i="18"/>
  <c r="C21" i="18"/>
  <c r="C20" i="18"/>
  <c r="C19" i="18"/>
  <c r="C18" i="18"/>
  <c r="C17" i="18"/>
  <c r="C16" i="18"/>
  <c r="C15" i="18"/>
  <c r="C14" i="18"/>
  <c r="C13" i="18"/>
  <c r="C12" i="18"/>
  <c r="C11" i="18"/>
  <c r="C10" i="18"/>
  <c r="C9" i="18"/>
  <c r="C8" i="18"/>
  <c r="C7" i="18"/>
  <c r="C6" i="18"/>
  <c r="C5" i="18"/>
  <c r="C4" i="18"/>
  <c r="F22" i="16" l="1"/>
  <c r="C22" i="16" s="1"/>
  <c r="F21" i="16"/>
  <c r="C21" i="16" s="1"/>
  <c r="F12" i="16"/>
  <c r="C12" i="16" s="1"/>
  <c r="F11" i="16"/>
  <c r="C11" i="16" s="1"/>
  <c r="AF4" i="16" l="1"/>
  <c r="AG4" i="16"/>
  <c r="AH4" i="16"/>
  <c r="AF5" i="16"/>
  <c r="AG5" i="16"/>
  <c r="AH5" i="16"/>
  <c r="AF6" i="16"/>
  <c r="AG6" i="16"/>
  <c r="AH6" i="16"/>
  <c r="AF8" i="16"/>
  <c r="AG8" i="16"/>
  <c r="AH8" i="16"/>
  <c r="AF11" i="16"/>
  <c r="AG11" i="16"/>
  <c r="AH11" i="16"/>
  <c r="AF12" i="16"/>
  <c r="AG12" i="16"/>
  <c r="AH12" i="16"/>
  <c r="AF13" i="16"/>
  <c r="AG13" i="16"/>
  <c r="AH13" i="16"/>
  <c r="AF14" i="16"/>
  <c r="AG14" i="16"/>
  <c r="AH14" i="16"/>
  <c r="AF18" i="16"/>
  <c r="AG18" i="16"/>
  <c r="AH18" i="16"/>
  <c r="AF19" i="16"/>
  <c r="AG19" i="16"/>
  <c r="AH19" i="16"/>
  <c r="AD20" i="16"/>
  <c r="AH20" i="16"/>
  <c r="AF27" i="16"/>
  <c r="AG27" i="16"/>
  <c r="AH27" i="16"/>
  <c r="AF31" i="16"/>
  <c r="AG31" i="16"/>
  <c r="AH31" i="16"/>
  <c r="AF32" i="16"/>
  <c r="AG32" i="16"/>
  <c r="AH32" i="16"/>
  <c r="AF33" i="16"/>
  <c r="AG33" i="16"/>
  <c r="AH33" i="16"/>
  <c r="AF36" i="16"/>
  <c r="AG36" i="16"/>
  <c r="AH36" i="16"/>
  <c r="AF37" i="16"/>
  <c r="AG37" i="16"/>
  <c r="AH37" i="16"/>
  <c r="O13" i="7"/>
  <c r="O11" i="7"/>
  <c r="L72" i="7"/>
  <c r="L71" i="7"/>
  <c r="L70" i="7"/>
  <c r="L69" i="7"/>
  <c r="L68" i="7"/>
  <c r="L67" i="7"/>
  <c r="L66" i="7"/>
  <c r="L65" i="7"/>
  <c r="L64" i="7"/>
  <c r="L63" i="7"/>
  <c r="L62" i="7"/>
  <c r="L61" i="7"/>
  <c r="L60" i="7"/>
  <c r="L59" i="7"/>
  <c r="L58" i="7"/>
  <c r="L57" i="7"/>
  <c r="L56" i="7"/>
  <c r="L55" i="7"/>
  <c r="L54" i="7"/>
  <c r="L53" i="7"/>
  <c r="L52" i="7"/>
  <c r="L51" i="7"/>
  <c r="L50" i="7"/>
  <c r="L49" i="7"/>
  <c r="L48" i="7"/>
  <c r="L47" i="7"/>
  <c r="L46" i="7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5" i="7"/>
  <c r="C72" i="7"/>
  <c r="C71" i="7"/>
  <c r="C70" i="7"/>
  <c r="C69" i="7"/>
  <c r="C68" i="7"/>
  <c r="C50" i="7"/>
  <c r="C49" i="7"/>
  <c r="C48" i="7"/>
  <c r="C47" i="7"/>
  <c r="C43" i="7"/>
  <c r="C42" i="7"/>
  <c r="C41" i="7"/>
  <c r="C40" i="7"/>
  <c r="H149" i="17"/>
  <c r="E52" i="7" s="1"/>
  <c r="H86" i="17"/>
  <c r="H75" i="17"/>
  <c r="E66" i="7" s="1"/>
  <c r="H74" i="17"/>
  <c r="H96" i="17"/>
  <c r="H154" i="17"/>
  <c r="H48" i="17"/>
  <c r="H47" i="17"/>
  <c r="E47" i="7" s="1"/>
  <c r="H145" i="17"/>
  <c r="H91" i="17"/>
  <c r="H21" i="17"/>
  <c r="E70" i="7" l="1"/>
  <c r="E51" i="7"/>
  <c r="E63" i="7"/>
  <c r="E20" i="7"/>
  <c r="E31" i="7"/>
  <c r="E24" i="7"/>
  <c r="E41" i="7"/>
  <c r="E57" i="7"/>
  <c r="E42" i="7"/>
  <c r="E23" i="7"/>
  <c r="E48" i="7"/>
  <c r="H157" i="17"/>
  <c r="E69" i="7" l="1"/>
  <c r="E35" i="7"/>
  <c r="E17" i="7"/>
  <c r="H33" i="17"/>
  <c r="E4" i="7" l="1"/>
  <c r="H170" i="17"/>
  <c r="H169" i="17"/>
  <c r="H168" i="17"/>
  <c r="H167" i="17"/>
  <c r="E71" i="7" s="1"/>
  <c r="H166" i="17"/>
  <c r="H165" i="17"/>
  <c r="H164" i="17"/>
  <c r="H163" i="17"/>
  <c r="H162" i="17"/>
  <c r="H161" i="17"/>
  <c r="H160" i="17"/>
  <c r="H159" i="17"/>
  <c r="H158" i="17"/>
  <c r="H156" i="17"/>
  <c r="H155" i="17"/>
  <c r="E26" i="7" s="1"/>
  <c r="H153" i="17"/>
  <c r="H152" i="17"/>
  <c r="H151" i="17"/>
  <c r="H150" i="17"/>
  <c r="H148" i="17"/>
  <c r="H147" i="17"/>
  <c r="H146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5" i="17"/>
  <c r="H94" i="17"/>
  <c r="H93" i="17"/>
  <c r="H92" i="17"/>
  <c r="H90" i="17"/>
  <c r="E37" i="7" s="1"/>
  <c r="H89" i="17"/>
  <c r="H88" i="17"/>
  <c r="H87" i="17"/>
  <c r="H85" i="17"/>
  <c r="H84" i="17"/>
  <c r="H83" i="17"/>
  <c r="H82" i="17"/>
  <c r="H81" i="17"/>
  <c r="H80" i="17"/>
  <c r="H79" i="17"/>
  <c r="H78" i="17"/>
  <c r="H77" i="17"/>
  <c r="H76" i="17"/>
  <c r="H73" i="17"/>
  <c r="H72" i="17"/>
  <c r="H71" i="17"/>
  <c r="H70" i="17"/>
  <c r="H69" i="17"/>
  <c r="H68" i="17"/>
  <c r="H67" i="17"/>
  <c r="E16" i="7" s="1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2" i="17"/>
  <c r="E5" i="7" s="1"/>
  <c r="H31" i="17"/>
  <c r="H30" i="17"/>
  <c r="H29" i="17"/>
  <c r="H28" i="17"/>
  <c r="H27" i="17"/>
  <c r="H26" i="17"/>
  <c r="H25" i="17"/>
  <c r="H24" i="17"/>
  <c r="H23" i="17"/>
  <c r="H22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G52" i="7" l="1"/>
  <c r="G47" i="7"/>
  <c r="G48" i="7"/>
  <c r="G23" i="7"/>
  <c r="G20" i="7"/>
  <c r="G63" i="7"/>
  <c r="G41" i="7"/>
  <c r="G51" i="7"/>
  <c r="G31" i="7"/>
  <c r="G70" i="7"/>
  <c r="G57" i="7"/>
  <c r="G35" i="7"/>
  <c r="G69" i="7"/>
  <c r="G17" i="7"/>
  <c r="E30" i="7"/>
  <c r="E8" i="7"/>
  <c r="E7" i="7"/>
  <c r="E72" i="7"/>
  <c r="E56" i="7"/>
  <c r="E39" i="7"/>
  <c r="E62" i="7"/>
  <c r="E46" i="7"/>
  <c r="E6" i="7"/>
  <c r="E53" i="7"/>
  <c r="E13" i="7"/>
  <c r="E36" i="7"/>
  <c r="E67" i="7"/>
  <c r="E43" i="7"/>
  <c r="E27" i="7"/>
  <c r="E50" i="7"/>
  <c r="E10" i="7"/>
  <c r="E32" i="7"/>
  <c r="E22" i="7"/>
  <c r="E61" i="7"/>
  <c r="E21" i="7"/>
  <c r="E49" i="7"/>
  <c r="E38" i="7"/>
  <c r="E45" i="7"/>
  <c r="E40" i="7"/>
  <c r="E29" i="7"/>
  <c r="E12" i="7"/>
  <c r="E59" i="7"/>
  <c r="E34" i="7"/>
  <c r="E58" i="7"/>
  <c r="E65" i="7"/>
  <c r="E25" i="7"/>
  <c r="E64" i="7"/>
  <c r="E14" i="7"/>
  <c r="E55" i="7"/>
  <c r="E60" i="7"/>
  <c r="E28" i="7"/>
  <c r="E11" i="7"/>
  <c r="E33" i="7"/>
  <c r="E9" i="7"/>
  <c r="E54" i="7"/>
  <c r="E19" i="7"/>
  <c r="E15" i="7"/>
  <c r="E44" i="7"/>
  <c r="E68" i="7"/>
  <c r="E18" i="7"/>
  <c r="G4" i="7"/>
  <c r="J6" i="16"/>
  <c r="L6" i="16" s="1"/>
  <c r="M6" i="16" s="1"/>
  <c r="N6" i="16" s="1"/>
  <c r="J8" i="16"/>
  <c r="L8" i="16" s="1"/>
  <c r="M8" i="16" s="1"/>
  <c r="N8" i="16" s="1"/>
  <c r="J9" i="16"/>
  <c r="L9" i="16" s="1"/>
  <c r="M9" i="16" s="1"/>
  <c r="N9" i="16" s="1"/>
  <c r="J10" i="16"/>
  <c r="L10" i="16" s="1"/>
  <c r="M10" i="16" s="1"/>
  <c r="N10" i="16" s="1"/>
  <c r="J12" i="16"/>
  <c r="L12" i="16" s="1"/>
  <c r="M12" i="16" s="1"/>
  <c r="N12" i="16" s="1"/>
  <c r="J13" i="16"/>
  <c r="L13" i="16" s="1"/>
  <c r="M13" i="16" s="1"/>
  <c r="N13" i="16" s="1"/>
  <c r="J14" i="16"/>
  <c r="L14" i="16" s="1"/>
  <c r="M14" i="16" s="1"/>
  <c r="N14" i="16" s="1"/>
  <c r="J15" i="16"/>
  <c r="L15" i="16" s="1"/>
  <c r="M15" i="16" s="1"/>
  <c r="N15" i="16" s="1"/>
  <c r="J17" i="16"/>
  <c r="L17" i="16" s="1"/>
  <c r="M17" i="16" s="1"/>
  <c r="N17" i="16" s="1"/>
  <c r="J20" i="16"/>
  <c r="L20" i="16" s="1"/>
  <c r="M20" i="16" s="1"/>
  <c r="N20" i="16" s="1"/>
  <c r="J21" i="16"/>
  <c r="L21" i="16" s="1"/>
  <c r="M21" i="16" s="1"/>
  <c r="N21" i="16" s="1"/>
  <c r="J22" i="16"/>
  <c r="L22" i="16" s="1"/>
  <c r="M22" i="16" s="1"/>
  <c r="N22" i="16" s="1"/>
  <c r="J24" i="16"/>
  <c r="L24" i="16" s="1"/>
  <c r="M24" i="16" s="1"/>
  <c r="N24" i="16" s="1"/>
  <c r="J25" i="16"/>
  <c r="L25" i="16" s="1"/>
  <c r="M25" i="16" s="1"/>
  <c r="N25" i="16" s="1"/>
  <c r="J26" i="16"/>
  <c r="L26" i="16" s="1"/>
  <c r="M26" i="16" s="1"/>
  <c r="N26" i="16" s="1"/>
  <c r="J27" i="16"/>
  <c r="L27" i="16" s="1"/>
  <c r="M27" i="16" s="1"/>
  <c r="N27" i="16" s="1"/>
  <c r="J28" i="16"/>
  <c r="L28" i="16" s="1"/>
  <c r="M28" i="16" s="1"/>
  <c r="N28" i="16" s="1"/>
  <c r="J29" i="16"/>
  <c r="L29" i="16" s="1"/>
  <c r="M29" i="16" s="1"/>
  <c r="N29" i="16" s="1"/>
  <c r="J30" i="16"/>
  <c r="L30" i="16" s="1"/>
  <c r="M30" i="16" s="1"/>
  <c r="N30" i="16" s="1"/>
  <c r="J32" i="16"/>
  <c r="L32" i="16" s="1"/>
  <c r="M32" i="16" s="1"/>
  <c r="N32" i="16" s="1"/>
  <c r="J33" i="16"/>
  <c r="L33" i="16" s="1"/>
  <c r="M33" i="16" s="1"/>
  <c r="N33" i="16" s="1"/>
  <c r="J34" i="16"/>
  <c r="L34" i="16" s="1"/>
  <c r="M34" i="16" s="1"/>
  <c r="N34" i="16" s="1"/>
  <c r="J37" i="16"/>
  <c r="L37" i="16" s="1"/>
  <c r="M37" i="16" s="1"/>
  <c r="N37" i="16" s="1"/>
  <c r="J38" i="16"/>
  <c r="L38" i="16" s="1"/>
  <c r="M38" i="16" s="1"/>
  <c r="N38" i="16" s="1"/>
  <c r="I39" i="16"/>
  <c r="J39" i="16" s="1"/>
  <c r="L39" i="16" s="1"/>
  <c r="M39" i="16" s="1"/>
  <c r="N39" i="16" s="1"/>
  <c r="I36" i="16"/>
  <c r="J36" i="16" s="1"/>
  <c r="L36" i="16" s="1"/>
  <c r="M36" i="16" s="1"/>
  <c r="N36" i="16" s="1"/>
  <c r="AE15" i="11"/>
  <c r="AF15" i="11"/>
  <c r="AG15" i="11"/>
  <c r="AH15" i="11"/>
  <c r="AE14" i="11"/>
  <c r="AF14" i="11"/>
  <c r="AG14" i="11"/>
  <c r="AH14" i="11"/>
  <c r="AE13" i="11"/>
  <c r="AF13" i="11"/>
  <c r="AG13" i="11"/>
  <c r="AH13" i="11"/>
  <c r="Q15" i="11"/>
  <c r="T15" i="11"/>
  <c r="Q14" i="11"/>
  <c r="T14" i="11"/>
  <c r="Q13" i="11"/>
  <c r="T13" i="11"/>
  <c r="F15" i="11"/>
  <c r="F14" i="11"/>
  <c r="I31" i="16"/>
  <c r="J31" i="16" s="1"/>
  <c r="L31" i="16" s="1"/>
  <c r="M31" i="16" s="1"/>
  <c r="N31" i="16" s="1"/>
  <c r="I23" i="16"/>
  <c r="J23" i="16" s="1"/>
  <c r="L23" i="16" s="1"/>
  <c r="M23" i="16" s="1"/>
  <c r="N23" i="16" s="1"/>
  <c r="I19" i="16"/>
  <c r="J19" i="16" s="1"/>
  <c r="I18" i="16"/>
  <c r="J18" i="16" s="1"/>
  <c r="I16" i="16"/>
  <c r="I11" i="16"/>
  <c r="I7" i="16"/>
  <c r="I5" i="16"/>
  <c r="J4" i="16"/>
  <c r="L4" i="16" s="1"/>
  <c r="M4" i="16" s="1"/>
  <c r="N4" i="16" s="1"/>
  <c r="B145" i="6"/>
  <c r="B144" i="6"/>
  <c r="B143" i="6"/>
  <c r="B142" i="6"/>
  <c r="B141" i="6"/>
  <c r="B140" i="6"/>
  <c r="B139" i="6"/>
  <c r="B138" i="6"/>
  <c r="B137" i="6"/>
  <c r="B136" i="6"/>
  <c r="B135" i="6"/>
  <c r="B134" i="6"/>
  <c r="B133" i="6"/>
  <c r="B132" i="6"/>
  <c r="B131" i="6"/>
  <c r="B130" i="6"/>
  <c r="B129" i="6"/>
  <c r="B128" i="6"/>
  <c r="B127" i="6"/>
  <c r="B126" i="6"/>
  <c r="B125" i="6"/>
  <c r="B124" i="6"/>
  <c r="B123" i="6"/>
  <c r="B122" i="6"/>
  <c r="B121" i="6"/>
  <c r="B120" i="6"/>
  <c r="B119" i="6"/>
  <c r="B118" i="6"/>
  <c r="B117" i="6"/>
  <c r="B116" i="6"/>
  <c r="B115" i="6"/>
  <c r="B114" i="6"/>
  <c r="B113" i="6"/>
  <c r="B112" i="6"/>
  <c r="B111" i="6"/>
  <c r="B110" i="6"/>
  <c r="B109" i="6"/>
  <c r="B108" i="6"/>
  <c r="B107" i="6"/>
  <c r="B106" i="6"/>
  <c r="B105" i="6"/>
  <c r="B104" i="6"/>
  <c r="B103" i="6"/>
  <c r="B102" i="6"/>
  <c r="B101" i="6"/>
  <c r="B100" i="6"/>
  <c r="B99" i="6"/>
  <c r="B98" i="6"/>
  <c r="B97" i="6"/>
  <c r="B96" i="6"/>
  <c r="B95" i="6"/>
  <c r="B94" i="6"/>
  <c r="B93" i="6"/>
  <c r="B92" i="6"/>
  <c r="B91" i="6"/>
  <c r="B90" i="6"/>
  <c r="B89" i="6"/>
  <c r="B88" i="6"/>
  <c r="B87" i="6"/>
  <c r="B86" i="6"/>
  <c r="B85" i="6"/>
  <c r="B84" i="6"/>
  <c r="B83" i="6"/>
  <c r="B82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AU100" i="6"/>
  <c r="AT100" i="6"/>
  <c r="AU99" i="6"/>
  <c r="AV99" i="6" s="1"/>
  <c r="AU98" i="6"/>
  <c r="AV98" i="6" s="1"/>
  <c r="AU97" i="6"/>
  <c r="AV97" i="6" s="1"/>
  <c r="AU96" i="6"/>
  <c r="AV96" i="6" s="1"/>
  <c r="AU95" i="6"/>
  <c r="AV95" i="6" s="1"/>
  <c r="AU94" i="6"/>
  <c r="AV94" i="6" s="1"/>
  <c r="AU93" i="6"/>
  <c r="AV93" i="6" s="1"/>
  <c r="AU92" i="6"/>
  <c r="AV92" i="6" s="1"/>
  <c r="AU91" i="6"/>
  <c r="AV91" i="6" s="1"/>
  <c r="AU90" i="6"/>
  <c r="AV90" i="6" s="1"/>
  <c r="AU88" i="6"/>
  <c r="AT88" i="6"/>
  <c r="AU86" i="6"/>
  <c r="AV86" i="6" s="1"/>
  <c r="AT86" i="6"/>
  <c r="AU85" i="6"/>
  <c r="AV85" i="6" s="1"/>
  <c r="AT85" i="6"/>
  <c r="AU84" i="6"/>
  <c r="AV84" i="6" s="1"/>
  <c r="AT84" i="6"/>
  <c r="AU82" i="6"/>
  <c r="AT82" i="6"/>
  <c r="AU79" i="6"/>
  <c r="AV79" i="6" s="1"/>
  <c r="AU78" i="6"/>
  <c r="AV78" i="6" s="1"/>
  <c r="AU77" i="6"/>
  <c r="AV77" i="6" s="1"/>
  <c r="AU81" i="6"/>
  <c r="AT81" i="6"/>
  <c r="AU74" i="6"/>
  <c r="AT74" i="6"/>
  <c r="AU73" i="6"/>
  <c r="AT73" i="6"/>
  <c r="AU72" i="6"/>
  <c r="AT72" i="6"/>
  <c r="AU70" i="6"/>
  <c r="AT70" i="6"/>
  <c r="AU69" i="6"/>
  <c r="AT69" i="6"/>
  <c r="AU67" i="6"/>
  <c r="AT67" i="6"/>
  <c r="AU66" i="6"/>
  <c r="AT66" i="6"/>
  <c r="AU65" i="6"/>
  <c r="AT65" i="6"/>
  <c r="AU62" i="6"/>
  <c r="AV62" i="6" s="1"/>
  <c r="AU59" i="6"/>
  <c r="AV59" i="6" s="1"/>
  <c r="AU9" i="6"/>
  <c r="AV9" i="6" s="1"/>
  <c r="AU8" i="6"/>
  <c r="AV8" i="6" s="1"/>
  <c r="AU7" i="6"/>
  <c r="AV7" i="6" s="1"/>
  <c r="AA59" i="15"/>
  <c r="Z59" i="15"/>
  <c r="Y59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AA58" i="15"/>
  <c r="Z58" i="15"/>
  <c r="Y58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AA57" i="15"/>
  <c r="Z57" i="15"/>
  <c r="Y57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AA56" i="15"/>
  <c r="Z56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AA55" i="15"/>
  <c r="Z55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AA54" i="15"/>
  <c r="Z54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AA53" i="15"/>
  <c r="Z53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AA51" i="15"/>
  <c r="Z51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AA50" i="15"/>
  <c r="Z50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AA49" i="15"/>
  <c r="Z49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AA48" i="15"/>
  <c r="Z48" i="15"/>
  <c r="Y48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AA47" i="15"/>
  <c r="Z47" i="15"/>
  <c r="Y47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AA46" i="15"/>
  <c r="Z46" i="15"/>
  <c r="Y46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AA45" i="15"/>
  <c r="Z45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AA43" i="15"/>
  <c r="Z43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AA40" i="15"/>
  <c r="Z40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AA39" i="15"/>
  <c r="Z39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AA38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AA37" i="15"/>
  <c r="Z37" i="15"/>
  <c r="Y37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AA36" i="15"/>
  <c r="Z36" i="15"/>
  <c r="Y36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AA35" i="15"/>
  <c r="Z35" i="15"/>
  <c r="Y35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AA34" i="15"/>
  <c r="Z34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AA33" i="15"/>
  <c r="Z33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AA32" i="15"/>
  <c r="Z32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AA31" i="15"/>
  <c r="Z31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AA30" i="15"/>
  <c r="Z30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AA29" i="15"/>
  <c r="Z29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AA28" i="15"/>
  <c r="Z28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AA27" i="15"/>
  <c r="Z27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AA26" i="15"/>
  <c r="Z26" i="15"/>
  <c r="Y26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AA25" i="15"/>
  <c r="Z25" i="15"/>
  <c r="Y25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AA24" i="15"/>
  <c r="Z24" i="15"/>
  <c r="Y24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AA23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AA21" i="15"/>
  <c r="Z21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AA19" i="15"/>
  <c r="Z19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AA18" i="15"/>
  <c r="Z18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AA17" i="15"/>
  <c r="Z17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AA16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AA15" i="15"/>
  <c r="Z15" i="15"/>
  <c r="Y15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AA14" i="15"/>
  <c r="Z14" i="15"/>
  <c r="Y14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AA13" i="15"/>
  <c r="Z13" i="15"/>
  <c r="Y13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AA12" i="15"/>
  <c r="Z12" i="15"/>
  <c r="Y12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AA11" i="15"/>
  <c r="Z11" i="15"/>
  <c r="Y11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AA9" i="15"/>
  <c r="Z9" i="15"/>
  <c r="Y9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AA8" i="15"/>
  <c r="Z8" i="15"/>
  <c r="Y8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AA7" i="15"/>
  <c r="Z7" i="15"/>
  <c r="Y7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AA6" i="15"/>
  <c r="Z6" i="15"/>
  <c r="Y6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AA5" i="15"/>
  <c r="Z5" i="15"/>
  <c r="Y5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B62" i="15"/>
  <c r="B61" i="15"/>
  <c r="B60" i="15"/>
  <c r="B59" i="15"/>
  <c r="B58" i="15"/>
  <c r="B57" i="15"/>
  <c r="B56" i="15"/>
  <c r="B55" i="15"/>
  <c r="B54" i="15"/>
  <c r="B53" i="15"/>
  <c r="B52" i="15"/>
  <c r="B51" i="15"/>
  <c r="B50" i="15"/>
  <c r="B49" i="15"/>
  <c r="B48" i="15"/>
  <c r="B47" i="15"/>
  <c r="B46" i="15"/>
  <c r="B45" i="15"/>
  <c r="B44" i="15"/>
  <c r="B43" i="15"/>
  <c r="B42" i="15"/>
  <c r="B41" i="15"/>
  <c r="B40" i="15"/>
  <c r="B39" i="15"/>
  <c r="B38" i="15"/>
  <c r="B37" i="15"/>
  <c r="B36" i="15"/>
  <c r="B35" i="15"/>
  <c r="B34" i="15"/>
  <c r="B33" i="15"/>
  <c r="B32" i="15"/>
  <c r="B31" i="15"/>
  <c r="B30" i="15"/>
  <c r="B29" i="15"/>
  <c r="B28" i="15"/>
  <c r="B27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B13" i="15"/>
  <c r="B12" i="15"/>
  <c r="B11" i="15"/>
  <c r="B10" i="15"/>
  <c r="B9" i="15"/>
  <c r="B8" i="15"/>
  <c r="B7" i="15"/>
  <c r="B6" i="15"/>
  <c r="B5" i="15"/>
  <c r="B62" i="14"/>
  <c r="B61" i="14"/>
  <c r="B60" i="14"/>
  <c r="B59" i="14"/>
  <c r="B58" i="14"/>
  <c r="B57" i="14"/>
  <c r="B56" i="14"/>
  <c r="B55" i="14"/>
  <c r="B54" i="14"/>
  <c r="B53" i="14"/>
  <c r="B52" i="14"/>
  <c r="B51" i="14"/>
  <c r="B50" i="14"/>
  <c r="B49" i="14"/>
  <c r="B48" i="14"/>
  <c r="B47" i="14"/>
  <c r="B46" i="14"/>
  <c r="B45" i="14"/>
  <c r="B44" i="14"/>
  <c r="B43" i="14"/>
  <c r="B42" i="14"/>
  <c r="B41" i="14"/>
  <c r="B40" i="14"/>
  <c r="B39" i="14"/>
  <c r="B38" i="14"/>
  <c r="B37" i="14"/>
  <c r="B36" i="14"/>
  <c r="B35" i="14"/>
  <c r="B34" i="14"/>
  <c r="B33" i="14"/>
  <c r="B32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B9" i="14"/>
  <c r="B8" i="14"/>
  <c r="B7" i="14"/>
  <c r="B6" i="14"/>
  <c r="B5" i="14"/>
  <c r="AC53" i="14"/>
  <c r="AD53" i="14" s="1"/>
  <c r="AC54" i="14"/>
  <c r="AD54" i="14" s="1"/>
  <c r="AC55" i="14"/>
  <c r="AD55" i="14" s="1"/>
  <c r="AC56" i="14"/>
  <c r="AD56" i="14" s="1"/>
  <c r="AC43" i="14"/>
  <c r="AD43" i="14" s="1"/>
  <c r="AC44" i="14"/>
  <c r="AD44" i="14" s="1"/>
  <c r="AC45" i="14"/>
  <c r="AD45" i="14" s="1"/>
  <c r="AC46" i="14"/>
  <c r="AD46" i="14" s="1"/>
  <c r="AC47" i="14"/>
  <c r="AD47" i="14" s="1"/>
  <c r="AC48" i="14"/>
  <c r="AD48" i="14" s="1"/>
  <c r="AC49" i="14"/>
  <c r="AD49" i="14" s="1"/>
  <c r="AC50" i="14"/>
  <c r="AD50" i="14" s="1"/>
  <c r="AC51" i="14"/>
  <c r="AD51" i="14" s="1"/>
  <c r="AV82" i="6" l="1"/>
  <c r="AV100" i="6"/>
  <c r="AV72" i="6"/>
  <c r="AV74" i="6"/>
  <c r="AV65" i="6"/>
  <c r="AV70" i="6"/>
  <c r="AV66" i="6"/>
  <c r="L18" i="16"/>
  <c r="M18" i="16" s="1"/>
  <c r="N18" i="16" s="1"/>
  <c r="J5" i="16"/>
  <c r="L5" i="16" s="1"/>
  <c r="M5" i="16" s="1"/>
  <c r="N5" i="16" s="1"/>
  <c r="L19" i="16"/>
  <c r="M19" i="16" s="1"/>
  <c r="N19" i="16" s="1"/>
  <c r="J11" i="16"/>
  <c r="L11" i="16" s="1"/>
  <c r="M11" i="16" s="1"/>
  <c r="N11" i="16" s="1"/>
  <c r="J7" i="16"/>
  <c r="L7" i="16" s="1"/>
  <c r="M7" i="16" s="1"/>
  <c r="N7" i="16" s="1"/>
  <c r="J16" i="16"/>
  <c r="L16" i="16" s="1"/>
  <c r="M16" i="16" s="1"/>
  <c r="N16" i="16" s="1"/>
  <c r="AI13" i="11"/>
  <c r="AK13" i="11" s="1"/>
  <c r="AI15" i="11"/>
  <c r="AK15" i="11" s="1"/>
  <c r="I35" i="16"/>
  <c r="AI14" i="11"/>
  <c r="AK14" i="11" s="1"/>
  <c r="AV88" i="6"/>
  <c r="AV67" i="6"/>
  <c r="AV69" i="6"/>
  <c r="AV73" i="6"/>
  <c r="AV81" i="6"/>
  <c r="Z35" i="16" l="1"/>
  <c r="J35" i="16"/>
  <c r="L35" i="16" s="1"/>
  <c r="M35" i="16" s="1"/>
  <c r="N35" i="16" s="1"/>
  <c r="AC40" i="14"/>
  <c r="AD40" i="14" s="1"/>
  <c r="AC37" i="14"/>
  <c r="AD37" i="14" s="1"/>
  <c r="AC20" i="14"/>
  <c r="AD20" i="14" s="1"/>
  <c r="F5" i="15"/>
  <c r="AC5" i="14"/>
  <c r="AD5" i="14" s="1"/>
  <c r="AC6" i="14"/>
  <c r="AD6" i="14" s="1"/>
  <c r="AC7" i="14"/>
  <c r="AD7" i="14" s="1"/>
  <c r="AC8" i="14"/>
  <c r="AD8" i="14" s="1"/>
  <c r="AC9" i="14"/>
  <c r="AD9" i="14" s="1"/>
  <c r="AC10" i="14"/>
  <c r="AD10" i="14" s="1"/>
  <c r="AC11" i="14"/>
  <c r="AD11" i="14" s="1"/>
  <c r="AC12" i="14"/>
  <c r="AD12" i="14" s="1"/>
  <c r="AC13" i="14"/>
  <c r="AD13" i="14" s="1"/>
  <c r="AC14" i="14"/>
  <c r="AD14" i="14" s="1"/>
  <c r="AC15" i="14"/>
  <c r="AD15" i="14" s="1"/>
  <c r="AC16" i="14"/>
  <c r="AD16" i="14" s="1"/>
  <c r="AC17" i="14"/>
  <c r="AD17" i="14" s="1"/>
  <c r="AC18" i="14"/>
  <c r="AD18" i="14" s="1"/>
  <c r="AC19" i="14"/>
  <c r="AD19" i="14" s="1"/>
  <c r="AC21" i="14"/>
  <c r="AD21" i="14" s="1"/>
  <c r="AB22" i="14"/>
  <c r="AC22" i="14"/>
  <c r="AC23" i="14"/>
  <c r="AD23" i="14" s="1"/>
  <c r="AC24" i="14"/>
  <c r="AD24" i="14" s="1"/>
  <c r="AC25" i="14"/>
  <c r="AD25" i="14" s="1"/>
  <c r="AC26" i="14"/>
  <c r="AD26" i="14" s="1"/>
  <c r="AC27" i="14"/>
  <c r="AD27" i="14" s="1"/>
  <c r="AC28" i="14"/>
  <c r="AD28" i="14" s="1"/>
  <c r="AC29" i="14"/>
  <c r="AD29" i="14" s="1"/>
  <c r="AC30" i="14"/>
  <c r="AD30" i="14" s="1"/>
  <c r="AC31" i="14"/>
  <c r="AD31" i="14" s="1"/>
  <c r="AC32" i="14"/>
  <c r="AD32" i="14" s="1"/>
  <c r="AC33" i="14"/>
  <c r="AD33" i="14" s="1"/>
  <c r="AC34" i="14"/>
  <c r="AD34" i="14" s="1"/>
  <c r="AC35" i="14"/>
  <c r="AD35" i="14" s="1"/>
  <c r="AC36" i="14"/>
  <c r="AD36" i="14" s="1"/>
  <c r="AC38" i="14"/>
  <c r="AD38" i="14" s="1"/>
  <c r="AC39" i="14"/>
  <c r="AD39" i="14" s="1"/>
  <c r="AB41" i="14"/>
  <c r="AC41" i="14"/>
  <c r="AB42" i="14"/>
  <c r="AC42" i="14"/>
  <c r="AB52" i="14"/>
  <c r="AC52" i="14"/>
  <c r="AC57" i="14"/>
  <c r="AD57" i="14" s="1"/>
  <c r="AC58" i="14"/>
  <c r="AD58" i="14" s="1"/>
  <c r="AC59" i="14"/>
  <c r="AD59" i="14" s="1"/>
  <c r="AB60" i="14"/>
  <c r="AC60" i="14"/>
  <c r="AB61" i="14"/>
  <c r="AC61" i="14"/>
  <c r="AB62" i="14"/>
  <c r="AC62" i="14"/>
  <c r="Y41" i="15" l="1"/>
  <c r="Q41" i="15"/>
  <c r="I41" i="15"/>
  <c r="V41" i="15"/>
  <c r="U41" i="15"/>
  <c r="T41" i="15"/>
  <c r="S41" i="15"/>
  <c r="R41" i="15"/>
  <c r="X41" i="15"/>
  <c r="P41" i="15"/>
  <c r="H41" i="15"/>
  <c r="F41" i="15"/>
  <c r="L41" i="15"/>
  <c r="K41" i="15"/>
  <c r="Z41" i="15"/>
  <c r="W41" i="15"/>
  <c r="O41" i="15"/>
  <c r="G41" i="15"/>
  <c r="N41" i="15"/>
  <c r="M41" i="15"/>
  <c r="AA41" i="15"/>
  <c r="J41" i="15"/>
  <c r="AA62" i="15"/>
  <c r="S62" i="15"/>
  <c r="K62" i="15"/>
  <c r="H62" i="15"/>
  <c r="G62" i="15"/>
  <c r="V62" i="15"/>
  <c r="T62" i="15"/>
  <c r="Z62" i="15"/>
  <c r="R62" i="15"/>
  <c r="J62" i="15"/>
  <c r="P62" i="15"/>
  <c r="W62" i="15"/>
  <c r="F62" i="15"/>
  <c r="M62" i="15"/>
  <c r="Y62" i="15"/>
  <c r="Q62" i="15"/>
  <c r="I62" i="15"/>
  <c r="X62" i="15"/>
  <c r="O62" i="15"/>
  <c r="N62" i="15"/>
  <c r="U62" i="15"/>
  <c r="L62" i="15"/>
  <c r="W52" i="15"/>
  <c r="O52" i="15"/>
  <c r="G52" i="15"/>
  <c r="L52" i="15"/>
  <c r="S52" i="15"/>
  <c r="R52" i="15"/>
  <c r="Q52" i="15"/>
  <c r="X52" i="15"/>
  <c r="H52" i="15"/>
  <c r="V52" i="15"/>
  <c r="N52" i="15"/>
  <c r="F52" i="15"/>
  <c r="T52" i="15"/>
  <c r="K52" i="15"/>
  <c r="Z52" i="15"/>
  <c r="J52" i="15"/>
  <c r="Y52" i="15"/>
  <c r="U52" i="15"/>
  <c r="M52" i="15"/>
  <c r="AA52" i="15"/>
  <c r="I52" i="15"/>
  <c r="P52" i="15"/>
  <c r="W60" i="15"/>
  <c r="O60" i="15"/>
  <c r="G60" i="15"/>
  <c r="S60" i="15"/>
  <c r="R60" i="15"/>
  <c r="I60" i="15"/>
  <c r="V60" i="15"/>
  <c r="N60" i="15"/>
  <c r="F60" i="15"/>
  <c r="L60" i="15"/>
  <c r="K60" i="15"/>
  <c r="J60" i="15"/>
  <c r="Q60" i="15"/>
  <c r="P60" i="15"/>
  <c r="U60" i="15"/>
  <c r="M60" i="15"/>
  <c r="T60" i="15"/>
  <c r="AA60" i="15"/>
  <c r="Z60" i="15"/>
  <c r="Y60" i="15"/>
  <c r="X60" i="15"/>
  <c r="H60" i="15"/>
  <c r="AA22" i="15"/>
  <c r="S22" i="15"/>
  <c r="K22" i="15"/>
  <c r="P22" i="15"/>
  <c r="O22" i="15"/>
  <c r="V22" i="15"/>
  <c r="T22" i="15"/>
  <c r="Z22" i="15"/>
  <c r="R22" i="15"/>
  <c r="J22" i="15"/>
  <c r="X22" i="15"/>
  <c r="N22" i="15"/>
  <c r="U22" i="15"/>
  <c r="M22" i="15"/>
  <c r="L22" i="15"/>
  <c r="Y22" i="15"/>
  <c r="Q22" i="15"/>
  <c r="I22" i="15"/>
  <c r="H22" i="15"/>
  <c r="W22" i="15"/>
  <c r="G22" i="15"/>
  <c r="F22" i="15"/>
  <c r="Y61" i="15"/>
  <c r="Q61" i="15"/>
  <c r="I61" i="15"/>
  <c r="F61" i="15"/>
  <c r="M61" i="15"/>
  <c r="T61" i="15"/>
  <c r="AA61" i="15"/>
  <c r="K61" i="15"/>
  <c r="J61" i="15"/>
  <c r="X61" i="15"/>
  <c r="P61" i="15"/>
  <c r="H61" i="15"/>
  <c r="N61" i="15"/>
  <c r="U61" i="15"/>
  <c r="L61" i="15"/>
  <c r="S61" i="15"/>
  <c r="Z61" i="15"/>
  <c r="R61" i="15"/>
  <c r="W61" i="15"/>
  <c r="O61" i="15"/>
  <c r="G61" i="15"/>
  <c r="V61" i="15"/>
  <c r="AA42" i="15"/>
  <c r="S42" i="15"/>
  <c r="K42" i="15"/>
  <c r="P42" i="15"/>
  <c r="O42" i="15"/>
  <c r="N42" i="15"/>
  <c r="U42" i="15"/>
  <c r="T42" i="15"/>
  <c r="Z42" i="15"/>
  <c r="R42" i="15"/>
  <c r="J42" i="15"/>
  <c r="H42" i="15"/>
  <c r="G42" i="15"/>
  <c r="V42" i="15"/>
  <c r="M42" i="15"/>
  <c r="Y42" i="15"/>
  <c r="Q42" i="15"/>
  <c r="I42" i="15"/>
  <c r="X42" i="15"/>
  <c r="W42" i="15"/>
  <c r="F42" i="15"/>
  <c r="L42" i="15"/>
  <c r="AD22" i="14"/>
  <c r="AD41" i="14"/>
  <c r="AD52" i="14"/>
  <c r="AD60" i="14"/>
  <c r="AD62" i="14"/>
  <c r="AD61" i="14"/>
  <c r="AD42" i="14"/>
  <c r="J341" i="4" l="1"/>
  <c r="J340" i="4"/>
  <c r="J339" i="4"/>
  <c r="J338" i="4"/>
  <c r="J337" i="4"/>
  <c r="J336" i="4"/>
  <c r="J335" i="4"/>
  <c r="J334" i="4"/>
  <c r="J333" i="4"/>
  <c r="J332" i="4"/>
  <c r="J331" i="4"/>
  <c r="J330" i="4"/>
  <c r="J329" i="4"/>
  <c r="J328" i="4"/>
  <c r="K189" i="12"/>
  <c r="K188" i="12"/>
  <c r="J188" i="12"/>
  <c r="AX160" i="12"/>
  <c r="X170" i="17" s="1"/>
  <c r="AW160" i="12"/>
  <c r="W170" i="17" s="1"/>
  <c r="AU160" i="12"/>
  <c r="U170" i="17" s="1"/>
  <c r="AT160" i="12"/>
  <c r="T170" i="17" s="1"/>
  <c r="AP160" i="12"/>
  <c r="P170" i="17" s="1"/>
  <c r="AO160" i="12"/>
  <c r="O170" i="17" s="1"/>
  <c r="AN160" i="12"/>
  <c r="N170" i="17" s="1"/>
  <c r="AM160" i="12"/>
  <c r="M170" i="17" s="1"/>
  <c r="AL160" i="12"/>
  <c r="L170" i="17" s="1"/>
  <c r="AK160" i="12"/>
  <c r="K170" i="17" s="1"/>
  <c r="AJ160" i="12"/>
  <c r="J170" i="17" s="1"/>
  <c r="AA160" i="12"/>
  <c r="AS160" i="12" s="1"/>
  <c r="S170" i="17" s="1"/>
  <c r="Z160" i="12"/>
  <c r="AR160" i="12" s="1"/>
  <c r="R170" i="17" s="1"/>
  <c r="AX159" i="12"/>
  <c r="X169" i="17" s="1"/>
  <c r="AW159" i="12"/>
  <c r="W169" i="17" s="1"/>
  <c r="AU159" i="12"/>
  <c r="U169" i="17" s="1"/>
  <c r="AT159" i="12"/>
  <c r="T169" i="17" s="1"/>
  <c r="AP159" i="12"/>
  <c r="P169" i="17" s="1"/>
  <c r="AO159" i="12"/>
  <c r="O169" i="17" s="1"/>
  <c r="AN159" i="12"/>
  <c r="N169" i="17" s="1"/>
  <c r="AM159" i="12"/>
  <c r="M169" i="17" s="1"/>
  <c r="AL159" i="12"/>
  <c r="L169" i="17" s="1"/>
  <c r="AK159" i="12"/>
  <c r="K169" i="17" s="1"/>
  <c r="AJ159" i="12"/>
  <c r="J169" i="17" s="1"/>
  <c r="AA159" i="12"/>
  <c r="AS159" i="12" s="1"/>
  <c r="S169" i="17" s="1"/>
  <c r="Z159" i="12"/>
  <c r="AR159" i="12" s="1"/>
  <c r="R169" i="17" s="1"/>
  <c r="AX158" i="12"/>
  <c r="X168" i="17" s="1"/>
  <c r="AW158" i="12"/>
  <c r="W168" i="17" s="1"/>
  <c r="AU158" i="12"/>
  <c r="U168" i="17" s="1"/>
  <c r="AT158" i="12"/>
  <c r="T168" i="17" s="1"/>
  <c r="AP158" i="12"/>
  <c r="P168" i="17" s="1"/>
  <c r="AO158" i="12"/>
  <c r="O168" i="17" s="1"/>
  <c r="AN158" i="12"/>
  <c r="N168" i="17" s="1"/>
  <c r="AM158" i="12"/>
  <c r="M168" i="17" s="1"/>
  <c r="AL158" i="12"/>
  <c r="L168" i="17" s="1"/>
  <c r="AK158" i="12"/>
  <c r="K168" i="17" s="1"/>
  <c r="AJ158" i="12"/>
  <c r="J168" i="17" s="1"/>
  <c r="AA158" i="12"/>
  <c r="AS158" i="12" s="1"/>
  <c r="S168" i="17" s="1"/>
  <c r="Z158" i="12"/>
  <c r="AR158" i="12" s="1"/>
  <c r="R168" i="17" s="1"/>
  <c r="AX157" i="12"/>
  <c r="X167" i="17" s="1"/>
  <c r="AW157" i="12"/>
  <c r="W167" i="17" s="1"/>
  <c r="AU157" i="12"/>
  <c r="U167" i="17" s="1"/>
  <c r="AT157" i="12"/>
  <c r="T167" i="17" s="1"/>
  <c r="AP157" i="12"/>
  <c r="P167" i="17" s="1"/>
  <c r="AO157" i="12"/>
  <c r="O167" i="17" s="1"/>
  <c r="AN157" i="12"/>
  <c r="N167" i="17" s="1"/>
  <c r="AM157" i="12"/>
  <c r="M167" i="17" s="1"/>
  <c r="AL157" i="12"/>
  <c r="L167" i="17" s="1"/>
  <c r="AK157" i="12"/>
  <c r="K167" i="17" s="1"/>
  <c r="AJ157" i="12"/>
  <c r="AA157" i="12"/>
  <c r="AS157" i="12" s="1"/>
  <c r="S167" i="17" s="1"/>
  <c r="Z157" i="12"/>
  <c r="AR157" i="12" s="1"/>
  <c r="R167" i="17" s="1"/>
  <c r="AX156" i="12"/>
  <c r="X166" i="17" s="1"/>
  <c r="AW156" i="12"/>
  <c r="W166" i="17" s="1"/>
  <c r="AU156" i="12"/>
  <c r="U166" i="17" s="1"/>
  <c r="AT156" i="12"/>
  <c r="T166" i="17" s="1"/>
  <c r="AP156" i="12"/>
  <c r="P166" i="17" s="1"/>
  <c r="AO156" i="12"/>
  <c r="O166" i="17" s="1"/>
  <c r="AN156" i="12"/>
  <c r="N166" i="17" s="1"/>
  <c r="AM156" i="12"/>
  <c r="M166" i="17" s="1"/>
  <c r="AL156" i="12"/>
  <c r="L166" i="17" s="1"/>
  <c r="AK156" i="12"/>
  <c r="K166" i="17" s="1"/>
  <c r="AJ156" i="12"/>
  <c r="AA156" i="12"/>
  <c r="AS156" i="12" s="1"/>
  <c r="S166" i="17" s="1"/>
  <c r="Z156" i="12"/>
  <c r="AR156" i="12" s="1"/>
  <c r="R166" i="17" s="1"/>
  <c r="AX155" i="12"/>
  <c r="X165" i="17" s="1"/>
  <c r="AW155" i="12"/>
  <c r="W165" i="17" s="1"/>
  <c r="AU155" i="12"/>
  <c r="U165" i="17" s="1"/>
  <c r="AT155" i="12"/>
  <c r="T165" i="17" s="1"/>
  <c r="AP155" i="12"/>
  <c r="P165" i="17" s="1"/>
  <c r="AO155" i="12"/>
  <c r="O165" i="17" s="1"/>
  <c r="AN155" i="12"/>
  <c r="N165" i="17" s="1"/>
  <c r="AM155" i="12"/>
  <c r="M165" i="17" s="1"/>
  <c r="AL155" i="12"/>
  <c r="L165" i="17" s="1"/>
  <c r="AK155" i="12"/>
  <c r="K165" i="17" s="1"/>
  <c r="AJ155" i="12"/>
  <c r="J165" i="17" s="1"/>
  <c r="AA155" i="12"/>
  <c r="AS155" i="12" s="1"/>
  <c r="S165" i="17" s="1"/>
  <c r="Z155" i="12"/>
  <c r="AR155" i="12" s="1"/>
  <c r="R165" i="17" s="1"/>
  <c r="AX154" i="12"/>
  <c r="X164" i="17" s="1"/>
  <c r="AW154" i="12"/>
  <c r="W164" i="17" s="1"/>
  <c r="AU154" i="12"/>
  <c r="U164" i="17" s="1"/>
  <c r="AT154" i="12"/>
  <c r="T164" i="17" s="1"/>
  <c r="AP154" i="12"/>
  <c r="P164" i="17" s="1"/>
  <c r="AO154" i="12"/>
  <c r="O164" i="17" s="1"/>
  <c r="AN154" i="12"/>
  <c r="N164" i="17" s="1"/>
  <c r="AM154" i="12"/>
  <c r="M164" i="17" s="1"/>
  <c r="AL154" i="12"/>
  <c r="L164" i="17" s="1"/>
  <c r="AK154" i="12"/>
  <c r="K164" i="17" s="1"/>
  <c r="AJ154" i="12"/>
  <c r="J164" i="17" s="1"/>
  <c r="AA154" i="12"/>
  <c r="AS154" i="12" s="1"/>
  <c r="S164" i="17" s="1"/>
  <c r="Z154" i="12"/>
  <c r="AR154" i="12" s="1"/>
  <c r="R164" i="17" s="1"/>
  <c r="AX153" i="12"/>
  <c r="X163" i="17" s="1"/>
  <c r="AW153" i="12"/>
  <c r="W163" i="17" s="1"/>
  <c r="AU153" i="12"/>
  <c r="U163" i="17" s="1"/>
  <c r="AT153" i="12"/>
  <c r="T163" i="17" s="1"/>
  <c r="AP153" i="12"/>
  <c r="P163" i="17" s="1"/>
  <c r="AO153" i="12"/>
  <c r="O163" i="17" s="1"/>
  <c r="AN153" i="12"/>
  <c r="N163" i="17" s="1"/>
  <c r="AM153" i="12"/>
  <c r="M163" i="17" s="1"/>
  <c r="AL153" i="12"/>
  <c r="L163" i="17" s="1"/>
  <c r="AK153" i="12"/>
  <c r="K163" i="17" s="1"/>
  <c r="AJ153" i="12"/>
  <c r="AA153" i="12"/>
  <c r="AS153" i="12" s="1"/>
  <c r="S163" i="17" s="1"/>
  <c r="Z153" i="12"/>
  <c r="AR153" i="12" s="1"/>
  <c r="R163" i="17" s="1"/>
  <c r="AX152" i="12"/>
  <c r="X162" i="17" s="1"/>
  <c r="AW152" i="12"/>
  <c r="W162" i="17" s="1"/>
  <c r="AU152" i="12"/>
  <c r="U162" i="17" s="1"/>
  <c r="AT152" i="12"/>
  <c r="T162" i="17" s="1"/>
  <c r="AP152" i="12"/>
  <c r="P162" i="17" s="1"/>
  <c r="AO152" i="12"/>
  <c r="O162" i="17" s="1"/>
  <c r="AN152" i="12"/>
  <c r="N162" i="17" s="1"/>
  <c r="AM152" i="12"/>
  <c r="M162" i="17" s="1"/>
  <c r="AL152" i="12"/>
  <c r="L162" i="17" s="1"/>
  <c r="AK152" i="12"/>
  <c r="K162" i="17" s="1"/>
  <c r="AJ152" i="12"/>
  <c r="J162" i="17" s="1"/>
  <c r="AA152" i="12"/>
  <c r="AS152" i="12" s="1"/>
  <c r="S162" i="17" s="1"/>
  <c r="Z152" i="12"/>
  <c r="AR152" i="12" s="1"/>
  <c r="R162" i="17" s="1"/>
  <c r="AX151" i="12"/>
  <c r="X161" i="17" s="1"/>
  <c r="AW151" i="12"/>
  <c r="W161" i="17" s="1"/>
  <c r="AU151" i="12"/>
  <c r="U161" i="17" s="1"/>
  <c r="AT151" i="12"/>
  <c r="T161" i="17" s="1"/>
  <c r="AP151" i="12"/>
  <c r="P161" i="17" s="1"/>
  <c r="AO151" i="12"/>
  <c r="O161" i="17" s="1"/>
  <c r="AN151" i="12"/>
  <c r="N161" i="17" s="1"/>
  <c r="AM151" i="12"/>
  <c r="M161" i="17" s="1"/>
  <c r="AL151" i="12"/>
  <c r="L161" i="17" s="1"/>
  <c r="AK151" i="12"/>
  <c r="K161" i="17" s="1"/>
  <c r="AJ151" i="12"/>
  <c r="J161" i="17" s="1"/>
  <c r="AA151" i="12"/>
  <c r="AS151" i="12" s="1"/>
  <c r="S161" i="17" s="1"/>
  <c r="Z151" i="12"/>
  <c r="AR151" i="12" s="1"/>
  <c r="R161" i="17" s="1"/>
  <c r="AX150" i="12"/>
  <c r="X160" i="17" s="1"/>
  <c r="AW150" i="12"/>
  <c r="W160" i="17" s="1"/>
  <c r="AU150" i="12"/>
  <c r="U160" i="17" s="1"/>
  <c r="AT150" i="12"/>
  <c r="T160" i="17" s="1"/>
  <c r="AP150" i="12"/>
  <c r="P160" i="17" s="1"/>
  <c r="AO150" i="12"/>
  <c r="O160" i="17" s="1"/>
  <c r="AN150" i="12"/>
  <c r="N160" i="17" s="1"/>
  <c r="AM150" i="12"/>
  <c r="M160" i="17" s="1"/>
  <c r="AL150" i="12"/>
  <c r="L160" i="17" s="1"/>
  <c r="AK150" i="12"/>
  <c r="K160" i="17" s="1"/>
  <c r="AJ150" i="12"/>
  <c r="J160" i="17" s="1"/>
  <c r="AA150" i="12"/>
  <c r="AS150" i="12" s="1"/>
  <c r="S160" i="17" s="1"/>
  <c r="Z150" i="12"/>
  <c r="AR150" i="12" s="1"/>
  <c r="R160" i="17" s="1"/>
  <c r="AX149" i="12"/>
  <c r="X159" i="17" s="1"/>
  <c r="AW149" i="12"/>
  <c r="W159" i="17" s="1"/>
  <c r="AU149" i="12"/>
  <c r="U159" i="17" s="1"/>
  <c r="AT149" i="12"/>
  <c r="T159" i="17" s="1"/>
  <c r="AP149" i="12"/>
  <c r="P159" i="17" s="1"/>
  <c r="AO149" i="12"/>
  <c r="O159" i="17" s="1"/>
  <c r="AN149" i="12"/>
  <c r="N159" i="17" s="1"/>
  <c r="AM149" i="12"/>
  <c r="M159" i="17" s="1"/>
  <c r="AL149" i="12"/>
  <c r="L159" i="17" s="1"/>
  <c r="AK149" i="12"/>
  <c r="K159" i="17" s="1"/>
  <c r="AJ149" i="12"/>
  <c r="AA149" i="12"/>
  <c r="AS149" i="12" s="1"/>
  <c r="S159" i="17" s="1"/>
  <c r="Z149" i="12"/>
  <c r="AR149" i="12" s="1"/>
  <c r="R159" i="17" s="1"/>
  <c r="AX148" i="12"/>
  <c r="X158" i="17" s="1"/>
  <c r="AW148" i="12"/>
  <c r="W158" i="17" s="1"/>
  <c r="AU148" i="12"/>
  <c r="U158" i="17" s="1"/>
  <c r="AT148" i="12"/>
  <c r="T158" i="17" s="1"/>
  <c r="AP148" i="12"/>
  <c r="P158" i="17" s="1"/>
  <c r="AO148" i="12"/>
  <c r="O158" i="17" s="1"/>
  <c r="AN148" i="12"/>
  <c r="N158" i="17" s="1"/>
  <c r="AM148" i="12"/>
  <c r="M158" i="17" s="1"/>
  <c r="AL148" i="12"/>
  <c r="L158" i="17" s="1"/>
  <c r="AK148" i="12"/>
  <c r="K158" i="17" s="1"/>
  <c r="AJ148" i="12"/>
  <c r="AA148" i="12"/>
  <c r="AS148" i="12" s="1"/>
  <c r="S158" i="17" s="1"/>
  <c r="Z148" i="12"/>
  <c r="AR148" i="12" s="1"/>
  <c r="R158" i="17" s="1"/>
  <c r="AX147" i="12"/>
  <c r="X156" i="17" s="1"/>
  <c r="AW147" i="12"/>
  <c r="W156" i="17" s="1"/>
  <c r="AU147" i="12"/>
  <c r="U156" i="17" s="1"/>
  <c r="AT147" i="12"/>
  <c r="T156" i="17" s="1"/>
  <c r="AP147" i="12"/>
  <c r="P156" i="17" s="1"/>
  <c r="AO147" i="12"/>
  <c r="O156" i="17" s="1"/>
  <c r="AN147" i="12"/>
  <c r="N156" i="17" s="1"/>
  <c r="AM147" i="12"/>
  <c r="M156" i="17" s="1"/>
  <c r="AL147" i="12"/>
  <c r="L156" i="17" s="1"/>
  <c r="AK147" i="12"/>
  <c r="K156" i="17" s="1"/>
  <c r="AJ147" i="12"/>
  <c r="J156" i="17" s="1"/>
  <c r="AA147" i="12"/>
  <c r="AS147" i="12" s="1"/>
  <c r="S156" i="17" s="1"/>
  <c r="Z147" i="12"/>
  <c r="AR147" i="12" s="1"/>
  <c r="R156" i="17" s="1"/>
  <c r="AX146" i="12"/>
  <c r="X155" i="17" s="1"/>
  <c r="AW146" i="12"/>
  <c r="W155" i="17" s="1"/>
  <c r="AU146" i="12"/>
  <c r="U155" i="17" s="1"/>
  <c r="AT146" i="12"/>
  <c r="T155" i="17" s="1"/>
  <c r="AP146" i="12"/>
  <c r="P155" i="17" s="1"/>
  <c r="AO146" i="12"/>
  <c r="O155" i="17" s="1"/>
  <c r="AN146" i="12"/>
  <c r="N155" i="17" s="1"/>
  <c r="AM146" i="12"/>
  <c r="M155" i="17" s="1"/>
  <c r="AL146" i="12"/>
  <c r="L155" i="17" s="1"/>
  <c r="AK146" i="12"/>
  <c r="K155" i="17" s="1"/>
  <c r="AJ146" i="12"/>
  <c r="J155" i="17" s="1"/>
  <c r="AA146" i="12"/>
  <c r="AS146" i="12" s="1"/>
  <c r="S155" i="17" s="1"/>
  <c r="Z146" i="12"/>
  <c r="AR146" i="12" s="1"/>
  <c r="R155" i="17" s="1"/>
  <c r="AX145" i="12"/>
  <c r="X153" i="17" s="1"/>
  <c r="AW145" i="12"/>
  <c r="W153" i="17" s="1"/>
  <c r="AU145" i="12"/>
  <c r="U153" i="17" s="1"/>
  <c r="AT145" i="12"/>
  <c r="T153" i="17" s="1"/>
  <c r="AP145" i="12"/>
  <c r="P153" i="17" s="1"/>
  <c r="AO145" i="12"/>
  <c r="O153" i="17" s="1"/>
  <c r="AN145" i="12"/>
  <c r="N153" i="17" s="1"/>
  <c r="AM145" i="12"/>
  <c r="M153" i="17" s="1"/>
  <c r="AL145" i="12"/>
  <c r="L153" i="17" s="1"/>
  <c r="AK145" i="12"/>
  <c r="K153" i="17" s="1"/>
  <c r="AJ145" i="12"/>
  <c r="J153" i="17" s="1"/>
  <c r="AA145" i="12"/>
  <c r="AS145" i="12" s="1"/>
  <c r="S153" i="17" s="1"/>
  <c r="Z145" i="12"/>
  <c r="AR145" i="12" s="1"/>
  <c r="R153" i="17" s="1"/>
  <c r="AX144" i="12"/>
  <c r="X152" i="17" s="1"/>
  <c r="AW144" i="12"/>
  <c r="W152" i="17" s="1"/>
  <c r="AU144" i="12"/>
  <c r="U152" i="17" s="1"/>
  <c r="AT144" i="12"/>
  <c r="T152" i="17" s="1"/>
  <c r="AP144" i="12"/>
  <c r="P152" i="17" s="1"/>
  <c r="AO144" i="12"/>
  <c r="O152" i="17" s="1"/>
  <c r="AN144" i="12"/>
  <c r="N152" i="17" s="1"/>
  <c r="AM144" i="12"/>
  <c r="M152" i="17" s="1"/>
  <c r="AL144" i="12"/>
  <c r="L152" i="17" s="1"/>
  <c r="AK144" i="12"/>
  <c r="K152" i="17" s="1"/>
  <c r="AJ144" i="12"/>
  <c r="AA144" i="12"/>
  <c r="AS144" i="12" s="1"/>
  <c r="S152" i="17" s="1"/>
  <c r="Z144" i="12"/>
  <c r="AR144" i="12" s="1"/>
  <c r="R152" i="17" s="1"/>
  <c r="AX143" i="12"/>
  <c r="X151" i="17" s="1"/>
  <c r="AW143" i="12"/>
  <c r="W151" i="17" s="1"/>
  <c r="AU143" i="12"/>
  <c r="U151" i="17" s="1"/>
  <c r="AT143" i="12"/>
  <c r="T151" i="17" s="1"/>
  <c r="AP143" i="12"/>
  <c r="P151" i="17" s="1"/>
  <c r="AO143" i="12"/>
  <c r="O151" i="17" s="1"/>
  <c r="AN143" i="12"/>
  <c r="N151" i="17" s="1"/>
  <c r="AM143" i="12"/>
  <c r="M151" i="17" s="1"/>
  <c r="AL143" i="12"/>
  <c r="L151" i="17" s="1"/>
  <c r="AK143" i="12"/>
  <c r="K151" i="17" s="1"/>
  <c r="AJ143" i="12"/>
  <c r="J151" i="17" s="1"/>
  <c r="AA143" i="12"/>
  <c r="AS143" i="12" s="1"/>
  <c r="S151" i="17" s="1"/>
  <c r="Z143" i="12"/>
  <c r="AR143" i="12" s="1"/>
  <c r="R151" i="17" s="1"/>
  <c r="AX142" i="12"/>
  <c r="X150" i="17" s="1"/>
  <c r="AW142" i="12"/>
  <c r="W150" i="17" s="1"/>
  <c r="AU142" i="12"/>
  <c r="U150" i="17" s="1"/>
  <c r="AT142" i="12"/>
  <c r="T150" i="17" s="1"/>
  <c r="AP142" i="12"/>
  <c r="P150" i="17" s="1"/>
  <c r="AO142" i="12"/>
  <c r="O150" i="17" s="1"/>
  <c r="AN142" i="12"/>
  <c r="N150" i="17" s="1"/>
  <c r="AM142" i="12"/>
  <c r="M150" i="17" s="1"/>
  <c r="AL142" i="12"/>
  <c r="L150" i="17" s="1"/>
  <c r="AK142" i="12"/>
  <c r="K150" i="17" s="1"/>
  <c r="AJ142" i="12"/>
  <c r="J150" i="17" s="1"/>
  <c r="AA142" i="12"/>
  <c r="AS142" i="12" s="1"/>
  <c r="S150" i="17" s="1"/>
  <c r="Z142" i="12"/>
  <c r="AR142" i="12" s="1"/>
  <c r="R150" i="17" s="1"/>
  <c r="AX141" i="12"/>
  <c r="X148" i="17" s="1"/>
  <c r="AW141" i="12"/>
  <c r="W148" i="17" s="1"/>
  <c r="AU141" i="12"/>
  <c r="U148" i="17" s="1"/>
  <c r="AT141" i="12"/>
  <c r="T148" i="17" s="1"/>
  <c r="AP141" i="12"/>
  <c r="P148" i="17" s="1"/>
  <c r="AO141" i="12"/>
  <c r="O148" i="17" s="1"/>
  <c r="AN141" i="12"/>
  <c r="N148" i="17" s="1"/>
  <c r="AM141" i="12"/>
  <c r="M148" i="17" s="1"/>
  <c r="AL141" i="12"/>
  <c r="L148" i="17" s="1"/>
  <c r="AK141" i="12"/>
  <c r="K148" i="17" s="1"/>
  <c r="AJ141" i="12"/>
  <c r="AA141" i="12"/>
  <c r="AS141" i="12" s="1"/>
  <c r="S148" i="17" s="1"/>
  <c r="Z141" i="12"/>
  <c r="AR141" i="12" s="1"/>
  <c r="R148" i="17" s="1"/>
  <c r="AX140" i="12"/>
  <c r="X147" i="17" s="1"/>
  <c r="AW140" i="12"/>
  <c r="W147" i="17" s="1"/>
  <c r="AU140" i="12"/>
  <c r="U147" i="17" s="1"/>
  <c r="AT140" i="12"/>
  <c r="T147" i="17" s="1"/>
  <c r="AR140" i="12"/>
  <c r="R147" i="17" s="1"/>
  <c r="AP140" i="12"/>
  <c r="P147" i="17" s="1"/>
  <c r="AO140" i="12"/>
  <c r="O147" i="17" s="1"/>
  <c r="AN140" i="12"/>
  <c r="N147" i="17" s="1"/>
  <c r="AM140" i="12"/>
  <c r="M147" i="17" s="1"/>
  <c r="AL140" i="12"/>
  <c r="L147" i="17" s="1"/>
  <c r="AK140" i="12"/>
  <c r="K147" i="17" s="1"/>
  <c r="AJ140" i="12"/>
  <c r="J147" i="17" s="1"/>
  <c r="AA140" i="12"/>
  <c r="AS140" i="12" s="1"/>
  <c r="S147" i="17" s="1"/>
  <c r="AX139" i="12"/>
  <c r="X146" i="17" s="1"/>
  <c r="AW139" i="12"/>
  <c r="W146" i="17" s="1"/>
  <c r="AU139" i="12"/>
  <c r="U146" i="17" s="1"/>
  <c r="AT139" i="12"/>
  <c r="T146" i="17" s="1"/>
  <c r="AP139" i="12"/>
  <c r="P146" i="17" s="1"/>
  <c r="AO139" i="12"/>
  <c r="O146" i="17" s="1"/>
  <c r="AN139" i="12"/>
  <c r="N146" i="17" s="1"/>
  <c r="AM139" i="12"/>
  <c r="M146" i="17" s="1"/>
  <c r="AL139" i="12"/>
  <c r="L146" i="17" s="1"/>
  <c r="AK139" i="12"/>
  <c r="K146" i="17" s="1"/>
  <c r="AJ139" i="12"/>
  <c r="AA139" i="12"/>
  <c r="AS139" i="12" s="1"/>
  <c r="S146" i="17" s="1"/>
  <c r="Z139" i="12"/>
  <c r="AR139" i="12" s="1"/>
  <c r="R146" i="17" s="1"/>
  <c r="AX138" i="12"/>
  <c r="X144" i="17" s="1"/>
  <c r="AW138" i="12"/>
  <c r="W144" i="17" s="1"/>
  <c r="AU138" i="12"/>
  <c r="U144" i="17" s="1"/>
  <c r="AT138" i="12"/>
  <c r="T144" i="17" s="1"/>
  <c r="AP138" i="12"/>
  <c r="P144" i="17" s="1"/>
  <c r="AO138" i="12"/>
  <c r="O144" i="17" s="1"/>
  <c r="AN138" i="12"/>
  <c r="N144" i="17" s="1"/>
  <c r="AM138" i="12"/>
  <c r="M144" i="17" s="1"/>
  <c r="AL138" i="12"/>
  <c r="L144" i="17" s="1"/>
  <c r="AK138" i="12"/>
  <c r="K144" i="17" s="1"/>
  <c r="AJ138" i="12"/>
  <c r="AA138" i="12"/>
  <c r="AS138" i="12" s="1"/>
  <c r="S144" i="17" s="1"/>
  <c r="Z138" i="12"/>
  <c r="AR138" i="12" s="1"/>
  <c r="R144" i="17" s="1"/>
  <c r="AX137" i="12"/>
  <c r="X143" i="17" s="1"/>
  <c r="AW137" i="12"/>
  <c r="W143" i="17" s="1"/>
  <c r="AU137" i="12"/>
  <c r="U143" i="17" s="1"/>
  <c r="AT137" i="12"/>
  <c r="T143" i="17" s="1"/>
  <c r="AP137" i="12"/>
  <c r="P143" i="17" s="1"/>
  <c r="AO137" i="12"/>
  <c r="O143" i="17" s="1"/>
  <c r="AN137" i="12"/>
  <c r="N143" i="17" s="1"/>
  <c r="AM137" i="12"/>
  <c r="M143" i="17" s="1"/>
  <c r="AL137" i="12"/>
  <c r="L143" i="17" s="1"/>
  <c r="AK137" i="12"/>
  <c r="K143" i="17" s="1"/>
  <c r="AJ137" i="12"/>
  <c r="AA137" i="12"/>
  <c r="AS137" i="12" s="1"/>
  <c r="S143" i="17" s="1"/>
  <c r="Z137" i="12"/>
  <c r="AR137" i="12" s="1"/>
  <c r="R143" i="17" s="1"/>
  <c r="AX136" i="12"/>
  <c r="X142" i="17" s="1"/>
  <c r="AW136" i="12"/>
  <c r="W142" i="17" s="1"/>
  <c r="AU136" i="12"/>
  <c r="U142" i="17" s="1"/>
  <c r="AT136" i="12"/>
  <c r="T142" i="17" s="1"/>
  <c r="AP136" i="12"/>
  <c r="P142" i="17" s="1"/>
  <c r="AO136" i="12"/>
  <c r="O142" i="17" s="1"/>
  <c r="AN136" i="12"/>
  <c r="N142" i="17" s="1"/>
  <c r="AM136" i="12"/>
  <c r="M142" i="17" s="1"/>
  <c r="AL136" i="12"/>
  <c r="L142" i="17" s="1"/>
  <c r="AK136" i="12"/>
  <c r="K142" i="17" s="1"/>
  <c r="AJ136" i="12"/>
  <c r="J142" i="17" s="1"/>
  <c r="AA136" i="12"/>
  <c r="AS136" i="12" s="1"/>
  <c r="S142" i="17" s="1"/>
  <c r="Z136" i="12"/>
  <c r="AR136" i="12" s="1"/>
  <c r="R142" i="17" s="1"/>
  <c r="AX135" i="12"/>
  <c r="X141" i="17" s="1"/>
  <c r="AW135" i="12"/>
  <c r="W141" i="17" s="1"/>
  <c r="AU135" i="12"/>
  <c r="U141" i="17" s="1"/>
  <c r="AT135" i="12"/>
  <c r="T141" i="17" s="1"/>
  <c r="AP135" i="12"/>
  <c r="P141" i="17" s="1"/>
  <c r="AO135" i="12"/>
  <c r="O141" i="17" s="1"/>
  <c r="AN135" i="12"/>
  <c r="N141" i="17" s="1"/>
  <c r="AM135" i="12"/>
  <c r="M141" i="17" s="1"/>
  <c r="AL135" i="12"/>
  <c r="L141" i="17" s="1"/>
  <c r="AK135" i="12"/>
  <c r="K141" i="17" s="1"/>
  <c r="AJ135" i="12"/>
  <c r="AA135" i="12"/>
  <c r="AS135" i="12" s="1"/>
  <c r="S141" i="17" s="1"/>
  <c r="Z135" i="12"/>
  <c r="AR135" i="12" s="1"/>
  <c r="R141" i="17" s="1"/>
  <c r="AX134" i="12"/>
  <c r="X140" i="17" s="1"/>
  <c r="AW134" i="12"/>
  <c r="W140" i="17" s="1"/>
  <c r="AU134" i="12"/>
  <c r="U140" i="17" s="1"/>
  <c r="AT134" i="12"/>
  <c r="T140" i="17" s="1"/>
  <c r="AP134" i="12"/>
  <c r="P140" i="17" s="1"/>
  <c r="AO134" i="12"/>
  <c r="O140" i="17" s="1"/>
  <c r="AN134" i="12"/>
  <c r="N140" i="17" s="1"/>
  <c r="AM134" i="12"/>
  <c r="M140" i="17" s="1"/>
  <c r="AL134" i="12"/>
  <c r="L140" i="17" s="1"/>
  <c r="AK134" i="12"/>
  <c r="K140" i="17" s="1"/>
  <c r="AJ134" i="12"/>
  <c r="AA134" i="12"/>
  <c r="AS134" i="12" s="1"/>
  <c r="S140" i="17" s="1"/>
  <c r="Z134" i="12"/>
  <c r="AR134" i="12" s="1"/>
  <c r="R140" i="17" s="1"/>
  <c r="AX133" i="12"/>
  <c r="X139" i="17" s="1"/>
  <c r="AW133" i="12"/>
  <c r="W139" i="17" s="1"/>
  <c r="AU133" i="12"/>
  <c r="U139" i="17" s="1"/>
  <c r="AT133" i="12"/>
  <c r="T139" i="17" s="1"/>
  <c r="AP133" i="12"/>
  <c r="P139" i="17" s="1"/>
  <c r="AO133" i="12"/>
  <c r="O139" i="17" s="1"/>
  <c r="AN133" i="12"/>
  <c r="N139" i="17" s="1"/>
  <c r="AM133" i="12"/>
  <c r="M139" i="17" s="1"/>
  <c r="AL133" i="12"/>
  <c r="L139" i="17" s="1"/>
  <c r="AK133" i="12"/>
  <c r="K139" i="17" s="1"/>
  <c r="AJ133" i="12"/>
  <c r="AA133" i="12"/>
  <c r="AS133" i="12" s="1"/>
  <c r="S139" i="17" s="1"/>
  <c r="Z133" i="12"/>
  <c r="AR133" i="12" s="1"/>
  <c r="R139" i="17" s="1"/>
  <c r="AX132" i="12"/>
  <c r="X138" i="17" s="1"/>
  <c r="AW132" i="12"/>
  <c r="W138" i="17" s="1"/>
  <c r="AU132" i="12"/>
  <c r="U138" i="17" s="1"/>
  <c r="AT132" i="12"/>
  <c r="T138" i="17" s="1"/>
  <c r="AP132" i="12"/>
  <c r="P138" i="17" s="1"/>
  <c r="AO132" i="12"/>
  <c r="O138" i="17" s="1"/>
  <c r="AN132" i="12"/>
  <c r="N138" i="17" s="1"/>
  <c r="AM132" i="12"/>
  <c r="M138" i="17" s="1"/>
  <c r="AL132" i="12"/>
  <c r="L138" i="17" s="1"/>
  <c r="AK132" i="12"/>
  <c r="K138" i="17" s="1"/>
  <c r="AJ132" i="12"/>
  <c r="J138" i="17" s="1"/>
  <c r="AA132" i="12"/>
  <c r="AS132" i="12" s="1"/>
  <c r="S138" i="17" s="1"/>
  <c r="Z132" i="12"/>
  <c r="AR132" i="12" s="1"/>
  <c r="R138" i="17" s="1"/>
  <c r="AX131" i="12"/>
  <c r="X137" i="17" s="1"/>
  <c r="AW131" i="12"/>
  <c r="W137" i="17" s="1"/>
  <c r="AU131" i="12"/>
  <c r="U137" i="17" s="1"/>
  <c r="AT131" i="12"/>
  <c r="T137" i="17" s="1"/>
  <c r="AP131" i="12"/>
  <c r="P137" i="17" s="1"/>
  <c r="AO131" i="12"/>
  <c r="O137" i="17" s="1"/>
  <c r="AN131" i="12"/>
  <c r="N137" i="17" s="1"/>
  <c r="AM131" i="12"/>
  <c r="M137" i="17" s="1"/>
  <c r="AL131" i="12"/>
  <c r="L137" i="17" s="1"/>
  <c r="AK131" i="12"/>
  <c r="K137" i="17" s="1"/>
  <c r="AJ131" i="12"/>
  <c r="AA131" i="12"/>
  <c r="AS131" i="12" s="1"/>
  <c r="S137" i="17" s="1"/>
  <c r="Z131" i="12"/>
  <c r="AR131" i="12" s="1"/>
  <c r="R137" i="17" s="1"/>
  <c r="AX130" i="12"/>
  <c r="X136" i="17" s="1"/>
  <c r="AW130" i="12"/>
  <c r="W136" i="17" s="1"/>
  <c r="AU130" i="12"/>
  <c r="U136" i="17" s="1"/>
  <c r="AT130" i="12"/>
  <c r="T136" i="17" s="1"/>
  <c r="AP130" i="12"/>
  <c r="P136" i="17" s="1"/>
  <c r="AO130" i="12"/>
  <c r="O136" i="17" s="1"/>
  <c r="AN130" i="12"/>
  <c r="N136" i="17" s="1"/>
  <c r="AM130" i="12"/>
  <c r="M136" i="17" s="1"/>
  <c r="AL130" i="12"/>
  <c r="L136" i="17" s="1"/>
  <c r="AK130" i="12"/>
  <c r="K136" i="17" s="1"/>
  <c r="AJ130" i="12"/>
  <c r="AA130" i="12"/>
  <c r="AS130" i="12" s="1"/>
  <c r="S136" i="17" s="1"/>
  <c r="Z130" i="12"/>
  <c r="AR130" i="12" s="1"/>
  <c r="R136" i="17" s="1"/>
  <c r="AX129" i="12"/>
  <c r="X135" i="17" s="1"/>
  <c r="AW129" i="12"/>
  <c r="W135" i="17" s="1"/>
  <c r="AU129" i="12"/>
  <c r="U135" i="17" s="1"/>
  <c r="AT129" i="12"/>
  <c r="T135" i="17" s="1"/>
  <c r="AP129" i="12"/>
  <c r="P135" i="17" s="1"/>
  <c r="AO129" i="12"/>
  <c r="O135" i="17" s="1"/>
  <c r="AN129" i="12"/>
  <c r="N135" i="17" s="1"/>
  <c r="AM129" i="12"/>
  <c r="M135" i="17" s="1"/>
  <c r="AL129" i="12"/>
  <c r="L135" i="17" s="1"/>
  <c r="AK129" i="12"/>
  <c r="K135" i="17" s="1"/>
  <c r="AJ129" i="12"/>
  <c r="AA129" i="12"/>
  <c r="AS129" i="12" s="1"/>
  <c r="S135" i="17" s="1"/>
  <c r="Z129" i="12"/>
  <c r="AR129" i="12" s="1"/>
  <c r="R135" i="17" s="1"/>
  <c r="AX128" i="12"/>
  <c r="X134" i="17" s="1"/>
  <c r="AW128" i="12"/>
  <c r="W134" i="17" s="1"/>
  <c r="AU128" i="12"/>
  <c r="U134" i="17" s="1"/>
  <c r="AT128" i="12"/>
  <c r="T134" i="17" s="1"/>
  <c r="AP128" i="12"/>
  <c r="P134" i="17" s="1"/>
  <c r="AO128" i="12"/>
  <c r="O134" i="17" s="1"/>
  <c r="AN128" i="12"/>
  <c r="N134" i="17" s="1"/>
  <c r="AM128" i="12"/>
  <c r="M134" i="17" s="1"/>
  <c r="AL128" i="12"/>
  <c r="L134" i="17" s="1"/>
  <c r="AK128" i="12"/>
  <c r="K134" i="17" s="1"/>
  <c r="AJ128" i="12"/>
  <c r="J134" i="17" s="1"/>
  <c r="AA128" i="12"/>
  <c r="AS128" i="12" s="1"/>
  <c r="S134" i="17" s="1"/>
  <c r="Z128" i="12"/>
  <c r="AR128" i="12" s="1"/>
  <c r="R134" i="17" s="1"/>
  <c r="AX127" i="12"/>
  <c r="X133" i="17" s="1"/>
  <c r="AW127" i="12"/>
  <c r="W133" i="17" s="1"/>
  <c r="AU127" i="12"/>
  <c r="U133" i="17" s="1"/>
  <c r="AT127" i="12"/>
  <c r="T133" i="17" s="1"/>
  <c r="AP127" i="12"/>
  <c r="P133" i="17" s="1"/>
  <c r="AO127" i="12"/>
  <c r="O133" i="17" s="1"/>
  <c r="AN127" i="12"/>
  <c r="N133" i="17" s="1"/>
  <c r="AM127" i="12"/>
  <c r="M133" i="17" s="1"/>
  <c r="AL127" i="12"/>
  <c r="L133" i="17" s="1"/>
  <c r="AK127" i="12"/>
  <c r="K133" i="17" s="1"/>
  <c r="AJ127" i="12"/>
  <c r="AA127" i="12"/>
  <c r="AS127" i="12" s="1"/>
  <c r="S133" i="17" s="1"/>
  <c r="Z127" i="12"/>
  <c r="AR127" i="12" s="1"/>
  <c r="R133" i="17" s="1"/>
  <c r="AX126" i="12"/>
  <c r="X132" i="17" s="1"/>
  <c r="AW126" i="12"/>
  <c r="W132" i="17" s="1"/>
  <c r="AU126" i="12"/>
  <c r="U132" i="17" s="1"/>
  <c r="AT126" i="12"/>
  <c r="T132" i="17" s="1"/>
  <c r="AP126" i="12"/>
  <c r="P132" i="17" s="1"/>
  <c r="AO126" i="12"/>
  <c r="O132" i="17" s="1"/>
  <c r="AN126" i="12"/>
  <c r="N132" i="17" s="1"/>
  <c r="AM126" i="12"/>
  <c r="M132" i="17" s="1"/>
  <c r="AL126" i="12"/>
  <c r="L132" i="17" s="1"/>
  <c r="AK126" i="12"/>
  <c r="K132" i="17" s="1"/>
  <c r="AJ126" i="12"/>
  <c r="AA126" i="12"/>
  <c r="AS126" i="12" s="1"/>
  <c r="S132" i="17" s="1"/>
  <c r="Z126" i="12"/>
  <c r="AR126" i="12" s="1"/>
  <c r="R132" i="17" s="1"/>
  <c r="AX125" i="12"/>
  <c r="X131" i="17" s="1"/>
  <c r="AW125" i="12"/>
  <c r="W131" i="17" s="1"/>
  <c r="AU125" i="12"/>
  <c r="U131" i="17" s="1"/>
  <c r="AT125" i="12"/>
  <c r="T131" i="17" s="1"/>
  <c r="AP125" i="12"/>
  <c r="P131" i="17" s="1"/>
  <c r="AO125" i="12"/>
  <c r="O131" i="17" s="1"/>
  <c r="AN125" i="12"/>
  <c r="N131" i="17" s="1"/>
  <c r="AM125" i="12"/>
  <c r="M131" i="17" s="1"/>
  <c r="AL125" i="12"/>
  <c r="L131" i="17" s="1"/>
  <c r="AK125" i="12"/>
  <c r="K131" i="17" s="1"/>
  <c r="AJ125" i="12"/>
  <c r="AA125" i="12"/>
  <c r="AS125" i="12" s="1"/>
  <c r="S131" i="17" s="1"/>
  <c r="Z125" i="12"/>
  <c r="AR125" i="12" s="1"/>
  <c r="R131" i="17" s="1"/>
  <c r="AX124" i="12"/>
  <c r="X130" i="17" s="1"/>
  <c r="AW124" i="12"/>
  <c r="W130" i="17" s="1"/>
  <c r="AU124" i="12"/>
  <c r="U130" i="17" s="1"/>
  <c r="AT124" i="12"/>
  <c r="T130" i="17" s="1"/>
  <c r="AP124" i="12"/>
  <c r="P130" i="17" s="1"/>
  <c r="AO124" i="12"/>
  <c r="O130" i="17" s="1"/>
  <c r="AN124" i="12"/>
  <c r="N130" i="17" s="1"/>
  <c r="AM124" i="12"/>
  <c r="M130" i="17" s="1"/>
  <c r="AL124" i="12"/>
  <c r="L130" i="17" s="1"/>
  <c r="AK124" i="12"/>
  <c r="K130" i="17" s="1"/>
  <c r="AJ124" i="12"/>
  <c r="J130" i="17" s="1"/>
  <c r="AA124" i="12"/>
  <c r="AS124" i="12" s="1"/>
  <c r="S130" i="17" s="1"/>
  <c r="Z124" i="12"/>
  <c r="AR124" i="12" s="1"/>
  <c r="R130" i="17" s="1"/>
  <c r="AX123" i="12"/>
  <c r="X129" i="17" s="1"/>
  <c r="AW123" i="12"/>
  <c r="W129" i="17" s="1"/>
  <c r="AU123" i="12"/>
  <c r="U129" i="17" s="1"/>
  <c r="AT123" i="12"/>
  <c r="T129" i="17" s="1"/>
  <c r="AP123" i="12"/>
  <c r="P129" i="17" s="1"/>
  <c r="AO123" i="12"/>
  <c r="O129" i="17" s="1"/>
  <c r="AN123" i="12"/>
  <c r="N129" i="17" s="1"/>
  <c r="AM123" i="12"/>
  <c r="M129" i="17" s="1"/>
  <c r="AL123" i="12"/>
  <c r="L129" i="17" s="1"/>
  <c r="AK123" i="12"/>
  <c r="K129" i="17" s="1"/>
  <c r="AJ123" i="12"/>
  <c r="AA123" i="12"/>
  <c r="AS123" i="12" s="1"/>
  <c r="S129" i="17" s="1"/>
  <c r="Z123" i="12"/>
  <c r="AR123" i="12" s="1"/>
  <c r="R129" i="17" s="1"/>
  <c r="AX122" i="12"/>
  <c r="X128" i="17" s="1"/>
  <c r="AW122" i="12"/>
  <c r="W128" i="17" s="1"/>
  <c r="AU122" i="12"/>
  <c r="U128" i="17" s="1"/>
  <c r="AT122" i="12"/>
  <c r="T128" i="17" s="1"/>
  <c r="AP122" i="12"/>
  <c r="P128" i="17" s="1"/>
  <c r="AO122" i="12"/>
  <c r="O128" i="17" s="1"/>
  <c r="AN122" i="12"/>
  <c r="N128" i="17" s="1"/>
  <c r="AM122" i="12"/>
  <c r="M128" i="17" s="1"/>
  <c r="AL122" i="12"/>
  <c r="L128" i="17" s="1"/>
  <c r="AK122" i="12"/>
  <c r="K128" i="17" s="1"/>
  <c r="AJ122" i="12"/>
  <c r="AA122" i="12"/>
  <c r="AS122" i="12" s="1"/>
  <c r="S128" i="17" s="1"/>
  <c r="Z122" i="12"/>
  <c r="AR122" i="12" s="1"/>
  <c r="R128" i="17" s="1"/>
  <c r="AX121" i="12"/>
  <c r="X127" i="17" s="1"/>
  <c r="AW121" i="12"/>
  <c r="W127" i="17" s="1"/>
  <c r="AU121" i="12"/>
  <c r="U127" i="17" s="1"/>
  <c r="AT121" i="12"/>
  <c r="T127" i="17" s="1"/>
  <c r="AP121" i="12"/>
  <c r="P127" i="17" s="1"/>
  <c r="AO121" i="12"/>
  <c r="O127" i="17" s="1"/>
  <c r="AN121" i="12"/>
  <c r="N127" i="17" s="1"/>
  <c r="AM121" i="12"/>
  <c r="M127" i="17" s="1"/>
  <c r="AL121" i="12"/>
  <c r="L127" i="17" s="1"/>
  <c r="AK121" i="12"/>
  <c r="K127" i="17" s="1"/>
  <c r="AJ121" i="12"/>
  <c r="AA121" i="12"/>
  <c r="AS121" i="12" s="1"/>
  <c r="S127" i="17" s="1"/>
  <c r="Z121" i="12"/>
  <c r="AR121" i="12" s="1"/>
  <c r="R127" i="17" s="1"/>
  <c r="AX120" i="12"/>
  <c r="X126" i="17" s="1"/>
  <c r="AW120" i="12"/>
  <c r="W126" i="17" s="1"/>
  <c r="AU120" i="12"/>
  <c r="U126" i="17" s="1"/>
  <c r="AT120" i="12"/>
  <c r="T126" i="17" s="1"/>
  <c r="AP120" i="12"/>
  <c r="P126" i="17" s="1"/>
  <c r="AO120" i="12"/>
  <c r="O126" i="17" s="1"/>
  <c r="AN120" i="12"/>
  <c r="N126" i="17" s="1"/>
  <c r="AM120" i="12"/>
  <c r="M126" i="17" s="1"/>
  <c r="AL120" i="12"/>
  <c r="L126" i="17" s="1"/>
  <c r="AK120" i="12"/>
  <c r="K126" i="17" s="1"/>
  <c r="AJ120" i="12"/>
  <c r="J126" i="17" s="1"/>
  <c r="AA120" i="12"/>
  <c r="AS120" i="12" s="1"/>
  <c r="S126" i="17" s="1"/>
  <c r="Z120" i="12"/>
  <c r="AR120" i="12" s="1"/>
  <c r="R126" i="17" s="1"/>
  <c r="AX119" i="12"/>
  <c r="X125" i="17" s="1"/>
  <c r="AW119" i="12"/>
  <c r="W125" i="17" s="1"/>
  <c r="AU119" i="12"/>
  <c r="U125" i="17" s="1"/>
  <c r="AT119" i="12"/>
  <c r="T125" i="17" s="1"/>
  <c r="AP119" i="12"/>
  <c r="P125" i="17" s="1"/>
  <c r="AO119" i="12"/>
  <c r="O125" i="17" s="1"/>
  <c r="AN119" i="12"/>
  <c r="N125" i="17" s="1"/>
  <c r="AM119" i="12"/>
  <c r="M125" i="17" s="1"/>
  <c r="AL119" i="12"/>
  <c r="L125" i="17" s="1"/>
  <c r="AK119" i="12"/>
  <c r="K125" i="17" s="1"/>
  <c r="AJ119" i="12"/>
  <c r="AA119" i="12"/>
  <c r="AS119" i="12" s="1"/>
  <c r="S125" i="17" s="1"/>
  <c r="Z119" i="12"/>
  <c r="AR119" i="12" s="1"/>
  <c r="R125" i="17" s="1"/>
  <c r="AX118" i="12"/>
  <c r="X124" i="17" s="1"/>
  <c r="AW118" i="12"/>
  <c r="W124" i="17" s="1"/>
  <c r="AU118" i="12"/>
  <c r="U124" i="17" s="1"/>
  <c r="AT118" i="12"/>
  <c r="T124" i="17" s="1"/>
  <c r="AP118" i="12"/>
  <c r="P124" i="17" s="1"/>
  <c r="AO118" i="12"/>
  <c r="O124" i="17" s="1"/>
  <c r="AN118" i="12"/>
  <c r="N124" i="17" s="1"/>
  <c r="AM118" i="12"/>
  <c r="M124" i="17" s="1"/>
  <c r="AL118" i="12"/>
  <c r="L124" i="17" s="1"/>
  <c r="AK118" i="12"/>
  <c r="K124" i="17" s="1"/>
  <c r="AJ118" i="12"/>
  <c r="AA118" i="12"/>
  <c r="AS118" i="12" s="1"/>
  <c r="S124" i="17" s="1"/>
  <c r="Z118" i="12"/>
  <c r="AR118" i="12" s="1"/>
  <c r="R124" i="17" s="1"/>
  <c r="AX117" i="12"/>
  <c r="X123" i="17" s="1"/>
  <c r="AW117" i="12"/>
  <c r="W123" i="17" s="1"/>
  <c r="AU117" i="12"/>
  <c r="U123" i="17" s="1"/>
  <c r="AT117" i="12"/>
  <c r="T123" i="17" s="1"/>
  <c r="AP117" i="12"/>
  <c r="P123" i="17" s="1"/>
  <c r="AO117" i="12"/>
  <c r="O123" i="17" s="1"/>
  <c r="AN117" i="12"/>
  <c r="N123" i="17" s="1"/>
  <c r="AM117" i="12"/>
  <c r="M123" i="17" s="1"/>
  <c r="AL117" i="12"/>
  <c r="L123" i="17" s="1"/>
  <c r="AK117" i="12"/>
  <c r="K123" i="17" s="1"/>
  <c r="AJ117" i="12"/>
  <c r="AA117" i="12"/>
  <c r="AS117" i="12" s="1"/>
  <c r="S123" i="17" s="1"/>
  <c r="Z117" i="12"/>
  <c r="AR117" i="12" s="1"/>
  <c r="R123" i="17" s="1"/>
  <c r="AX116" i="12"/>
  <c r="X122" i="17" s="1"/>
  <c r="AW116" i="12"/>
  <c r="W122" i="17" s="1"/>
  <c r="AU116" i="12"/>
  <c r="U122" i="17" s="1"/>
  <c r="AT116" i="12"/>
  <c r="T122" i="17" s="1"/>
  <c r="AP116" i="12"/>
  <c r="P122" i="17" s="1"/>
  <c r="AO116" i="12"/>
  <c r="O122" i="17" s="1"/>
  <c r="AN116" i="12"/>
  <c r="N122" i="17" s="1"/>
  <c r="AM116" i="12"/>
  <c r="M122" i="17" s="1"/>
  <c r="AL116" i="12"/>
  <c r="L122" i="17" s="1"/>
  <c r="AK116" i="12"/>
  <c r="K122" i="17" s="1"/>
  <c r="AJ116" i="12"/>
  <c r="J122" i="17" s="1"/>
  <c r="AA116" i="12"/>
  <c r="AS116" i="12" s="1"/>
  <c r="S122" i="17" s="1"/>
  <c r="Z116" i="12"/>
  <c r="AR116" i="12" s="1"/>
  <c r="R122" i="17" s="1"/>
  <c r="AX115" i="12"/>
  <c r="X121" i="17" s="1"/>
  <c r="AW115" i="12"/>
  <c r="W121" i="17" s="1"/>
  <c r="AU115" i="12"/>
  <c r="U121" i="17" s="1"/>
  <c r="AT115" i="12"/>
  <c r="T121" i="17" s="1"/>
  <c r="AP115" i="12"/>
  <c r="P121" i="17" s="1"/>
  <c r="AO115" i="12"/>
  <c r="O121" i="17" s="1"/>
  <c r="AN115" i="12"/>
  <c r="N121" i="17" s="1"/>
  <c r="AM115" i="12"/>
  <c r="M121" i="17" s="1"/>
  <c r="AL115" i="12"/>
  <c r="L121" i="17" s="1"/>
  <c r="AK115" i="12"/>
  <c r="K121" i="17" s="1"/>
  <c r="AJ115" i="12"/>
  <c r="AA115" i="12"/>
  <c r="AS115" i="12" s="1"/>
  <c r="S121" i="17" s="1"/>
  <c r="Z115" i="12"/>
  <c r="AR115" i="12" s="1"/>
  <c r="R121" i="17" s="1"/>
  <c r="AX114" i="12"/>
  <c r="X120" i="17" s="1"/>
  <c r="AW114" i="12"/>
  <c r="W120" i="17" s="1"/>
  <c r="AU114" i="12"/>
  <c r="U120" i="17" s="1"/>
  <c r="AT114" i="12"/>
  <c r="T120" i="17" s="1"/>
  <c r="AP114" i="12"/>
  <c r="P120" i="17" s="1"/>
  <c r="AO114" i="12"/>
  <c r="O120" i="17" s="1"/>
  <c r="AN114" i="12"/>
  <c r="N120" i="17" s="1"/>
  <c r="AM114" i="12"/>
  <c r="M120" i="17" s="1"/>
  <c r="AL114" i="12"/>
  <c r="L120" i="17" s="1"/>
  <c r="AK114" i="12"/>
  <c r="K120" i="17" s="1"/>
  <c r="AJ114" i="12"/>
  <c r="AA114" i="12"/>
  <c r="AS114" i="12" s="1"/>
  <c r="S120" i="17" s="1"/>
  <c r="Z114" i="12"/>
  <c r="AR114" i="12" s="1"/>
  <c r="R120" i="17" s="1"/>
  <c r="AX113" i="12"/>
  <c r="X119" i="17" s="1"/>
  <c r="AW113" i="12"/>
  <c r="W119" i="17" s="1"/>
  <c r="AU113" i="12"/>
  <c r="U119" i="17" s="1"/>
  <c r="AT113" i="12"/>
  <c r="T119" i="17" s="1"/>
  <c r="AP113" i="12"/>
  <c r="P119" i="17" s="1"/>
  <c r="AO113" i="12"/>
  <c r="O119" i="17" s="1"/>
  <c r="AN113" i="12"/>
  <c r="N119" i="17" s="1"/>
  <c r="AM113" i="12"/>
  <c r="M119" i="17" s="1"/>
  <c r="AL113" i="12"/>
  <c r="L119" i="17" s="1"/>
  <c r="AK113" i="12"/>
  <c r="K119" i="17" s="1"/>
  <c r="AJ113" i="12"/>
  <c r="AA113" i="12"/>
  <c r="AS113" i="12" s="1"/>
  <c r="S119" i="17" s="1"/>
  <c r="Z113" i="12"/>
  <c r="AR113" i="12" s="1"/>
  <c r="R119" i="17" s="1"/>
  <c r="AX112" i="12"/>
  <c r="X118" i="17" s="1"/>
  <c r="AW112" i="12"/>
  <c r="W118" i="17" s="1"/>
  <c r="AU112" i="12"/>
  <c r="U118" i="17" s="1"/>
  <c r="AT112" i="12"/>
  <c r="T118" i="17" s="1"/>
  <c r="AP112" i="12"/>
  <c r="P118" i="17" s="1"/>
  <c r="AO112" i="12"/>
  <c r="O118" i="17" s="1"/>
  <c r="AN112" i="12"/>
  <c r="N118" i="17" s="1"/>
  <c r="AM112" i="12"/>
  <c r="M118" i="17" s="1"/>
  <c r="AL112" i="12"/>
  <c r="L118" i="17" s="1"/>
  <c r="AK112" i="12"/>
  <c r="K118" i="17" s="1"/>
  <c r="AJ112" i="12"/>
  <c r="J118" i="17" s="1"/>
  <c r="AA112" i="12"/>
  <c r="AS112" i="12" s="1"/>
  <c r="S118" i="17" s="1"/>
  <c r="Z112" i="12"/>
  <c r="AR112" i="12" s="1"/>
  <c r="R118" i="17" s="1"/>
  <c r="AX111" i="12"/>
  <c r="X117" i="17" s="1"/>
  <c r="AW111" i="12"/>
  <c r="W117" i="17" s="1"/>
  <c r="AU111" i="12"/>
  <c r="U117" i="17" s="1"/>
  <c r="AT111" i="12"/>
  <c r="T117" i="17" s="1"/>
  <c r="AP111" i="12"/>
  <c r="P117" i="17" s="1"/>
  <c r="AO111" i="12"/>
  <c r="O117" i="17" s="1"/>
  <c r="AN111" i="12"/>
  <c r="N117" i="17" s="1"/>
  <c r="AM111" i="12"/>
  <c r="M117" i="17" s="1"/>
  <c r="AL111" i="12"/>
  <c r="L117" i="17" s="1"/>
  <c r="AK111" i="12"/>
  <c r="K117" i="17" s="1"/>
  <c r="AJ111" i="12"/>
  <c r="AA111" i="12"/>
  <c r="AS111" i="12" s="1"/>
  <c r="S117" i="17" s="1"/>
  <c r="Z111" i="12"/>
  <c r="AR111" i="12" s="1"/>
  <c r="R117" i="17" s="1"/>
  <c r="AX110" i="12"/>
  <c r="X116" i="17" s="1"/>
  <c r="AW110" i="12"/>
  <c r="W116" i="17" s="1"/>
  <c r="AU110" i="12"/>
  <c r="U116" i="17" s="1"/>
  <c r="AT110" i="12"/>
  <c r="T116" i="17" s="1"/>
  <c r="AP110" i="12"/>
  <c r="P116" i="17" s="1"/>
  <c r="AO110" i="12"/>
  <c r="O116" i="17" s="1"/>
  <c r="AN110" i="12"/>
  <c r="N116" i="17" s="1"/>
  <c r="AM110" i="12"/>
  <c r="M116" i="17" s="1"/>
  <c r="AL110" i="12"/>
  <c r="L116" i="17" s="1"/>
  <c r="AK110" i="12"/>
  <c r="K116" i="17" s="1"/>
  <c r="AJ110" i="12"/>
  <c r="AA110" i="12"/>
  <c r="AS110" i="12" s="1"/>
  <c r="S116" i="17" s="1"/>
  <c r="Z110" i="12"/>
  <c r="AR110" i="12" s="1"/>
  <c r="R116" i="17" s="1"/>
  <c r="AX109" i="12"/>
  <c r="X115" i="17" s="1"/>
  <c r="AW109" i="12"/>
  <c r="W115" i="17" s="1"/>
  <c r="AU109" i="12"/>
  <c r="U115" i="17" s="1"/>
  <c r="AT109" i="12"/>
  <c r="T115" i="17" s="1"/>
  <c r="AP109" i="12"/>
  <c r="P115" i="17" s="1"/>
  <c r="AO109" i="12"/>
  <c r="O115" i="17" s="1"/>
  <c r="AN109" i="12"/>
  <c r="N115" i="17" s="1"/>
  <c r="AM109" i="12"/>
  <c r="M115" i="17" s="1"/>
  <c r="AL109" i="12"/>
  <c r="L115" i="17" s="1"/>
  <c r="AK109" i="12"/>
  <c r="K115" i="17" s="1"/>
  <c r="AJ109" i="12"/>
  <c r="AA109" i="12"/>
  <c r="AS109" i="12" s="1"/>
  <c r="S115" i="17" s="1"/>
  <c r="Z109" i="12"/>
  <c r="AR109" i="12" s="1"/>
  <c r="R115" i="17" s="1"/>
  <c r="AX108" i="12"/>
  <c r="X114" i="17" s="1"/>
  <c r="AW108" i="12"/>
  <c r="W114" i="17" s="1"/>
  <c r="AU108" i="12"/>
  <c r="U114" i="17" s="1"/>
  <c r="AT108" i="12"/>
  <c r="T114" i="17" s="1"/>
  <c r="AP108" i="12"/>
  <c r="P114" i="17" s="1"/>
  <c r="AO108" i="12"/>
  <c r="O114" i="17" s="1"/>
  <c r="AN108" i="12"/>
  <c r="N114" i="17" s="1"/>
  <c r="AM108" i="12"/>
  <c r="M114" i="17" s="1"/>
  <c r="AL108" i="12"/>
  <c r="L114" i="17" s="1"/>
  <c r="AK108" i="12"/>
  <c r="K114" i="17" s="1"/>
  <c r="AJ108" i="12"/>
  <c r="J114" i="17" s="1"/>
  <c r="AA108" i="12"/>
  <c r="AS108" i="12" s="1"/>
  <c r="S114" i="17" s="1"/>
  <c r="Z108" i="12"/>
  <c r="AR108" i="12" s="1"/>
  <c r="R114" i="17" s="1"/>
  <c r="AX107" i="12"/>
  <c r="X113" i="17" s="1"/>
  <c r="AW107" i="12"/>
  <c r="W113" i="17" s="1"/>
  <c r="AU107" i="12"/>
  <c r="U113" i="17" s="1"/>
  <c r="AT107" i="12"/>
  <c r="T113" i="17" s="1"/>
  <c r="AP107" i="12"/>
  <c r="P113" i="17" s="1"/>
  <c r="AO107" i="12"/>
  <c r="O113" i="17" s="1"/>
  <c r="AN107" i="12"/>
  <c r="N113" i="17" s="1"/>
  <c r="AM107" i="12"/>
  <c r="M113" i="17" s="1"/>
  <c r="AL107" i="12"/>
  <c r="L113" i="17" s="1"/>
  <c r="AK107" i="12"/>
  <c r="K113" i="17" s="1"/>
  <c r="AJ107" i="12"/>
  <c r="AA107" i="12"/>
  <c r="AS107" i="12" s="1"/>
  <c r="S113" i="17" s="1"/>
  <c r="Z107" i="12"/>
  <c r="AR107" i="12" s="1"/>
  <c r="R113" i="17" s="1"/>
  <c r="AX106" i="12"/>
  <c r="X112" i="17" s="1"/>
  <c r="AW106" i="12"/>
  <c r="W112" i="17" s="1"/>
  <c r="AU106" i="12"/>
  <c r="U112" i="17" s="1"/>
  <c r="AT106" i="12"/>
  <c r="T112" i="17" s="1"/>
  <c r="AP106" i="12"/>
  <c r="P112" i="17" s="1"/>
  <c r="AO106" i="12"/>
  <c r="O112" i="17" s="1"/>
  <c r="AN106" i="12"/>
  <c r="N112" i="17" s="1"/>
  <c r="AM106" i="12"/>
  <c r="M112" i="17" s="1"/>
  <c r="AL106" i="12"/>
  <c r="L112" i="17" s="1"/>
  <c r="AK106" i="12"/>
  <c r="K112" i="17" s="1"/>
  <c r="AJ106" i="12"/>
  <c r="AA106" i="12"/>
  <c r="AS106" i="12" s="1"/>
  <c r="S112" i="17" s="1"/>
  <c r="Z106" i="12"/>
  <c r="AR106" i="12" s="1"/>
  <c r="R112" i="17" s="1"/>
  <c r="AX105" i="12"/>
  <c r="X111" i="17" s="1"/>
  <c r="AW105" i="12"/>
  <c r="W111" i="17" s="1"/>
  <c r="AU105" i="12"/>
  <c r="U111" i="17" s="1"/>
  <c r="AT105" i="12"/>
  <c r="T111" i="17" s="1"/>
  <c r="AP105" i="12"/>
  <c r="P111" i="17" s="1"/>
  <c r="AO105" i="12"/>
  <c r="O111" i="17" s="1"/>
  <c r="AN105" i="12"/>
  <c r="N111" i="17" s="1"/>
  <c r="AM105" i="12"/>
  <c r="M111" i="17" s="1"/>
  <c r="AL105" i="12"/>
  <c r="L111" i="17" s="1"/>
  <c r="AK105" i="12"/>
  <c r="K111" i="17" s="1"/>
  <c r="AJ105" i="12"/>
  <c r="AA105" i="12"/>
  <c r="AS105" i="12" s="1"/>
  <c r="S111" i="17" s="1"/>
  <c r="Z105" i="12"/>
  <c r="AR105" i="12" s="1"/>
  <c r="R111" i="17" s="1"/>
  <c r="AX104" i="12"/>
  <c r="X110" i="17" s="1"/>
  <c r="AW104" i="12"/>
  <c r="W110" i="17" s="1"/>
  <c r="AU104" i="12"/>
  <c r="U110" i="17" s="1"/>
  <c r="AT104" i="12"/>
  <c r="T110" i="17" s="1"/>
  <c r="AP104" i="12"/>
  <c r="P110" i="17" s="1"/>
  <c r="AO104" i="12"/>
  <c r="O110" i="17" s="1"/>
  <c r="AN104" i="12"/>
  <c r="N110" i="17" s="1"/>
  <c r="AM104" i="12"/>
  <c r="M110" i="17" s="1"/>
  <c r="AL104" i="12"/>
  <c r="L110" i="17" s="1"/>
  <c r="AK104" i="12"/>
  <c r="K110" i="17" s="1"/>
  <c r="AJ104" i="12"/>
  <c r="J110" i="17" s="1"/>
  <c r="AA104" i="12"/>
  <c r="AS104" i="12" s="1"/>
  <c r="S110" i="17" s="1"/>
  <c r="Z104" i="12"/>
  <c r="AR104" i="12" s="1"/>
  <c r="R110" i="17" s="1"/>
  <c r="AX103" i="12"/>
  <c r="X109" i="17" s="1"/>
  <c r="AW103" i="12"/>
  <c r="W109" i="17" s="1"/>
  <c r="AU103" i="12"/>
  <c r="U109" i="17" s="1"/>
  <c r="AT103" i="12"/>
  <c r="T109" i="17" s="1"/>
  <c r="AP103" i="12"/>
  <c r="P109" i="17" s="1"/>
  <c r="AO103" i="12"/>
  <c r="O109" i="17" s="1"/>
  <c r="AN103" i="12"/>
  <c r="N109" i="17" s="1"/>
  <c r="AM103" i="12"/>
  <c r="M109" i="17" s="1"/>
  <c r="AL103" i="12"/>
  <c r="L109" i="17" s="1"/>
  <c r="AK103" i="12"/>
  <c r="K109" i="17" s="1"/>
  <c r="AJ103" i="12"/>
  <c r="AA103" i="12"/>
  <c r="AS103" i="12" s="1"/>
  <c r="S109" i="17" s="1"/>
  <c r="Z103" i="12"/>
  <c r="AR103" i="12" s="1"/>
  <c r="R109" i="17" s="1"/>
  <c r="AX102" i="12"/>
  <c r="X108" i="17" s="1"/>
  <c r="AW102" i="12"/>
  <c r="W108" i="17" s="1"/>
  <c r="AU102" i="12"/>
  <c r="U108" i="17" s="1"/>
  <c r="AT102" i="12"/>
  <c r="T108" i="17" s="1"/>
  <c r="AP102" i="12"/>
  <c r="P108" i="17" s="1"/>
  <c r="AO102" i="12"/>
  <c r="O108" i="17" s="1"/>
  <c r="AN102" i="12"/>
  <c r="N108" i="17" s="1"/>
  <c r="AM102" i="12"/>
  <c r="M108" i="17" s="1"/>
  <c r="AL102" i="12"/>
  <c r="L108" i="17" s="1"/>
  <c r="AK102" i="12"/>
  <c r="K108" i="17" s="1"/>
  <c r="AJ102" i="12"/>
  <c r="AA102" i="12"/>
  <c r="AS102" i="12" s="1"/>
  <c r="S108" i="17" s="1"/>
  <c r="Z102" i="12"/>
  <c r="AR102" i="12" s="1"/>
  <c r="R108" i="17" s="1"/>
  <c r="AX101" i="12"/>
  <c r="X107" i="17" s="1"/>
  <c r="AW101" i="12"/>
  <c r="W107" i="17" s="1"/>
  <c r="AU101" i="12"/>
  <c r="U107" i="17" s="1"/>
  <c r="AT101" i="12"/>
  <c r="T107" i="17" s="1"/>
  <c r="AP101" i="12"/>
  <c r="P107" i="17" s="1"/>
  <c r="AO101" i="12"/>
  <c r="O107" i="17" s="1"/>
  <c r="AN101" i="12"/>
  <c r="N107" i="17" s="1"/>
  <c r="AM101" i="12"/>
  <c r="M107" i="17" s="1"/>
  <c r="AL101" i="12"/>
  <c r="L107" i="17" s="1"/>
  <c r="AK101" i="12"/>
  <c r="K107" i="17" s="1"/>
  <c r="AJ101" i="12"/>
  <c r="AA101" i="12"/>
  <c r="AS101" i="12" s="1"/>
  <c r="S107" i="17" s="1"/>
  <c r="Z101" i="12"/>
  <c r="AR101" i="12" s="1"/>
  <c r="R107" i="17" s="1"/>
  <c r="AX100" i="12"/>
  <c r="X106" i="17" s="1"/>
  <c r="AW100" i="12"/>
  <c r="W106" i="17" s="1"/>
  <c r="AU100" i="12"/>
  <c r="U106" i="17" s="1"/>
  <c r="AT100" i="12"/>
  <c r="T106" i="17" s="1"/>
  <c r="AP100" i="12"/>
  <c r="P106" i="17" s="1"/>
  <c r="AO100" i="12"/>
  <c r="O106" i="17" s="1"/>
  <c r="AN100" i="12"/>
  <c r="N106" i="17" s="1"/>
  <c r="AM100" i="12"/>
  <c r="M106" i="17" s="1"/>
  <c r="AL100" i="12"/>
  <c r="L106" i="17" s="1"/>
  <c r="AK100" i="12"/>
  <c r="K106" i="17" s="1"/>
  <c r="AJ100" i="12"/>
  <c r="J106" i="17" s="1"/>
  <c r="AA100" i="12"/>
  <c r="AS100" i="12" s="1"/>
  <c r="S106" i="17" s="1"/>
  <c r="Z100" i="12"/>
  <c r="AR100" i="12" s="1"/>
  <c r="R106" i="17" s="1"/>
  <c r="AX99" i="12"/>
  <c r="X105" i="17" s="1"/>
  <c r="AW99" i="12"/>
  <c r="W105" i="17" s="1"/>
  <c r="AU99" i="12"/>
  <c r="U105" i="17" s="1"/>
  <c r="AT99" i="12"/>
  <c r="T105" i="17" s="1"/>
  <c r="AP99" i="12"/>
  <c r="P105" i="17" s="1"/>
  <c r="AO99" i="12"/>
  <c r="O105" i="17" s="1"/>
  <c r="AN99" i="12"/>
  <c r="N105" i="17" s="1"/>
  <c r="AM99" i="12"/>
  <c r="M105" i="17" s="1"/>
  <c r="AL99" i="12"/>
  <c r="L105" i="17" s="1"/>
  <c r="AK99" i="12"/>
  <c r="K105" i="17" s="1"/>
  <c r="AJ99" i="12"/>
  <c r="J105" i="17" s="1"/>
  <c r="AA99" i="12"/>
  <c r="AS99" i="12" s="1"/>
  <c r="S105" i="17" s="1"/>
  <c r="Z99" i="12"/>
  <c r="AR99" i="12" s="1"/>
  <c r="R105" i="17" s="1"/>
  <c r="AX98" i="12"/>
  <c r="X104" i="17" s="1"/>
  <c r="AW98" i="12"/>
  <c r="W104" i="17" s="1"/>
  <c r="AU98" i="12"/>
  <c r="U104" i="17" s="1"/>
  <c r="AT98" i="12"/>
  <c r="T104" i="17" s="1"/>
  <c r="AP98" i="12"/>
  <c r="P104" i="17" s="1"/>
  <c r="AO98" i="12"/>
  <c r="O104" i="17" s="1"/>
  <c r="AN98" i="12"/>
  <c r="N104" i="17" s="1"/>
  <c r="AM98" i="12"/>
  <c r="M104" i="17" s="1"/>
  <c r="AL98" i="12"/>
  <c r="L104" i="17" s="1"/>
  <c r="AK98" i="12"/>
  <c r="K104" i="17" s="1"/>
  <c r="AJ98" i="12"/>
  <c r="AA98" i="12"/>
  <c r="AS98" i="12" s="1"/>
  <c r="S104" i="17" s="1"/>
  <c r="Z98" i="12"/>
  <c r="AR98" i="12" s="1"/>
  <c r="R104" i="17" s="1"/>
  <c r="AX97" i="12"/>
  <c r="X103" i="17" s="1"/>
  <c r="AW97" i="12"/>
  <c r="W103" i="17" s="1"/>
  <c r="AU97" i="12"/>
  <c r="U103" i="17" s="1"/>
  <c r="AT97" i="12"/>
  <c r="T103" i="17" s="1"/>
  <c r="AP97" i="12"/>
  <c r="P103" i="17" s="1"/>
  <c r="AO97" i="12"/>
  <c r="O103" i="17" s="1"/>
  <c r="AN97" i="12"/>
  <c r="N103" i="17" s="1"/>
  <c r="AM97" i="12"/>
  <c r="M103" i="17" s="1"/>
  <c r="AL97" i="12"/>
  <c r="L103" i="17" s="1"/>
  <c r="AK97" i="12"/>
  <c r="K103" i="17" s="1"/>
  <c r="AJ97" i="12"/>
  <c r="AA97" i="12"/>
  <c r="AS97" i="12" s="1"/>
  <c r="S103" i="17" s="1"/>
  <c r="Z97" i="12"/>
  <c r="AR97" i="12" s="1"/>
  <c r="R103" i="17" s="1"/>
  <c r="AX96" i="12"/>
  <c r="X102" i="17" s="1"/>
  <c r="AW96" i="12"/>
  <c r="W102" i="17" s="1"/>
  <c r="AU96" i="12"/>
  <c r="U102" i="17" s="1"/>
  <c r="AT96" i="12"/>
  <c r="T102" i="17" s="1"/>
  <c r="AP96" i="12"/>
  <c r="P102" i="17" s="1"/>
  <c r="AO96" i="12"/>
  <c r="O102" i="17" s="1"/>
  <c r="AN96" i="12"/>
  <c r="N102" i="17" s="1"/>
  <c r="AM96" i="12"/>
  <c r="M102" i="17" s="1"/>
  <c r="AL96" i="12"/>
  <c r="L102" i="17" s="1"/>
  <c r="AK96" i="12"/>
  <c r="K102" i="17" s="1"/>
  <c r="AJ96" i="12"/>
  <c r="AA96" i="12"/>
  <c r="AS96" i="12" s="1"/>
  <c r="S102" i="17" s="1"/>
  <c r="Z96" i="12"/>
  <c r="AR96" i="12" s="1"/>
  <c r="R102" i="17" s="1"/>
  <c r="AX95" i="12"/>
  <c r="X101" i="17" s="1"/>
  <c r="AW95" i="12"/>
  <c r="W101" i="17" s="1"/>
  <c r="AU95" i="12"/>
  <c r="U101" i="17" s="1"/>
  <c r="AT95" i="12"/>
  <c r="T101" i="17" s="1"/>
  <c r="AP95" i="12"/>
  <c r="P101" i="17" s="1"/>
  <c r="AO95" i="12"/>
  <c r="O101" i="17" s="1"/>
  <c r="AN95" i="12"/>
  <c r="N101" i="17" s="1"/>
  <c r="AM95" i="12"/>
  <c r="M101" i="17" s="1"/>
  <c r="AL95" i="12"/>
  <c r="L101" i="17" s="1"/>
  <c r="AK95" i="12"/>
  <c r="K101" i="17" s="1"/>
  <c r="AJ95" i="12"/>
  <c r="AA95" i="12"/>
  <c r="AS95" i="12" s="1"/>
  <c r="S101" i="17" s="1"/>
  <c r="Z95" i="12"/>
  <c r="AR95" i="12" s="1"/>
  <c r="R101" i="17" s="1"/>
  <c r="AX94" i="12"/>
  <c r="X100" i="17" s="1"/>
  <c r="AW94" i="12"/>
  <c r="W100" i="17" s="1"/>
  <c r="AU94" i="12"/>
  <c r="U100" i="17" s="1"/>
  <c r="AT94" i="12"/>
  <c r="T100" i="17" s="1"/>
  <c r="AP94" i="12"/>
  <c r="P100" i="17" s="1"/>
  <c r="AO94" i="12"/>
  <c r="O100" i="17" s="1"/>
  <c r="AN94" i="12"/>
  <c r="N100" i="17" s="1"/>
  <c r="AM94" i="12"/>
  <c r="M100" i="17" s="1"/>
  <c r="AL94" i="12"/>
  <c r="L100" i="17" s="1"/>
  <c r="AK94" i="12"/>
  <c r="K100" i="17" s="1"/>
  <c r="AJ94" i="12"/>
  <c r="J100" i="17" s="1"/>
  <c r="AA94" i="12"/>
  <c r="AS94" i="12" s="1"/>
  <c r="S100" i="17" s="1"/>
  <c r="Z94" i="12"/>
  <c r="AR94" i="12" s="1"/>
  <c r="R100" i="17" s="1"/>
  <c r="AX93" i="12"/>
  <c r="X99" i="17" s="1"/>
  <c r="AW93" i="12"/>
  <c r="W99" i="17" s="1"/>
  <c r="AU93" i="12"/>
  <c r="U99" i="17" s="1"/>
  <c r="AT93" i="12"/>
  <c r="T99" i="17" s="1"/>
  <c r="AP93" i="12"/>
  <c r="P99" i="17" s="1"/>
  <c r="AO93" i="12"/>
  <c r="O99" i="17" s="1"/>
  <c r="AN93" i="12"/>
  <c r="N99" i="17" s="1"/>
  <c r="AM93" i="12"/>
  <c r="M99" i="17" s="1"/>
  <c r="AL93" i="12"/>
  <c r="L99" i="17" s="1"/>
  <c r="AK93" i="12"/>
  <c r="K99" i="17" s="1"/>
  <c r="AJ93" i="12"/>
  <c r="AA93" i="12"/>
  <c r="AS93" i="12" s="1"/>
  <c r="S99" i="17" s="1"/>
  <c r="Z93" i="12"/>
  <c r="AR93" i="12" s="1"/>
  <c r="R99" i="17" s="1"/>
  <c r="AX92" i="12"/>
  <c r="X98" i="17" s="1"/>
  <c r="AW92" i="12"/>
  <c r="W98" i="17" s="1"/>
  <c r="AU92" i="12"/>
  <c r="U98" i="17" s="1"/>
  <c r="AT92" i="12"/>
  <c r="T98" i="17" s="1"/>
  <c r="AP92" i="12"/>
  <c r="P98" i="17" s="1"/>
  <c r="AO92" i="12"/>
  <c r="O98" i="17" s="1"/>
  <c r="AN92" i="12"/>
  <c r="N98" i="17" s="1"/>
  <c r="AM92" i="12"/>
  <c r="M98" i="17" s="1"/>
  <c r="AL92" i="12"/>
  <c r="L98" i="17" s="1"/>
  <c r="AK92" i="12"/>
  <c r="K98" i="17" s="1"/>
  <c r="AJ92" i="12"/>
  <c r="AA92" i="12"/>
  <c r="AS92" i="12" s="1"/>
  <c r="S98" i="17" s="1"/>
  <c r="Z92" i="12"/>
  <c r="AR92" i="12" s="1"/>
  <c r="R98" i="17" s="1"/>
  <c r="AX91" i="12"/>
  <c r="X97" i="17" s="1"/>
  <c r="AW91" i="12"/>
  <c r="W97" i="17" s="1"/>
  <c r="AU91" i="12"/>
  <c r="U97" i="17" s="1"/>
  <c r="AT91" i="12"/>
  <c r="T97" i="17" s="1"/>
  <c r="AP91" i="12"/>
  <c r="P97" i="17" s="1"/>
  <c r="AO91" i="12"/>
  <c r="O97" i="17" s="1"/>
  <c r="AN91" i="12"/>
  <c r="N97" i="17" s="1"/>
  <c r="AM91" i="12"/>
  <c r="M97" i="17" s="1"/>
  <c r="AL91" i="12"/>
  <c r="L97" i="17" s="1"/>
  <c r="AK91" i="12"/>
  <c r="K97" i="17" s="1"/>
  <c r="AJ91" i="12"/>
  <c r="AA91" i="12"/>
  <c r="AS91" i="12" s="1"/>
  <c r="S97" i="17" s="1"/>
  <c r="Z91" i="12"/>
  <c r="AR91" i="12" s="1"/>
  <c r="R97" i="17" s="1"/>
  <c r="AX90" i="12"/>
  <c r="X95" i="17" s="1"/>
  <c r="AW90" i="12"/>
  <c r="W95" i="17" s="1"/>
  <c r="AU90" i="12"/>
  <c r="U95" i="17" s="1"/>
  <c r="AT90" i="12"/>
  <c r="T95" i="17" s="1"/>
  <c r="AP90" i="12"/>
  <c r="P95" i="17" s="1"/>
  <c r="AO90" i="12"/>
  <c r="O95" i="17" s="1"/>
  <c r="AN90" i="12"/>
  <c r="N95" i="17" s="1"/>
  <c r="AM90" i="12"/>
  <c r="M95" i="17" s="1"/>
  <c r="AL90" i="12"/>
  <c r="L95" i="17" s="1"/>
  <c r="AK90" i="12"/>
  <c r="K95" i="17" s="1"/>
  <c r="AJ90" i="12"/>
  <c r="AA90" i="12"/>
  <c r="AS90" i="12" s="1"/>
  <c r="S95" i="17" s="1"/>
  <c r="Z90" i="12"/>
  <c r="AR90" i="12" s="1"/>
  <c r="R95" i="17" s="1"/>
  <c r="AX89" i="12"/>
  <c r="X94" i="17" s="1"/>
  <c r="AW89" i="12"/>
  <c r="W94" i="17" s="1"/>
  <c r="AU89" i="12"/>
  <c r="U94" i="17" s="1"/>
  <c r="AT89" i="12"/>
  <c r="T94" i="17" s="1"/>
  <c r="AP89" i="12"/>
  <c r="P94" i="17" s="1"/>
  <c r="AO89" i="12"/>
  <c r="O94" i="17" s="1"/>
  <c r="AN89" i="12"/>
  <c r="N94" i="17" s="1"/>
  <c r="AM89" i="12"/>
  <c r="M94" i="17" s="1"/>
  <c r="AL89" i="12"/>
  <c r="L94" i="17" s="1"/>
  <c r="AK89" i="12"/>
  <c r="K94" i="17" s="1"/>
  <c r="AJ89" i="12"/>
  <c r="AA89" i="12"/>
  <c r="AS89" i="12" s="1"/>
  <c r="S94" i="17" s="1"/>
  <c r="Z89" i="12"/>
  <c r="AR89" i="12" s="1"/>
  <c r="R94" i="17" s="1"/>
  <c r="AX88" i="12"/>
  <c r="X93" i="17" s="1"/>
  <c r="AW88" i="12"/>
  <c r="W93" i="17" s="1"/>
  <c r="AU88" i="12"/>
  <c r="U93" i="17" s="1"/>
  <c r="AT88" i="12"/>
  <c r="T93" i="17" s="1"/>
  <c r="AP88" i="12"/>
  <c r="P93" i="17" s="1"/>
  <c r="AO88" i="12"/>
  <c r="O93" i="17" s="1"/>
  <c r="AN88" i="12"/>
  <c r="N93" i="17" s="1"/>
  <c r="AM88" i="12"/>
  <c r="M93" i="17" s="1"/>
  <c r="AL88" i="12"/>
  <c r="L93" i="17" s="1"/>
  <c r="AK88" i="12"/>
  <c r="K93" i="17" s="1"/>
  <c r="AJ88" i="12"/>
  <c r="J93" i="17" s="1"/>
  <c r="AA88" i="12"/>
  <c r="AS88" i="12" s="1"/>
  <c r="S93" i="17" s="1"/>
  <c r="Z88" i="12"/>
  <c r="AR88" i="12" s="1"/>
  <c r="R93" i="17" s="1"/>
  <c r="AX87" i="12"/>
  <c r="AW87" i="12"/>
  <c r="AU87" i="12"/>
  <c r="AT87" i="12"/>
  <c r="AP87" i="12"/>
  <c r="AO87" i="12"/>
  <c r="AN87" i="12"/>
  <c r="AM87" i="12"/>
  <c r="AL87" i="12"/>
  <c r="AK87" i="12"/>
  <c r="AJ87" i="12"/>
  <c r="AA87" i="12"/>
  <c r="AS87" i="12" s="1"/>
  <c r="Z87" i="12"/>
  <c r="AR87" i="12" s="1"/>
  <c r="AX86" i="12"/>
  <c r="X90" i="17" s="1"/>
  <c r="AW86" i="12"/>
  <c r="W90" i="17" s="1"/>
  <c r="AU86" i="12"/>
  <c r="U90" i="17" s="1"/>
  <c r="AT86" i="12"/>
  <c r="T90" i="17" s="1"/>
  <c r="AP86" i="12"/>
  <c r="P90" i="17" s="1"/>
  <c r="AO86" i="12"/>
  <c r="O90" i="17" s="1"/>
  <c r="AN86" i="12"/>
  <c r="N90" i="17" s="1"/>
  <c r="AM86" i="12"/>
  <c r="M90" i="17" s="1"/>
  <c r="AL86" i="12"/>
  <c r="L90" i="17" s="1"/>
  <c r="AK86" i="12"/>
  <c r="K90" i="17" s="1"/>
  <c r="AJ86" i="12"/>
  <c r="J90" i="17" s="1"/>
  <c r="AA86" i="12"/>
  <c r="AS86" i="12" s="1"/>
  <c r="S90" i="17" s="1"/>
  <c r="Z86" i="12"/>
  <c r="AR86" i="12" s="1"/>
  <c r="R90" i="17" s="1"/>
  <c r="AX85" i="12"/>
  <c r="X89" i="17" s="1"/>
  <c r="AW85" i="12"/>
  <c r="W89" i="17" s="1"/>
  <c r="AU85" i="12"/>
  <c r="U89" i="17" s="1"/>
  <c r="AT85" i="12"/>
  <c r="T89" i="17" s="1"/>
  <c r="AP85" i="12"/>
  <c r="P89" i="17" s="1"/>
  <c r="AO85" i="12"/>
  <c r="O89" i="17" s="1"/>
  <c r="AN85" i="12"/>
  <c r="N89" i="17" s="1"/>
  <c r="AM85" i="12"/>
  <c r="M89" i="17" s="1"/>
  <c r="AL85" i="12"/>
  <c r="L89" i="17" s="1"/>
  <c r="AK85" i="12"/>
  <c r="K89" i="17" s="1"/>
  <c r="AJ85" i="12"/>
  <c r="J89" i="17" s="1"/>
  <c r="AA85" i="12"/>
  <c r="AS85" i="12" s="1"/>
  <c r="S89" i="17" s="1"/>
  <c r="Z85" i="12"/>
  <c r="AR85" i="12" s="1"/>
  <c r="R89" i="17" s="1"/>
  <c r="AX84" i="12"/>
  <c r="X88" i="17" s="1"/>
  <c r="AW84" i="12"/>
  <c r="W88" i="17" s="1"/>
  <c r="AU84" i="12"/>
  <c r="U88" i="17" s="1"/>
  <c r="AT84" i="12"/>
  <c r="T88" i="17" s="1"/>
  <c r="AP84" i="12"/>
  <c r="P88" i="17" s="1"/>
  <c r="AO84" i="12"/>
  <c r="O88" i="17" s="1"/>
  <c r="AN84" i="12"/>
  <c r="N88" i="17" s="1"/>
  <c r="AM84" i="12"/>
  <c r="M88" i="17" s="1"/>
  <c r="AL84" i="12"/>
  <c r="L88" i="17" s="1"/>
  <c r="AK84" i="12"/>
  <c r="K88" i="17" s="1"/>
  <c r="AJ84" i="12"/>
  <c r="AA84" i="12"/>
  <c r="AS84" i="12" s="1"/>
  <c r="S88" i="17" s="1"/>
  <c r="Z84" i="12"/>
  <c r="AR84" i="12" s="1"/>
  <c r="R88" i="17" s="1"/>
  <c r="AX83" i="12"/>
  <c r="X87" i="17" s="1"/>
  <c r="AW83" i="12"/>
  <c r="W87" i="17" s="1"/>
  <c r="AU83" i="12"/>
  <c r="U87" i="17" s="1"/>
  <c r="AT83" i="12"/>
  <c r="T87" i="17" s="1"/>
  <c r="AP83" i="12"/>
  <c r="P87" i="17" s="1"/>
  <c r="AO83" i="12"/>
  <c r="O87" i="17" s="1"/>
  <c r="AN83" i="12"/>
  <c r="N87" i="17" s="1"/>
  <c r="AM83" i="12"/>
  <c r="M87" i="17" s="1"/>
  <c r="AL83" i="12"/>
  <c r="L87" i="17" s="1"/>
  <c r="AK83" i="12"/>
  <c r="K87" i="17" s="1"/>
  <c r="AJ83" i="12"/>
  <c r="AA83" i="12"/>
  <c r="AS83" i="12" s="1"/>
  <c r="S87" i="17" s="1"/>
  <c r="Z83" i="12"/>
  <c r="AR83" i="12" s="1"/>
  <c r="R87" i="17" s="1"/>
  <c r="AX82" i="12"/>
  <c r="X86" i="17" s="1"/>
  <c r="AW82" i="12"/>
  <c r="W86" i="17" s="1"/>
  <c r="AU82" i="12"/>
  <c r="U86" i="17" s="1"/>
  <c r="AT82" i="12"/>
  <c r="T86" i="17" s="1"/>
  <c r="AP82" i="12"/>
  <c r="P86" i="17" s="1"/>
  <c r="AO82" i="12"/>
  <c r="O86" i="17" s="1"/>
  <c r="AN82" i="12"/>
  <c r="N86" i="17" s="1"/>
  <c r="AM82" i="12"/>
  <c r="M86" i="17" s="1"/>
  <c r="AL82" i="12"/>
  <c r="L86" i="17" s="1"/>
  <c r="AK82" i="12"/>
  <c r="K86" i="17" s="1"/>
  <c r="AJ82" i="12"/>
  <c r="J86" i="17" s="1"/>
  <c r="AA82" i="12"/>
  <c r="AS82" i="12" s="1"/>
  <c r="S86" i="17" s="1"/>
  <c r="Z82" i="12"/>
  <c r="AR82" i="12" s="1"/>
  <c r="R86" i="17" s="1"/>
  <c r="AX81" i="12"/>
  <c r="X85" i="17" s="1"/>
  <c r="AW81" i="12"/>
  <c r="W85" i="17" s="1"/>
  <c r="AU81" i="12"/>
  <c r="U85" i="17" s="1"/>
  <c r="AT81" i="12"/>
  <c r="T85" i="17" s="1"/>
  <c r="AP81" i="12"/>
  <c r="P85" i="17" s="1"/>
  <c r="AO81" i="12"/>
  <c r="O85" i="17" s="1"/>
  <c r="AN81" i="12"/>
  <c r="N85" i="17" s="1"/>
  <c r="AM81" i="12"/>
  <c r="M85" i="17" s="1"/>
  <c r="AL81" i="12"/>
  <c r="L85" i="17" s="1"/>
  <c r="AK81" i="12"/>
  <c r="K85" i="17" s="1"/>
  <c r="AJ81" i="12"/>
  <c r="AA81" i="12"/>
  <c r="AS81" i="12" s="1"/>
  <c r="S85" i="17" s="1"/>
  <c r="Z81" i="12"/>
  <c r="AR81" i="12" s="1"/>
  <c r="R85" i="17" s="1"/>
  <c r="AX80" i="12"/>
  <c r="X84" i="17" s="1"/>
  <c r="AW80" i="12"/>
  <c r="W84" i="17" s="1"/>
  <c r="AU80" i="12"/>
  <c r="U84" i="17" s="1"/>
  <c r="AT80" i="12"/>
  <c r="T84" i="17" s="1"/>
  <c r="AP80" i="12"/>
  <c r="P84" i="17" s="1"/>
  <c r="AO80" i="12"/>
  <c r="O84" i="17" s="1"/>
  <c r="AN80" i="12"/>
  <c r="N84" i="17" s="1"/>
  <c r="AM80" i="12"/>
  <c r="M84" i="17" s="1"/>
  <c r="AL80" i="12"/>
  <c r="L84" i="17" s="1"/>
  <c r="AK80" i="12"/>
  <c r="K84" i="17" s="1"/>
  <c r="AJ80" i="12"/>
  <c r="J84" i="17" s="1"/>
  <c r="AA80" i="12"/>
  <c r="AS80" i="12" s="1"/>
  <c r="S84" i="17" s="1"/>
  <c r="Z80" i="12"/>
  <c r="AR80" i="12" s="1"/>
  <c r="R84" i="17" s="1"/>
  <c r="AX79" i="12"/>
  <c r="X83" i="17" s="1"/>
  <c r="AW79" i="12"/>
  <c r="W83" i="17" s="1"/>
  <c r="AU79" i="12"/>
  <c r="U83" i="17" s="1"/>
  <c r="AT79" i="12"/>
  <c r="T83" i="17" s="1"/>
  <c r="AP79" i="12"/>
  <c r="P83" i="17" s="1"/>
  <c r="AO79" i="12"/>
  <c r="O83" i="17" s="1"/>
  <c r="AN79" i="12"/>
  <c r="N83" i="17" s="1"/>
  <c r="AM79" i="12"/>
  <c r="M83" i="17" s="1"/>
  <c r="AL79" i="12"/>
  <c r="L83" i="17" s="1"/>
  <c r="AK79" i="12"/>
  <c r="K83" i="17" s="1"/>
  <c r="AJ79" i="12"/>
  <c r="AA79" i="12"/>
  <c r="AS79" i="12" s="1"/>
  <c r="S83" i="17" s="1"/>
  <c r="Z79" i="12"/>
  <c r="AR79" i="12" s="1"/>
  <c r="R83" i="17" s="1"/>
  <c r="AX78" i="12"/>
  <c r="X82" i="17" s="1"/>
  <c r="AW78" i="12"/>
  <c r="W82" i="17" s="1"/>
  <c r="AU78" i="12"/>
  <c r="U82" i="17" s="1"/>
  <c r="AT78" i="12"/>
  <c r="T82" i="17" s="1"/>
  <c r="AP78" i="12"/>
  <c r="P82" i="17" s="1"/>
  <c r="AO78" i="12"/>
  <c r="O82" i="17" s="1"/>
  <c r="AN78" i="12"/>
  <c r="N82" i="17" s="1"/>
  <c r="AM78" i="12"/>
  <c r="M82" i="17" s="1"/>
  <c r="AL78" i="12"/>
  <c r="L82" i="17" s="1"/>
  <c r="AK78" i="12"/>
  <c r="K82" i="17" s="1"/>
  <c r="AJ78" i="12"/>
  <c r="AA78" i="12"/>
  <c r="AS78" i="12" s="1"/>
  <c r="S82" i="17" s="1"/>
  <c r="Z78" i="12"/>
  <c r="AR78" i="12" s="1"/>
  <c r="R82" i="17" s="1"/>
  <c r="AX77" i="12"/>
  <c r="X81" i="17" s="1"/>
  <c r="AW77" i="12"/>
  <c r="W81" i="17" s="1"/>
  <c r="AU77" i="12"/>
  <c r="U81" i="17" s="1"/>
  <c r="AT77" i="12"/>
  <c r="T81" i="17" s="1"/>
  <c r="AP77" i="12"/>
  <c r="P81" i="17" s="1"/>
  <c r="AO77" i="12"/>
  <c r="O81" i="17" s="1"/>
  <c r="AN77" i="12"/>
  <c r="N81" i="17" s="1"/>
  <c r="AM77" i="12"/>
  <c r="M81" i="17" s="1"/>
  <c r="AL77" i="12"/>
  <c r="L81" i="17" s="1"/>
  <c r="AK77" i="12"/>
  <c r="K81" i="17" s="1"/>
  <c r="AJ77" i="12"/>
  <c r="AA77" i="12"/>
  <c r="AS77" i="12" s="1"/>
  <c r="S81" i="17" s="1"/>
  <c r="Z77" i="12"/>
  <c r="AR77" i="12" s="1"/>
  <c r="R81" i="17" s="1"/>
  <c r="AX76" i="12"/>
  <c r="X80" i="17" s="1"/>
  <c r="AW76" i="12"/>
  <c r="W80" i="17" s="1"/>
  <c r="AU76" i="12"/>
  <c r="U80" i="17" s="1"/>
  <c r="AT76" i="12"/>
  <c r="T80" i="17" s="1"/>
  <c r="AP76" i="12"/>
  <c r="P80" i="17" s="1"/>
  <c r="AO76" i="12"/>
  <c r="O80" i="17" s="1"/>
  <c r="AN76" i="12"/>
  <c r="N80" i="17" s="1"/>
  <c r="AM76" i="12"/>
  <c r="M80" i="17" s="1"/>
  <c r="AL76" i="12"/>
  <c r="L80" i="17" s="1"/>
  <c r="AK76" i="12"/>
  <c r="K80" i="17" s="1"/>
  <c r="AJ76" i="12"/>
  <c r="AA76" i="12"/>
  <c r="AS76" i="12" s="1"/>
  <c r="S80" i="17" s="1"/>
  <c r="Z76" i="12"/>
  <c r="AR76" i="12" s="1"/>
  <c r="R80" i="17" s="1"/>
  <c r="AX75" i="12"/>
  <c r="X79" i="17" s="1"/>
  <c r="AW75" i="12"/>
  <c r="W79" i="17" s="1"/>
  <c r="AU75" i="12"/>
  <c r="U79" i="17" s="1"/>
  <c r="AT75" i="12"/>
  <c r="T79" i="17" s="1"/>
  <c r="AP75" i="12"/>
  <c r="P79" i="17" s="1"/>
  <c r="AO75" i="12"/>
  <c r="O79" i="17" s="1"/>
  <c r="AN75" i="12"/>
  <c r="N79" i="17" s="1"/>
  <c r="AM75" i="12"/>
  <c r="M79" i="17" s="1"/>
  <c r="AL75" i="12"/>
  <c r="L79" i="17" s="1"/>
  <c r="AK75" i="12"/>
  <c r="K79" i="17" s="1"/>
  <c r="AJ75" i="12"/>
  <c r="AA75" i="12"/>
  <c r="AS75" i="12" s="1"/>
  <c r="S79" i="17" s="1"/>
  <c r="Z75" i="12"/>
  <c r="AR75" i="12" s="1"/>
  <c r="R79" i="17" s="1"/>
  <c r="AX74" i="12"/>
  <c r="X78" i="17" s="1"/>
  <c r="AW74" i="12"/>
  <c r="W78" i="17" s="1"/>
  <c r="AU74" i="12"/>
  <c r="U78" i="17" s="1"/>
  <c r="AT74" i="12"/>
  <c r="T78" i="17" s="1"/>
  <c r="AP74" i="12"/>
  <c r="P78" i="17" s="1"/>
  <c r="AO74" i="12"/>
  <c r="O78" i="17" s="1"/>
  <c r="AN74" i="12"/>
  <c r="N78" i="17" s="1"/>
  <c r="AM74" i="12"/>
  <c r="M78" i="17" s="1"/>
  <c r="AL74" i="12"/>
  <c r="L78" i="17" s="1"/>
  <c r="AK74" i="12"/>
  <c r="K78" i="17" s="1"/>
  <c r="AJ74" i="12"/>
  <c r="AA74" i="12"/>
  <c r="AS74" i="12" s="1"/>
  <c r="S78" i="17" s="1"/>
  <c r="Z74" i="12"/>
  <c r="AR74" i="12" s="1"/>
  <c r="R78" i="17" s="1"/>
  <c r="AX73" i="12"/>
  <c r="X77" i="17" s="1"/>
  <c r="AW73" i="12"/>
  <c r="W77" i="17" s="1"/>
  <c r="AU73" i="12"/>
  <c r="U77" i="17" s="1"/>
  <c r="AT73" i="12"/>
  <c r="T77" i="17" s="1"/>
  <c r="AP73" i="12"/>
  <c r="P77" i="17" s="1"/>
  <c r="AO73" i="12"/>
  <c r="O77" i="17" s="1"/>
  <c r="AN73" i="12"/>
  <c r="N77" i="17" s="1"/>
  <c r="AM73" i="12"/>
  <c r="M77" i="17" s="1"/>
  <c r="AL73" i="12"/>
  <c r="L77" i="17" s="1"/>
  <c r="AK73" i="12"/>
  <c r="K77" i="17" s="1"/>
  <c r="AJ73" i="12"/>
  <c r="AA73" i="12"/>
  <c r="AS73" i="12" s="1"/>
  <c r="S77" i="17" s="1"/>
  <c r="Z73" i="12"/>
  <c r="AR73" i="12" s="1"/>
  <c r="R77" i="17" s="1"/>
  <c r="AX72" i="12"/>
  <c r="X76" i="17" s="1"/>
  <c r="AW72" i="12"/>
  <c r="W76" i="17" s="1"/>
  <c r="AU72" i="12"/>
  <c r="U76" i="17" s="1"/>
  <c r="AT72" i="12"/>
  <c r="T76" i="17" s="1"/>
  <c r="AP72" i="12"/>
  <c r="P76" i="17" s="1"/>
  <c r="AO72" i="12"/>
  <c r="O76" i="17" s="1"/>
  <c r="AN72" i="12"/>
  <c r="N76" i="17" s="1"/>
  <c r="AM72" i="12"/>
  <c r="M76" i="17" s="1"/>
  <c r="AL72" i="12"/>
  <c r="L76" i="17" s="1"/>
  <c r="AK72" i="12"/>
  <c r="K76" i="17" s="1"/>
  <c r="AJ72" i="12"/>
  <c r="J76" i="17" s="1"/>
  <c r="AA72" i="12"/>
  <c r="AS72" i="12" s="1"/>
  <c r="S76" i="17" s="1"/>
  <c r="Z72" i="12"/>
  <c r="AR72" i="12" s="1"/>
  <c r="R76" i="17" s="1"/>
  <c r="AX71" i="12"/>
  <c r="X75" i="17" s="1"/>
  <c r="AW71" i="12"/>
  <c r="W75" i="17" s="1"/>
  <c r="AU71" i="12"/>
  <c r="U75" i="17" s="1"/>
  <c r="AT71" i="12"/>
  <c r="T75" i="17" s="1"/>
  <c r="AP71" i="12"/>
  <c r="P75" i="17" s="1"/>
  <c r="AO71" i="12"/>
  <c r="O75" i="17" s="1"/>
  <c r="AN71" i="12"/>
  <c r="N75" i="17" s="1"/>
  <c r="AM71" i="12"/>
  <c r="M75" i="17" s="1"/>
  <c r="AL71" i="12"/>
  <c r="L75" i="17" s="1"/>
  <c r="AK71" i="12"/>
  <c r="K75" i="17" s="1"/>
  <c r="AJ71" i="12"/>
  <c r="J75" i="17" s="1"/>
  <c r="AA71" i="12"/>
  <c r="AS71" i="12" s="1"/>
  <c r="S75" i="17" s="1"/>
  <c r="Z71" i="12"/>
  <c r="AR71" i="12" s="1"/>
  <c r="R75" i="17" s="1"/>
  <c r="AX70" i="12"/>
  <c r="X73" i="17" s="1"/>
  <c r="AW70" i="12"/>
  <c r="W73" i="17" s="1"/>
  <c r="AU70" i="12"/>
  <c r="U73" i="17" s="1"/>
  <c r="AT70" i="12"/>
  <c r="T73" i="17" s="1"/>
  <c r="AP70" i="12"/>
  <c r="P73" i="17" s="1"/>
  <c r="AO70" i="12"/>
  <c r="O73" i="17" s="1"/>
  <c r="AN70" i="12"/>
  <c r="N73" i="17" s="1"/>
  <c r="AM70" i="12"/>
  <c r="M73" i="17" s="1"/>
  <c r="AL70" i="12"/>
  <c r="L73" i="17" s="1"/>
  <c r="AK70" i="12"/>
  <c r="K73" i="17" s="1"/>
  <c r="AJ70" i="12"/>
  <c r="J73" i="17" s="1"/>
  <c r="AA70" i="12"/>
  <c r="AS70" i="12" s="1"/>
  <c r="S73" i="17" s="1"/>
  <c r="Z70" i="12"/>
  <c r="AR70" i="12" s="1"/>
  <c r="R73" i="17" s="1"/>
  <c r="AX69" i="12"/>
  <c r="X72" i="17" s="1"/>
  <c r="AW69" i="12"/>
  <c r="W72" i="17" s="1"/>
  <c r="AU69" i="12"/>
  <c r="U72" i="17" s="1"/>
  <c r="AT69" i="12"/>
  <c r="T72" i="17" s="1"/>
  <c r="AP69" i="12"/>
  <c r="P72" i="17" s="1"/>
  <c r="AO69" i="12"/>
  <c r="O72" i="17" s="1"/>
  <c r="AN69" i="12"/>
  <c r="N72" i="17" s="1"/>
  <c r="AM69" i="12"/>
  <c r="M72" i="17" s="1"/>
  <c r="AL69" i="12"/>
  <c r="L72" i="17" s="1"/>
  <c r="AK69" i="12"/>
  <c r="K72" i="17" s="1"/>
  <c r="AJ69" i="12"/>
  <c r="J72" i="17" s="1"/>
  <c r="AA69" i="12"/>
  <c r="AS69" i="12" s="1"/>
  <c r="S72" i="17" s="1"/>
  <c r="Z69" i="12"/>
  <c r="AR69" i="12" s="1"/>
  <c r="R72" i="17" s="1"/>
  <c r="AX68" i="12"/>
  <c r="X71" i="17" s="1"/>
  <c r="AW68" i="12"/>
  <c r="W71" i="17" s="1"/>
  <c r="AU68" i="12"/>
  <c r="U71" i="17" s="1"/>
  <c r="AT68" i="12"/>
  <c r="T71" i="17" s="1"/>
  <c r="AP68" i="12"/>
  <c r="P71" i="17" s="1"/>
  <c r="AO68" i="12"/>
  <c r="O71" i="17" s="1"/>
  <c r="AN68" i="12"/>
  <c r="N71" i="17" s="1"/>
  <c r="AM68" i="12"/>
  <c r="M71" i="17" s="1"/>
  <c r="AL68" i="12"/>
  <c r="L71" i="17" s="1"/>
  <c r="AK68" i="12"/>
  <c r="K71" i="17" s="1"/>
  <c r="AJ68" i="12"/>
  <c r="AA68" i="12"/>
  <c r="AS68" i="12" s="1"/>
  <c r="S71" i="17" s="1"/>
  <c r="Z68" i="12"/>
  <c r="AR68" i="12" s="1"/>
  <c r="R71" i="17" s="1"/>
  <c r="AX67" i="12"/>
  <c r="X70" i="17" s="1"/>
  <c r="AW67" i="12"/>
  <c r="W70" i="17" s="1"/>
  <c r="AU67" i="12"/>
  <c r="U70" i="17" s="1"/>
  <c r="AT67" i="12"/>
  <c r="T70" i="17" s="1"/>
  <c r="AP67" i="12"/>
  <c r="P70" i="17" s="1"/>
  <c r="AO67" i="12"/>
  <c r="O70" i="17" s="1"/>
  <c r="AN67" i="12"/>
  <c r="N70" i="17" s="1"/>
  <c r="AM67" i="12"/>
  <c r="M70" i="17" s="1"/>
  <c r="AL67" i="12"/>
  <c r="L70" i="17" s="1"/>
  <c r="AK67" i="12"/>
  <c r="K70" i="17" s="1"/>
  <c r="AJ67" i="12"/>
  <c r="J70" i="17" s="1"/>
  <c r="AA67" i="12"/>
  <c r="AS67" i="12" s="1"/>
  <c r="S70" i="17" s="1"/>
  <c r="Z67" i="12"/>
  <c r="AR67" i="12" s="1"/>
  <c r="R70" i="17" s="1"/>
  <c r="AX66" i="12"/>
  <c r="X69" i="17" s="1"/>
  <c r="AW66" i="12"/>
  <c r="W69" i="17" s="1"/>
  <c r="AU66" i="12"/>
  <c r="U69" i="17" s="1"/>
  <c r="AT66" i="12"/>
  <c r="T69" i="17" s="1"/>
  <c r="AP66" i="12"/>
  <c r="P69" i="17" s="1"/>
  <c r="AO66" i="12"/>
  <c r="O69" i="17" s="1"/>
  <c r="AN66" i="12"/>
  <c r="N69" i="17" s="1"/>
  <c r="AM66" i="12"/>
  <c r="M69" i="17" s="1"/>
  <c r="AL66" i="12"/>
  <c r="L69" i="17" s="1"/>
  <c r="AK66" i="12"/>
  <c r="K69" i="17" s="1"/>
  <c r="AJ66" i="12"/>
  <c r="AA66" i="12"/>
  <c r="AS66" i="12" s="1"/>
  <c r="S69" i="17" s="1"/>
  <c r="Z66" i="12"/>
  <c r="AR66" i="12" s="1"/>
  <c r="R69" i="17" s="1"/>
  <c r="AX65" i="12"/>
  <c r="X68" i="17" s="1"/>
  <c r="AW65" i="12"/>
  <c r="W68" i="17" s="1"/>
  <c r="AU65" i="12"/>
  <c r="U68" i="17" s="1"/>
  <c r="AT65" i="12"/>
  <c r="T68" i="17" s="1"/>
  <c r="AP65" i="12"/>
  <c r="P68" i="17" s="1"/>
  <c r="AO65" i="12"/>
  <c r="O68" i="17" s="1"/>
  <c r="AN65" i="12"/>
  <c r="N68" i="17" s="1"/>
  <c r="AM65" i="12"/>
  <c r="M68" i="17" s="1"/>
  <c r="AL65" i="12"/>
  <c r="L68" i="17" s="1"/>
  <c r="AK65" i="12"/>
  <c r="K68" i="17" s="1"/>
  <c r="AJ65" i="12"/>
  <c r="AA65" i="12"/>
  <c r="AS65" i="12" s="1"/>
  <c r="S68" i="17" s="1"/>
  <c r="Z65" i="12"/>
  <c r="AR65" i="12" s="1"/>
  <c r="R68" i="17" s="1"/>
  <c r="AX64" i="12"/>
  <c r="X67" i="17" s="1"/>
  <c r="AW64" i="12"/>
  <c r="W67" i="17" s="1"/>
  <c r="AU64" i="12"/>
  <c r="U67" i="17" s="1"/>
  <c r="AT64" i="12"/>
  <c r="T67" i="17" s="1"/>
  <c r="AP64" i="12"/>
  <c r="P67" i="17" s="1"/>
  <c r="AO64" i="12"/>
  <c r="O67" i="17" s="1"/>
  <c r="AN64" i="12"/>
  <c r="N67" i="17" s="1"/>
  <c r="AM64" i="12"/>
  <c r="M67" i="17" s="1"/>
  <c r="AL64" i="12"/>
  <c r="L67" i="17" s="1"/>
  <c r="AK64" i="12"/>
  <c r="K67" i="17" s="1"/>
  <c r="AJ64" i="12"/>
  <c r="AA64" i="12"/>
  <c r="AS64" i="12" s="1"/>
  <c r="S67" i="17" s="1"/>
  <c r="Z64" i="12"/>
  <c r="AR64" i="12" s="1"/>
  <c r="R67" i="17" s="1"/>
  <c r="AX63" i="12"/>
  <c r="X66" i="17" s="1"/>
  <c r="AW63" i="12"/>
  <c r="W66" i="17" s="1"/>
  <c r="AU63" i="12"/>
  <c r="U66" i="17" s="1"/>
  <c r="AT63" i="12"/>
  <c r="T66" i="17" s="1"/>
  <c r="AP63" i="12"/>
  <c r="P66" i="17" s="1"/>
  <c r="AO63" i="12"/>
  <c r="O66" i="17" s="1"/>
  <c r="AN63" i="12"/>
  <c r="N66" i="17" s="1"/>
  <c r="AM63" i="12"/>
  <c r="M66" i="17" s="1"/>
  <c r="AL63" i="12"/>
  <c r="L66" i="17" s="1"/>
  <c r="AK63" i="12"/>
  <c r="K66" i="17" s="1"/>
  <c r="AJ63" i="12"/>
  <c r="J66" i="17" s="1"/>
  <c r="AA63" i="12"/>
  <c r="AS63" i="12" s="1"/>
  <c r="S66" i="17" s="1"/>
  <c r="Z63" i="12"/>
  <c r="AR63" i="12" s="1"/>
  <c r="R66" i="17" s="1"/>
  <c r="AX62" i="12"/>
  <c r="X65" i="17" s="1"/>
  <c r="AW62" i="12"/>
  <c r="W65" i="17" s="1"/>
  <c r="AU62" i="12"/>
  <c r="U65" i="17" s="1"/>
  <c r="AT62" i="12"/>
  <c r="T65" i="17" s="1"/>
  <c r="AP62" i="12"/>
  <c r="P65" i="17" s="1"/>
  <c r="AO62" i="12"/>
  <c r="O65" i="17" s="1"/>
  <c r="AN62" i="12"/>
  <c r="N65" i="17" s="1"/>
  <c r="AM62" i="12"/>
  <c r="M65" i="17" s="1"/>
  <c r="AL62" i="12"/>
  <c r="L65" i="17" s="1"/>
  <c r="AK62" i="12"/>
  <c r="K65" i="17" s="1"/>
  <c r="AJ62" i="12"/>
  <c r="J65" i="17" s="1"/>
  <c r="AA62" i="12"/>
  <c r="AS62" i="12" s="1"/>
  <c r="S65" i="17" s="1"/>
  <c r="Z62" i="12"/>
  <c r="AR62" i="12" s="1"/>
  <c r="R65" i="17" s="1"/>
  <c r="AX61" i="12"/>
  <c r="X64" i="17" s="1"/>
  <c r="AW61" i="12"/>
  <c r="W64" i="17" s="1"/>
  <c r="AU61" i="12"/>
  <c r="U64" i="17" s="1"/>
  <c r="AT61" i="12"/>
  <c r="T64" i="17" s="1"/>
  <c r="AP61" i="12"/>
  <c r="P64" i="17" s="1"/>
  <c r="AO61" i="12"/>
  <c r="O64" i="17" s="1"/>
  <c r="AN61" i="12"/>
  <c r="N64" i="17" s="1"/>
  <c r="AM61" i="12"/>
  <c r="M64" i="17" s="1"/>
  <c r="AL61" i="12"/>
  <c r="L64" i="17" s="1"/>
  <c r="AK61" i="12"/>
  <c r="K64" i="17" s="1"/>
  <c r="AJ61" i="12"/>
  <c r="J64" i="17" s="1"/>
  <c r="AA61" i="12"/>
  <c r="AS61" i="12" s="1"/>
  <c r="S64" i="17" s="1"/>
  <c r="Z61" i="12"/>
  <c r="AR61" i="12" s="1"/>
  <c r="R64" i="17" s="1"/>
  <c r="AX60" i="12"/>
  <c r="X63" i="17" s="1"/>
  <c r="AW60" i="12"/>
  <c r="W63" i="17" s="1"/>
  <c r="AU60" i="12"/>
  <c r="U63" i="17" s="1"/>
  <c r="AT60" i="12"/>
  <c r="T63" i="17" s="1"/>
  <c r="AP60" i="12"/>
  <c r="P63" i="17" s="1"/>
  <c r="AO60" i="12"/>
  <c r="O63" i="17" s="1"/>
  <c r="AN60" i="12"/>
  <c r="N63" i="17" s="1"/>
  <c r="AM60" i="12"/>
  <c r="M63" i="17" s="1"/>
  <c r="AL60" i="12"/>
  <c r="L63" i="17" s="1"/>
  <c r="AK60" i="12"/>
  <c r="K63" i="17" s="1"/>
  <c r="AJ60" i="12"/>
  <c r="AA60" i="12"/>
  <c r="AS60" i="12" s="1"/>
  <c r="S63" i="17" s="1"/>
  <c r="Z60" i="12"/>
  <c r="AR60" i="12" s="1"/>
  <c r="R63" i="17" s="1"/>
  <c r="AX59" i="12"/>
  <c r="X62" i="17" s="1"/>
  <c r="AW59" i="12"/>
  <c r="W62" i="17" s="1"/>
  <c r="AU59" i="12"/>
  <c r="U62" i="17" s="1"/>
  <c r="AT59" i="12"/>
  <c r="T62" i="17" s="1"/>
  <c r="AP59" i="12"/>
  <c r="P62" i="17" s="1"/>
  <c r="AO59" i="12"/>
  <c r="O62" i="17" s="1"/>
  <c r="AN59" i="12"/>
  <c r="N62" i="17" s="1"/>
  <c r="AM59" i="12"/>
  <c r="M62" i="17" s="1"/>
  <c r="AL59" i="12"/>
  <c r="L62" i="17" s="1"/>
  <c r="AK59" i="12"/>
  <c r="K62" i="17" s="1"/>
  <c r="AJ59" i="12"/>
  <c r="AA59" i="12"/>
  <c r="AS59" i="12" s="1"/>
  <c r="S62" i="17" s="1"/>
  <c r="Z59" i="12"/>
  <c r="AR59" i="12" s="1"/>
  <c r="R62" i="17" s="1"/>
  <c r="AX58" i="12"/>
  <c r="X61" i="17" s="1"/>
  <c r="AW58" i="12"/>
  <c r="W61" i="17" s="1"/>
  <c r="AU58" i="12"/>
  <c r="U61" i="17" s="1"/>
  <c r="AT58" i="12"/>
  <c r="T61" i="17" s="1"/>
  <c r="AP58" i="12"/>
  <c r="P61" i="17" s="1"/>
  <c r="AO58" i="12"/>
  <c r="O61" i="17" s="1"/>
  <c r="AN58" i="12"/>
  <c r="N61" i="17" s="1"/>
  <c r="AM58" i="12"/>
  <c r="M61" i="17" s="1"/>
  <c r="AL58" i="12"/>
  <c r="L61" i="17" s="1"/>
  <c r="AK58" i="12"/>
  <c r="K61" i="17" s="1"/>
  <c r="AJ58" i="12"/>
  <c r="AA58" i="12"/>
  <c r="AS58" i="12" s="1"/>
  <c r="S61" i="17" s="1"/>
  <c r="Z58" i="12"/>
  <c r="AR58" i="12" s="1"/>
  <c r="R61" i="17" s="1"/>
  <c r="AX57" i="12"/>
  <c r="X60" i="17" s="1"/>
  <c r="AW57" i="12"/>
  <c r="W60" i="17" s="1"/>
  <c r="AU57" i="12"/>
  <c r="U60" i="17" s="1"/>
  <c r="AT57" i="12"/>
  <c r="T60" i="17" s="1"/>
  <c r="AP57" i="12"/>
  <c r="P60" i="17" s="1"/>
  <c r="AO57" i="12"/>
  <c r="O60" i="17" s="1"/>
  <c r="AN57" i="12"/>
  <c r="N60" i="17" s="1"/>
  <c r="AM57" i="12"/>
  <c r="M60" i="17" s="1"/>
  <c r="AL57" i="12"/>
  <c r="L60" i="17" s="1"/>
  <c r="AK57" i="12"/>
  <c r="K60" i="17" s="1"/>
  <c r="AJ57" i="12"/>
  <c r="AA57" i="12"/>
  <c r="AS57" i="12" s="1"/>
  <c r="S60" i="17" s="1"/>
  <c r="Z57" i="12"/>
  <c r="AR57" i="12" s="1"/>
  <c r="R60" i="17" s="1"/>
  <c r="AX56" i="12"/>
  <c r="X59" i="17" s="1"/>
  <c r="AW56" i="12"/>
  <c r="W59" i="17" s="1"/>
  <c r="AU56" i="12"/>
  <c r="U59" i="17" s="1"/>
  <c r="AT56" i="12"/>
  <c r="T59" i="17" s="1"/>
  <c r="AP56" i="12"/>
  <c r="P59" i="17" s="1"/>
  <c r="AO56" i="12"/>
  <c r="O59" i="17" s="1"/>
  <c r="AN56" i="12"/>
  <c r="N59" i="17" s="1"/>
  <c r="AM56" i="12"/>
  <c r="M59" i="17" s="1"/>
  <c r="AL56" i="12"/>
  <c r="L59" i="17" s="1"/>
  <c r="AK56" i="12"/>
  <c r="K59" i="17" s="1"/>
  <c r="AJ56" i="12"/>
  <c r="J59" i="17" s="1"/>
  <c r="AA56" i="12"/>
  <c r="AS56" i="12" s="1"/>
  <c r="S59" i="17" s="1"/>
  <c r="Z56" i="12"/>
  <c r="AR56" i="12" s="1"/>
  <c r="R59" i="17" s="1"/>
  <c r="AX55" i="12"/>
  <c r="X58" i="17" s="1"/>
  <c r="AW55" i="12"/>
  <c r="W58" i="17" s="1"/>
  <c r="AU55" i="12"/>
  <c r="U58" i="17" s="1"/>
  <c r="AT55" i="12"/>
  <c r="T58" i="17" s="1"/>
  <c r="AP55" i="12"/>
  <c r="P58" i="17" s="1"/>
  <c r="AO55" i="12"/>
  <c r="O58" i="17" s="1"/>
  <c r="AN55" i="12"/>
  <c r="N58" i="17" s="1"/>
  <c r="AM55" i="12"/>
  <c r="M58" i="17" s="1"/>
  <c r="AL55" i="12"/>
  <c r="L58" i="17" s="1"/>
  <c r="AK55" i="12"/>
  <c r="K58" i="17" s="1"/>
  <c r="AJ55" i="12"/>
  <c r="J58" i="17" s="1"/>
  <c r="AA55" i="12"/>
  <c r="AS55" i="12" s="1"/>
  <c r="S58" i="17" s="1"/>
  <c r="Z55" i="12"/>
  <c r="AR55" i="12" s="1"/>
  <c r="R58" i="17" s="1"/>
  <c r="AX54" i="12"/>
  <c r="X57" i="17" s="1"/>
  <c r="AW54" i="12"/>
  <c r="W57" i="17" s="1"/>
  <c r="AU54" i="12"/>
  <c r="U57" i="17" s="1"/>
  <c r="AT54" i="12"/>
  <c r="T57" i="17" s="1"/>
  <c r="AP54" i="12"/>
  <c r="P57" i="17" s="1"/>
  <c r="AO54" i="12"/>
  <c r="O57" i="17" s="1"/>
  <c r="AN54" i="12"/>
  <c r="N57" i="17" s="1"/>
  <c r="AM54" i="12"/>
  <c r="M57" i="17" s="1"/>
  <c r="AL54" i="12"/>
  <c r="L57" i="17" s="1"/>
  <c r="AK54" i="12"/>
  <c r="K57" i="17" s="1"/>
  <c r="AJ54" i="12"/>
  <c r="J57" i="17" s="1"/>
  <c r="AA54" i="12"/>
  <c r="AS54" i="12" s="1"/>
  <c r="S57" i="17" s="1"/>
  <c r="Z54" i="12"/>
  <c r="AR54" i="12" s="1"/>
  <c r="R57" i="17" s="1"/>
  <c r="AX53" i="12"/>
  <c r="X56" i="17" s="1"/>
  <c r="AW53" i="12"/>
  <c r="W56" i="17" s="1"/>
  <c r="AU53" i="12"/>
  <c r="U56" i="17" s="1"/>
  <c r="AT53" i="12"/>
  <c r="T56" i="17" s="1"/>
  <c r="AP53" i="12"/>
  <c r="P56" i="17" s="1"/>
  <c r="AO53" i="12"/>
  <c r="O56" i="17" s="1"/>
  <c r="AN53" i="12"/>
  <c r="N56" i="17" s="1"/>
  <c r="AM53" i="12"/>
  <c r="M56" i="17" s="1"/>
  <c r="AL53" i="12"/>
  <c r="L56" i="17" s="1"/>
  <c r="AK53" i="12"/>
  <c r="K56" i="17" s="1"/>
  <c r="AJ53" i="12"/>
  <c r="J56" i="17" s="1"/>
  <c r="AA53" i="12"/>
  <c r="AS53" i="12" s="1"/>
  <c r="S56" i="17" s="1"/>
  <c r="Z53" i="12"/>
  <c r="AR53" i="12" s="1"/>
  <c r="R56" i="17" s="1"/>
  <c r="AX52" i="12"/>
  <c r="X55" i="17" s="1"/>
  <c r="AW52" i="12"/>
  <c r="W55" i="17" s="1"/>
  <c r="AU52" i="12"/>
  <c r="U55" i="17" s="1"/>
  <c r="AT52" i="12"/>
  <c r="T55" i="17" s="1"/>
  <c r="AP52" i="12"/>
  <c r="P55" i="17" s="1"/>
  <c r="AO52" i="12"/>
  <c r="O55" i="17" s="1"/>
  <c r="AN52" i="12"/>
  <c r="N55" i="17" s="1"/>
  <c r="AM52" i="12"/>
  <c r="M55" i="17" s="1"/>
  <c r="AL52" i="12"/>
  <c r="L55" i="17" s="1"/>
  <c r="AK52" i="12"/>
  <c r="K55" i="17" s="1"/>
  <c r="AJ52" i="12"/>
  <c r="AA52" i="12"/>
  <c r="AS52" i="12" s="1"/>
  <c r="S55" i="17" s="1"/>
  <c r="Z52" i="12"/>
  <c r="AR52" i="12" s="1"/>
  <c r="R55" i="17" s="1"/>
  <c r="AX51" i="12"/>
  <c r="X54" i="17" s="1"/>
  <c r="AW51" i="12"/>
  <c r="W54" i="17" s="1"/>
  <c r="AU51" i="12"/>
  <c r="U54" i="17" s="1"/>
  <c r="AT51" i="12"/>
  <c r="T54" i="17" s="1"/>
  <c r="AP51" i="12"/>
  <c r="P54" i="17" s="1"/>
  <c r="AO51" i="12"/>
  <c r="O54" i="17" s="1"/>
  <c r="AN51" i="12"/>
  <c r="N54" i="17" s="1"/>
  <c r="AM51" i="12"/>
  <c r="M54" i="17" s="1"/>
  <c r="AL51" i="12"/>
  <c r="L54" i="17" s="1"/>
  <c r="AK51" i="12"/>
  <c r="K54" i="17" s="1"/>
  <c r="AJ51" i="12"/>
  <c r="AA51" i="12"/>
  <c r="AS51" i="12" s="1"/>
  <c r="S54" i="17" s="1"/>
  <c r="Z51" i="12"/>
  <c r="AR51" i="12" s="1"/>
  <c r="R54" i="17" s="1"/>
  <c r="AX50" i="12"/>
  <c r="X53" i="17" s="1"/>
  <c r="AW50" i="12"/>
  <c r="W53" i="17" s="1"/>
  <c r="AU50" i="12"/>
  <c r="U53" i="17" s="1"/>
  <c r="AT50" i="12"/>
  <c r="T53" i="17" s="1"/>
  <c r="AP50" i="12"/>
  <c r="P53" i="17" s="1"/>
  <c r="AO50" i="12"/>
  <c r="O53" i="17" s="1"/>
  <c r="AN50" i="12"/>
  <c r="N53" i="17" s="1"/>
  <c r="AM50" i="12"/>
  <c r="M53" i="17" s="1"/>
  <c r="AL50" i="12"/>
  <c r="L53" i="17" s="1"/>
  <c r="AK50" i="12"/>
  <c r="K53" i="17" s="1"/>
  <c r="AJ50" i="12"/>
  <c r="AA50" i="12"/>
  <c r="AS50" i="12" s="1"/>
  <c r="S53" i="17" s="1"/>
  <c r="Z50" i="12"/>
  <c r="AR50" i="12" s="1"/>
  <c r="R53" i="17" s="1"/>
  <c r="AX49" i="12"/>
  <c r="X52" i="17" s="1"/>
  <c r="AW49" i="12"/>
  <c r="W52" i="17" s="1"/>
  <c r="AU49" i="12"/>
  <c r="U52" i="17" s="1"/>
  <c r="AT49" i="12"/>
  <c r="T52" i="17" s="1"/>
  <c r="AP49" i="12"/>
  <c r="P52" i="17" s="1"/>
  <c r="AO49" i="12"/>
  <c r="O52" i="17" s="1"/>
  <c r="AN49" i="12"/>
  <c r="N52" i="17" s="1"/>
  <c r="AM49" i="12"/>
  <c r="M52" i="17" s="1"/>
  <c r="AL49" i="12"/>
  <c r="L52" i="17" s="1"/>
  <c r="AK49" i="12"/>
  <c r="K52" i="17" s="1"/>
  <c r="AJ49" i="12"/>
  <c r="AA49" i="12"/>
  <c r="AS49" i="12" s="1"/>
  <c r="S52" i="17" s="1"/>
  <c r="Z49" i="12"/>
  <c r="AR49" i="12" s="1"/>
  <c r="R52" i="17" s="1"/>
  <c r="AX48" i="12"/>
  <c r="X51" i="17" s="1"/>
  <c r="AW48" i="12"/>
  <c r="W51" i="17" s="1"/>
  <c r="AU48" i="12"/>
  <c r="U51" i="17" s="1"/>
  <c r="AT48" i="12"/>
  <c r="T51" i="17" s="1"/>
  <c r="AP48" i="12"/>
  <c r="P51" i="17" s="1"/>
  <c r="AO48" i="12"/>
  <c r="O51" i="17" s="1"/>
  <c r="AN48" i="12"/>
  <c r="N51" i="17" s="1"/>
  <c r="AM48" i="12"/>
  <c r="M51" i="17" s="1"/>
  <c r="AL48" i="12"/>
  <c r="L51" i="17" s="1"/>
  <c r="AK48" i="12"/>
  <c r="K51" i="17" s="1"/>
  <c r="AJ48" i="12"/>
  <c r="J51" i="17" s="1"/>
  <c r="AA48" i="12"/>
  <c r="AS48" i="12" s="1"/>
  <c r="S51" i="17" s="1"/>
  <c r="Z48" i="12"/>
  <c r="AR48" i="12" s="1"/>
  <c r="R51" i="17" s="1"/>
  <c r="AX47" i="12"/>
  <c r="X50" i="17" s="1"/>
  <c r="AW47" i="12"/>
  <c r="W50" i="17" s="1"/>
  <c r="AU47" i="12"/>
  <c r="U50" i="17" s="1"/>
  <c r="AT47" i="12"/>
  <c r="T50" i="17" s="1"/>
  <c r="AP47" i="12"/>
  <c r="P50" i="17" s="1"/>
  <c r="AO47" i="12"/>
  <c r="O50" i="17" s="1"/>
  <c r="AN47" i="12"/>
  <c r="N50" i="17" s="1"/>
  <c r="AM47" i="12"/>
  <c r="M50" i="17" s="1"/>
  <c r="AL47" i="12"/>
  <c r="L50" i="17" s="1"/>
  <c r="AK47" i="12"/>
  <c r="K50" i="17" s="1"/>
  <c r="AJ47" i="12"/>
  <c r="J50" i="17" s="1"/>
  <c r="AA47" i="12"/>
  <c r="AS47" i="12" s="1"/>
  <c r="S50" i="17" s="1"/>
  <c r="Z47" i="12"/>
  <c r="AR47" i="12" s="1"/>
  <c r="R50" i="17" s="1"/>
  <c r="AX46" i="12"/>
  <c r="X49" i="17" s="1"/>
  <c r="AW46" i="12"/>
  <c r="W49" i="17" s="1"/>
  <c r="AU46" i="12"/>
  <c r="U49" i="17" s="1"/>
  <c r="AT46" i="12"/>
  <c r="T49" i="17" s="1"/>
  <c r="AP46" i="12"/>
  <c r="P49" i="17" s="1"/>
  <c r="AO46" i="12"/>
  <c r="O49" i="17" s="1"/>
  <c r="AN46" i="12"/>
  <c r="N49" i="17" s="1"/>
  <c r="AM46" i="12"/>
  <c r="M49" i="17" s="1"/>
  <c r="AL46" i="12"/>
  <c r="L49" i="17" s="1"/>
  <c r="AK46" i="12"/>
  <c r="K49" i="17" s="1"/>
  <c r="AJ46" i="12"/>
  <c r="J49" i="17" s="1"/>
  <c r="AA46" i="12"/>
  <c r="AS46" i="12" s="1"/>
  <c r="S49" i="17" s="1"/>
  <c r="Z46" i="12"/>
  <c r="AR46" i="12" s="1"/>
  <c r="R49" i="17" s="1"/>
  <c r="AX45" i="12"/>
  <c r="X46" i="17" s="1"/>
  <c r="AW45" i="12"/>
  <c r="W46" i="17" s="1"/>
  <c r="AU45" i="12"/>
  <c r="U46" i="17" s="1"/>
  <c r="AT45" i="12"/>
  <c r="T46" i="17" s="1"/>
  <c r="AP45" i="12"/>
  <c r="P46" i="17" s="1"/>
  <c r="AO45" i="12"/>
  <c r="O46" i="17" s="1"/>
  <c r="AN45" i="12"/>
  <c r="N46" i="17" s="1"/>
  <c r="AM45" i="12"/>
  <c r="M46" i="17" s="1"/>
  <c r="AL45" i="12"/>
  <c r="L46" i="17" s="1"/>
  <c r="AK45" i="12"/>
  <c r="K46" i="17" s="1"/>
  <c r="AJ45" i="12"/>
  <c r="AA45" i="12"/>
  <c r="AS45" i="12" s="1"/>
  <c r="S46" i="17" s="1"/>
  <c r="Z45" i="12"/>
  <c r="AR45" i="12" s="1"/>
  <c r="R46" i="17" s="1"/>
  <c r="AX44" i="12"/>
  <c r="X45" i="17" s="1"/>
  <c r="AW44" i="12"/>
  <c r="W45" i="17" s="1"/>
  <c r="AU44" i="12"/>
  <c r="U45" i="17" s="1"/>
  <c r="AT44" i="12"/>
  <c r="T45" i="17" s="1"/>
  <c r="AP44" i="12"/>
  <c r="P45" i="17" s="1"/>
  <c r="AO44" i="12"/>
  <c r="O45" i="17" s="1"/>
  <c r="AN44" i="12"/>
  <c r="N45" i="17" s="1"/>
  <c r="AM44" i="12"/>
  <c r="M45" i="17" s="1"/>
  <c r="AL44" i="12"/>
  <c r="L45" i="17" s="1"/>
  <c r="AK44" i="12"/>
  <c r="K45" i="17" s="1"/>
  <c r="AJ44" i="12"/>
  <c r="J45" i="17" s="1"/>
  <c r="AA44" i="12"/>
  <c r="AS44" i="12" s="1"/>
  <c r="S45" i="17" s="1"/>
  <c r="Z44" i="12"/>
  <c r="AR44" i="12" s="1"/>
  <c r="R45" i="17" s="1"/>
  <c r="AX43" i="12"/>
  <c r="X44" i="17" s="1"/>
  <c r="AW43" i="12"/>
  <c r="W44" i="17" s="1"/>
  <c r="AU43" i="12"/>
  <c r="U44" i="17" s="1"/>
  <c r="AT43" i="12"/>
  <c r="T44" i="17" s="1"/>
  <c r="AP43" i="12"/>
  <c r="P44" i="17" s="1"/>
  <c r="AO43" i="12"/>
  <c r="O44" i="17" s="1"/>
  <c r="AN43" i="12"/>
  <c r="N44" i="17" s="1"/>
  <c r="AM43" i="12"/>
  <c r="M44" i="17" s="1"/>
  <c r="AL43" i="12"/>
  <c r="L44" i="17" s="1"/>
  <c r="AK43" i="12"/>
  <c r="K44" i="17" s="1"/>
  <c r="AJ43" i="12"/>
  <c r="J44" i="17" s="1"/>
  <c r="AA43" i="12"/>
  <c r="AS43" i="12" s="1"/>
  <c r="S44" i="17" s="1"/>
  <c r="Z43" i="12"/>
  <c r="AR43" i="12" s="1"/>
  <c r="R44" i="17" s="1"/>
  <c r="AX42" i="12"/>
  <c r="X43" i="17" s="1"/>
  <c r="AW42" i="12"/>
  <c r="W43" i="17" s="1"/>
  <c r="AU42" i="12"/>
  <c r="U43" i="17" s="1"/>
  <c r="AT42" i="12"/>
  <c r="T43" i="17" s="1"/>
  <c r="AP42" i="12"/>
  <c r="P43" i="17" s="1"/>
  <c r="AO42" i="12"/>
  <c r="O43" i="17" s="1"/>
  <c r="AN42" i="12"/>
  <c r="N43" i="17" s="1"/>
  <c r="AM42" i="12"/>
  <c r="M43" i="17" s="1"/>
  <c r="AL42" i="12"/>
  <c r="L43" i="17" s="1"/>
  <c r="AK42" i="12"/>
  <c r="K43" i="17" s="1"/>
  <c r="AJ42" i="12"/>
  <c r="AA42" i="12"/>
  <c r="AS42" i="12" s="1"/>
  <c r="S43" i="17" s="1"/>
  <c r="Z42" i="12"/>
  <c r="AR42" i="12" s="1"/>
  <c r="R43" i="17" s="1"/>
  <c r="AX41" i="12"/>
  <c r="X42" i="17" s="1"/>
  <c r="AW41" i="12"/>
  <c r="W42" i="17" s="1"/>
  <c r="AU41" i="12"/>
  <c r="U42" i="17" s="1"/>
  <c r="AT41" i="12"/>
  <c r="T42" i="17" s="1"/>
  <c r="AP41" i="12"/>
  <c r="P42" i="17" s="1"/>
  <c r="AO41" i="12"/>
  <c r="O42" i="17" s="1"/>
  <c r="AN41" i="12"/>
  <c r="N42" i="17" s="1"/>
  <c r="AM41" i="12"/>
  <c r="M42" i="17" s="1"/>
  <c r="AL41" i="12"/>
  <c r="L42" i="17" s="1"/>
  <c r="AK41" i="12"/>
  <c r="K42" i="17" s="1"/>
  <c r="AJ41" i="12"/>
  <c r="AA41" i="12"/>
  <c r="AS41" i="12" s="1"/>
  <c r="S42" i="17" s="1"/>
  <c r="Z41" i="12"/>
  <c r="AR41" i="12" s="1"/>
  <c r="R42" i="17" s="1"/>
  <c r="AX40" i="12"/>
  <c r="X41" i="17" s="1"/>
  <c r="AW40" i="12"/>
  <c r="W41" i="17" s="1"/>
  <c r="AU40" i="12"/>
  <c r="U41" i="17" s="1"/>
  <c r="AT40" i="12"/>
  <c r="T41" i="17" s="1"/>
  <c r="AP40" i="12"/>
  <c r="P41" i="17" s="1"/>
  <c r="AO40" i="12"/>
  <c r="O41" i="17" s="1"/>
  <c r="AN40" i="12"/>
  <c r="N41" i="17" s="1"/>
  <c r="AM40" i="12"/>
  <c r="M41" i="17" s="1"/>
  <c r="AL40" i="12"/>
  <c r="L41" i="17" s="1"/>
  <c r="AK40" i="12"/>
  <c r="K41" i="17" s="1"/>
  <c r="AJ40" i="12"/>
  <c r="AA40" i="12"/>
  <c r="AS40" i="12" s="1"/>
  <c r="S41" i="17" s="1"/>
  <c r="Z40" i="12"/>
  <c r="AR40" i="12" s="1"/>
  <c r="R41" i="17" s="1"/>
  <c r="AX39" i="12"/>
  <c r="X40" i="17" s="1"/>
  <c r="AW39" i="12"/>
  <c r="W40" i="17" s="1"/>
  <c r="AU39" i="12"/>
  <c r="U40" i="17" s="1"/>
  <c r="AT39" i="12"/>
  <c r="T40" i="17" s="1"/>
  <c r="AP39" i="12"/>
  <c r="P40" i="17" s="1"/>
  <c r="AO39" i="12"/>
  <c r="O40" i="17" s="1"/>
  <c r="AN39" i="12"/>
  <c r="N40" i="17" s="1"/>
  <c r="AM39" i="12"/>
  <c r="M40" i="17" s="1"/>
  <c r="AL39" i="12"/>
  <c r="L40" i="17" s="1"/>
  <c r="AK39" i="12"/>
  <c r="K40" i="17" s="1"/>
  <c r="AJ39" i="12"/>
  <c r="AA39" i="12"/>
  <c r="AS39" i="12" s="1"/>
  <c r="S40" i="17" s="1"/>
  <c r="Z39" i="12"/>
  <c r="AR39" i="12" s="1"/>
  <c r="R40" i="17" s="1"/>
  <c r="AX38" i="12"/>
  <c r="X39" i="17" s="1"/>
  <c r="AW38" i="12"/>
  <c r="W39" i="17" s="1"/>
  <c r="AU38" i="12"/>
  <c r="U39" i="17" s="1"/>
  <c r="AT38" i="12"/>
  <c r="T39" i="17" s="1"/>
  <c r="AP38" i="12"/>
  <c r="P39" i="17" s="1"/>
  <c r="AO38" i="12"/>
  <c r="O39" i="17" s="1"/>
  <c r="AN38" i="12"/>
  <c r="N39" i="17" s="1"/>
  <c r="AM38" i="12"/>
  <c r="M39" i="17" s="1"/>
  <c r="AL38" i="12"/>
  <c r="L39" i="17" s="1"/>
  <c r="AK38" i="12"/>
  <c r="K39" i="17" s="1"/>
  <c r="AJ38" i="12"/>
  <c r="AA38" i="12"/>
  <c r="AS38" i="12" s="1"/>
  <c r="S39" i="17" s="1"/>
  <c r="Z38" i="12"/>
  <c r="AR38" i="12" s="1"/>
  <c r="R39" i="17" s="1"/>
  <c r="AX37" i="12"/>
  <c r="X38" i="17" s="1"/>
  <c r="AW37" i="12"/>
  <c r="W38" i="17" s="1"/>
  <c r="AU37" i="12"/>
  <c r="U38" i="17" s="1"/>
  <c r="AT37" i="12"/>
  <c r="T38" i="17" s="1"/>
  <c r="AP37" i="12"/>
  <c r="P38" i="17" s="1"/>
  <c r="AO37" i="12"/>
  <c r="O38" i="17" s="1"/>
  <c r="AN37" i="12"/>
  <c r="N38" i="17" s="1"/>
  <c r="AM37" i="12"/>
  <c r="M38" i="17" s="1"/>
  <c r="AL37" i="12"/>
  <c r="L38" i="17" s="1"/>
  <c r="AK37" i="12"/>
  <c r="K38" i="17" s="1"/>
  <c r="AJ37" i="12"/>
  <c r="AA37" i="12"/>
  <c r="AS37" i="12" s="1"/>
  <c r="S38" i="17" s="1"/>
  <c r="Z37" i="12"/>
  <c r="AR37" i="12" s="1"/>
  <c r="R38" i="17" s="1"/>
  <c r="AX36" i="12"/>
  <c r="X37" i="17" s="1"/>
  <c r="AW36" i="12"/>
  <c r="W37" i="17" s="1"/>
  <c r="AU36" i="12"/>
  <c r="U37" i="17" s="1"/>
  <c r="AT36" i="12"/>
  <c r="T37" i="17" s="1"/>
  <c r="AP36" i="12"/>
  <c r="P37" i="17" s="1"/>
  <c r="AO36" i="12"/>
  <c r="O37" i="17" s="1"/>
  <c r="AN36" i="12"/>
  <c r="N37" i="17" s="1"/>
  <c r="AM36" i="12"/>
  <c r="M37" i="17" s="1"/>
  <c r="AL36" i="12"/>
  <c r="L37" i="17" s="1"/>
  <c r="AK36" i="12"/>
  <c r="K37" i="17" s="1"/>
  <c r="AJ36" i="12"/>
  <c r="AA36" i="12"/>
  <c r="AS36" i="12" s="1"/>
  <c r="S37" i="17" s="1"/>
  <c r="Z36" i="12"/>
  <c r="AR36" i="12" s="1"/>
  <c r="R37" i="17" s="1"/>
  <c r="AX35" i="12"/>
  <c r="X36" i="17" s="1"/>
  <c r="AW35" i="12"/>
  <c r="W36" i="17" s="1"/>
  <c r="AU35" i="12"/>
  <c r="U36" i="17" s="1"/>
  <c r="AT35" i="12"/>
  <c r="T36" i="17" s="1"/>
  <c r="AP35" i="12"/>
  <c r="P36" i="17" s="1"/>
  <c r="AO35" i="12"/>
  <c r="O36" i="17" s="1"/>
  <c r="AN35" i="12"/>
  <c r="N36" i="17" s="1"/>
  <c r="AM35" i="12"/>
  <c r="M36" i="17" s="1"/>
  <c r="AL35" i="12"/>
  <c r="L36" i="17" s="1"/>
  <c r="AK35" i="12"/>
  <c r="K36" i="17" s="1"/>
  <c r="AJ35" i="12"/>
  <c r="AA35" i="12"/>
  <c r="AS35" i="12" s="1"/>
  <c r="S36" i="17" s="1"/>
  <c r="Z35" i="12"/>
  <c r="AR35" i="12" s="1"/>
  <c r="R36" i="17" s="1"/>
  <c r="AX34" i="12"/>
  <c r="X35" i="17" s="1"/>
  <c r="AW34" i="12"/>
  <c r="W35" i="17" s="1"/>
  <c r="AU34" i="12"/>
  <c r="U35" i="17" s="1"/>
  <c r="AT34" i="12"/>
  <c r="T35" i="17" s="1"/>
  <c r="AP34" i="12"/>
  <c r="P35" i="17" s="1"/>
  <c r="AO34" i="12"/>
  <c r="O35" i="17" s="1"/>
  <c r="AN34" i="12"/>
  <c r="N35" i="17" s="1"/>
  <c r="AM34" i="12"/>
  <c r="M35" i="17" s="1"/>
  <c r="AL34" i="12"/>
  <c r="L35" i="17" s="1"/>
  <c r="AK34" i="12"/>
  <c r="K35" i="17" s="1"/>
  <c r="AJ34" i="12"/>
  <c r="AA34" i="12"/>
  <c r="AS34" i="12" s="1"/>
  <c r="S35" i="17" s="1"/>
  <c r="Z34" i="12"/>
  <c r="AR34" i="12" s="1"/>
  <c r="R35" i="17" s="1"/>
  <c r="AX33" i="12"/>
  <c r="X34" i="17" s="1"/>
  <c r="AW33" i="12"/>
  <c r="W34" i="17" s="1"/>
  <c r="AU33" i="12"/>
  <c r="U34" i="17" s="1"/>
  <c r="AT33" i="12"/>
  <c r="T34" i="17" s="1"/>
  <c r="AP33" i="12"/>
  <c r="P34" i="17" s="1"/>
  <c r="AO33" i="12"/>
  <c r="O34" i="17" s="1"/>
  <c r="AN33" i="12"/>
  <c r="N34" i="17" s="1"/>
  <c r="AM33" i="12"/>
  <c r="M34" i="17" s="1"/>
  <c r="AL33" i="12"/>
  <c r="L34" i="17" s="1"/>
  <c r="AK33" i="12"/>
  <c r="K34" i="17" s="1"/>
  <c r="AJ33" i="12"/>
  <c r="AA33" i="12"/>
  <c r="AS33" i="12" s="1"/>
  <c r="S34" i="17" s="1"/>
  <c r="Z33" i="12"/>
  <c r="AR33" i="12" s="1"/>
  <c r="R34" i="17" s="1"/>
  <c r="AX32" i="12"/>
  <c r="X32" i="17" s="1"/>
  <c r="AW32" i="12"/>
  <c r="W32" i="17" s="1"/>
  <c r="AU32" i="12"/>
  <c r="U32" i="17" s="1"/>
  <c r="AT32" i="12"/>
  <c r="T32" i="17" s="1"/>
  <c r="AP32" i="12"/>
  <c r="P32" i="17" s="1"/>
  <c r="AO32" i="12"/>
  <c r="O32" i="17" s="1"/>
  <c r="AN32" i="12"/>
  <c r="N32" i="17" s="1"/>
  <c r="AM32" i="12"/>
  <c r="M32" i="17" s="1"/>
  <c r="AL32" i="12"/>
  <c r="L32" i="17" s="1"/>
  <c r="AK32" i="12"/>
  <c r="K32" i="17" s="1"/>
  <c r="AJ32" i="12"/>
  <c r="AA32" i="12"/>
  <c r="AS32" i="12" s="1"/>
  <c r="S32" i="17" s="1"/>
  <c r="Z32" i="12"/>
  <c r="AR32" i="12" s="1"/>
  <c r="R32" i="17" s="1"/>
  <c r="AX31" i="12"/>
  <c r="X31" i="17" s="1"/>
  <c r="AW31" i="12"/>
  <c r="W31" i="17" s="1"/>
  <c r="AU31" i="12"/>
  <c r="U31" i="17" s="1"/>
  <c r="AT31" i="12"/>
  <c r="T31" i="17" s="1"/>
  <c r="AP31" i="12"/>
  <c r="P31" i="17" s="1"/>
  <c r="AO31" i="12"/>
  <c r="O31" i="17" s="1"/>
  <c r="AN31" i="12"/>
  <c r="N31" i="17" s="1"/>
  <c r="AM31" i="12"/>
  <c r="M31" i="17" s="1"/>
  <c r="AL31" i="12"/>
  <c r="L31" i="17" s="1"/>
  <c r="AK31" i="12"/>
  <c r="K31" i="17" s="1"/>
  <c r="AJ31" i="12"/>
  <c r="J31" i="17" s="1"/>
  <c r="AA31" i="12"/>
  <c r="AS31" i="12" s="1"/>
  <c r="S31" i="17" s="1"/>
  <c r="Z31" i="12"/>
  <c r="AR31" i="12" s="1"/>
  <c r="R31" i="17" s="1"/>
  <c r="AX30" i="12"/>
  <c r="X30" i="17" s="1"/>
  <c r="AW30" i="12"/>
  <c r="W30" i="17" s="1"/>
  <c r="AU30" i="12"/>
  <c r="U30" i="17" s="1"/>
  <c r="AT30" i="12"/>
  <c r="T30" i="17" s="1"/>
  <c r="AP30" i="12"/>
  <c r="P30" i="17" s="1"/>
  <c r="AO30" i="12"/>
  <c r="O30" i="17" s="1"/>
  <c r="AN30" i="12"/>
  <c r="N30" i="17" s="1"/>
  <c r="AM30" i="12"/>
  <c r="M30" i="17" s="1"/>
  <c r="AL30" i="12"/>
  <c r="L30" i="17" s="1"/>
  <c r="AK30" i="12"/>
  <c r="K30" i="17" s="1"/>
  <c r="AJ30" i="12"/>
  <c r="J30" i="17" s="1"/>
  <c r="AA30" i="12"/>
  <c r="AS30" i="12" s="1"/>
  <c r="S30" i="17" s="1"/>
  <c r="Z30" i="12"/>
  <c r="AR30" i="12" s="1"/>
  <c r="R30" i="17" s="1"/>
  <c r="AX29" i="12"/>
  <c r="X29" i="17" s="1"/>
  <c r="AW29" i="12"/>
  <c r="W29" i="17" s="1"/>
  <c r="AU29" i="12"/>
  <c r="U29" i="17" s="1"/>
  <c r="AT29" i="12"/>
  <c r="T29" i="17" s="1"/>
  <c r="AP29" i="12"/>
  <c r="P29" i="17" s="1"/>
  <c r="AO29" i="12"/>
  <c r="O29" i="17" s="1"/>
  <c r="AN29" i="12"/>
  <c r="N29" i="17" s="1"/>
  <c r="AM29" i="12"/>
  <c r="M29" i="17" s="1"/>
  <c r="AL29" i="12"/>
  <c r="L29" i="17" s="1"/>
  <c r="AK29" i="12"/>
  <c r="K29" i="17" s="1"/>
  <c r="AJ29" i="12"/>
  <c r="AA29" i="12"/>
  <c r="AS29" i="12" s="1"/>
  <c r="S29" i="17" s="1"/>
  <c r="Z29" i="12"/>
  <c r="AR29" i="12" s="1"/>
  <c r="R29" i="17" s="1"/>
  <c r="AX28" i="12"/>
  <c r="X28" i="17" s="1"/>
  <c r="AW28" i="12"/>
  <c r="W28" i="17" s="1"/>
  <c r="AU28" i="12"/>
  <c r="U28" i="17" s="1"/>
  <c r="AT28" i="12"/>
  <c r="T28" i="17" s="1"/>
  <c r="AP28" i="12"/>
  <c r="P28" i="17" s="1"/>
  <c r="AO28" i="12"/>
  <c r="O28" i="17" s="1"/>
  <c r="AN28" i="12"/>
  <c r="N28" i="17" s="1"/>
  <c r="AM28" i="12"/>
  <c r="M28" i="17" s="1"/>
  <c r="AL28" i="12"/>
  <c r="L28" i="17" s="1"/>
  <c r="AK28" i="12"/>
  <c r="K28" i="17" s="1"/>
  <c r="AJ28" i="12"/>
  <c r="AA28" i="12"/>
  <c r="AS28" i="12" s="1"/>
  <c r="S28" i="17" s="1"/>
  <c r="Z28" i="12"/>
  <c r="AR28" i="12" s="1"/>
  <c r="R28" i="17" s="1"/>
  <c r="AX27" i="12"/>
  <c r="X27" i="17" s="1"/>
  <c r="AW27" i="12"/>
  <c r="W27" i="17" s="1"/>
  <c r="AU27" i="12"/>
  <c r="U27" i="17" s="1"/>
  <c r="AT27" i="12"/>
  <c r="T27" i="17" s="1"/>
  <c r="AP27" i="12"/>
  <c r="P27" i="17" s="1"/>
  <c r="AO27" i="12"/>
  <c r="O27" i="17" s="1"/>
  <c r="AN27" i="12"/>
  <c r="N27" i="17" s="1"/>
  <c r="AM27" i="12"/>
  <c r="M27" i="17" s="1"/>
  <c r="AL27" i="12"/>
  <c r="L27" i="17" s="1"/>
  <c r="AK27" i="12"/>
  <c r="K27" i="17" s="1"/>
  <c r="AJ27" i="12"/>
  <c r="AA27" i="12"/>
  <c r="AS27" i="12" s="1"/>
  <c r="S27" i="17" s="1"/>
  <c r="Z27" i="12"/>
  <c r="AR27" i="12" s="1"/>
  <c r="R27" i="17" s="1"/>
  <c r="AX26" i="12"/>
  <c r="X26" i="17" s="1"/>
  <c r="AW26" i="12"/>
  <c r="W26" i="17" s="1"/>
  <c r="AU26" i="12"/>
  <c r="U26" i="17" s="1"/>
  <c r="AT26" i="12"/>
  <c r="T26" i="17" s="1"/>
  <c r="AP26" i="12"/>
  <c r="P26" i="17" s="1"/>
  <c r="AO26" i="12"/>
  <c r="O26" i="17" s="1"/>
  <c r="AN26" i="12"/>
  <c r="N26" i="17" s="1"/>
  <c r="AM26" i="12"/>
  <c r="M26" i="17" s="1"/>
  <c r="AL26" i="12"/>
  <c r="L26" i="17" s="1"/>
  <c r="AK26" i="12"/>
  <c r="K26" i="17" s="1"/>
  <c r="AJ26" i="12"/>
  <c r="AA26" i="12"/>
  <c r="AS26" i="12" s="1"/>
  <c r="S26" i="17" s="1"/>
  <c r="Z26" i="12"/>
  <c r="AR26" i="12" s="1"/>
  <c r="R26" i="17" s="1"/>
  <c r="AX25" i="12"/>
  <c r="X25" i="17" s="1"/>
  <c r="AW25" i="12"/>
  <c r="W25" i="17" s="1"/>
  <c r="AU25" i="12"/>
  <c r="U25" i="17" s="1"/>
  <c r="AT25" i="12"/>
  <c r="T25" i="17" s="1"/>
  <c r="AP25" i="12"/>
  <c r="P25" i="17" s="1"/>
  <c r="AO25" i="12"/>
  <c r="O25" i="17" s="1"/>
  <c r="AN25" i="12"/>
  <c r="N25" i="17" s="1"/>
  <c r="AM25" i="12"/>
  <c r="M25" i="17" s="1"/>
  <c r="AL25" i="12"/>
  <c r="L25" i="17" s="1"/>
  <c r="AK25" i="12"/>
  <c r="K25" i="17" s="1"/>
  <c r="AJ25" i="12"/>
  <c r="J25" i="17" s="1"/>
  <c r="AA25" i="12"/>
  <c r="AS25" i="12" s="1"/>
  <c r="S25" i="17" s="1"/>
  <c r="Z25" i="12"/>
  <c r="AR25" i="12" s="1"/>
  <c r="R25" i="17" s="1"/>
  <c r="AX24" i="12"/>
  <c r="X24" i="17" s="1"/>
  <c r="AW24" i="12"/>
  <c r="W24" i="17" s="1"/>
  <c r="AU24" i="12"/>
  <c r="U24" i="17" s="1"/>
  <c r="AT24" i="12"/>
  <c r="T24" i="17" s="1"/>
  <c r="AP24" i="12"/>
  <c r="P24" i="17" s="1"/>
  <c r="AO24" i="12"/>
  <c r="O24" i="17" s="1"/>
  <c r="AN24" i="12"/>
  <c r="N24" i="17" s="1"/>
  <c r="AM24" i="12"/>
  <c r="M24" i="17" s="1"/>
  <c r="AL24" i="12"/>
  <c r="L24" i="17" s="1"/>
  <c r="AK24" i="12"/>
  <c r="K24" i="17" s="1"/>
  <c r="AJ24" i="12"/>
  <c r="J24" i="17" s="1"/>
  <c r="AA24" i="12"/>
  <c r="AS24" i="12" s="1"/>
  <c r="S24" i="17" s="1"/>
  <c r="Z24" i="12"/>
  <c r="AR24" i="12" s="1"/>
  <c r="R24" i="17" s="1"/>
  <c r="AX23" i="12"/>
  <c r="X23" i="17" s="1"/>
  <c r="AW23" i="12"/>
  <c r="W23" i="17" s="1"/>
  <c r="AU23" i="12"/>
  <c r="U23" i="17" s="1"/>
  <c r="AT23" i="12"/>
  <c r="T23" i="17" s="1"/>
  <c r="AP23" i="12"/>
  <c r="P23" i="17" s="1"/>
  <c r="AO23" i="12"/>
  <c r="O23" i="17" s="1"/>
  <c r="AN23" i="12"/>
  <c r="N23" i="17" s="1"/>
  <c r="AM23" i="12"/>
  <c r="M23" i="17" s="1"/>
  <c r="AL23" i="12"/>
  <c r="L23" i="17" s="1"/>
  <c r="AK23" i="12"/>
  <c r="K23" i="17" s="1"/>
  <c r="AJ23" i="12"/>
  <c r="J23" i="17" s="1"/>
  <c r="AA23" i="12"/>
  <c r="AS23" i="12" s="1"/>
  <c r="S23" i="17" s="1"/>
  <c r="Z23" i="12"/>
  <c r="AR23" i="12" s="1"/>
  <c r="R23" i="17" s="1"/>
  <c r="AX22" i="12"/>
  <c r="X22" i="17" s="1"/>
  <c r="AW22" i="12"/>
  <c r="W22" i="17" s="1"/>
  <c r="AU22" i="12"/>
  <c r="U22" i="17" s="1"/>
  <c r="AT22" i="12"/>
  <c r="T22" i="17" s="1"/>
  <c r="AP22" i="12"/>
  <c r="P22" i="17" s="1"/>
  <c r="AO22" i="12"/>
  <c r="O22" i="17" s="1"/>
  <c r="AN22" i="12"/>
  <c r="N22" i="17" s="1"/>
  <c r="AM22" i="12"/>
  <c r="M22" i="17" s="1"/>
  <c r="AL22" i="12"/>
  <c r="L22" i="17" s="1"/>
  <c r="AK22" i="12"/>
  <c r="K22" i="17" s="1"/>
  <c r="AJ22" i="12"/>
  <c r="AA22" i="12"/>
  <c r="AS22" i="12" s="1"/>
  <c r="S22" i="17" s="1"/>
  <c r="Z22" i="12"/>
  <c r="AR22" i="12" s="1"/>
  <c r="R22" i="17" s="1"/>
  <c r="AX21" i="12"/>
  <c r="X20" i="17" s="1"/>
  <c r="AW21" i="12"/>
  <c r="W20" i="17" s="1"/>
  <c r="AU21" i="12"/>
  <c r="U20" i="17" s="1"/>
  <c r="AT21" i="12"/>
  <c r="T20" i="17" s="1"/>
  <c r="AP21" i="12"/>
  <c r="P20" i="17" s="1"/>
  <c r="AO21" i="12"/>
  <c r="O20" i="17" s="1"/>
  <c r="AN21" i="12"/>
  <c r="N20" i="17" s="1"/>
  <c r="AM21" i="12"/>
  <c r="M20" i="17" s="1"/>
  <c r="AL21" i="12"/>
  <c r="L20" i="17" s="1"/>
  <c r="AK21" i="12"/>
  <c r="K20" i="17" s="1"/>
  <c r="AJ21" i="12"/>
  <c r="AA21" i="12"/>
  <c r="AS21" i="12" s="1"/>
  <c r="S20" i="17" s="1"/>
  <c r="Z21" i="12"/>
  <c r="AR21" i="12" s="1"/>
  <c r="R20" i="17" s="1"/>
  <c r="AX20" i="12"/>
  <c r="X19" i="17" s="1"/>
  <c r="AW20" i="12"/>
  <c r="W19" i="17" s="1"/>
  <c r="AU20" i="12"/>
  <c r="U19" i="17" s="1"/>
  <c r="AT20" i="12"/>
  <c r="T19" i="17" s="1"/>
  <c r="AP20" i="12"/>
  <c r="P19" i="17" s="1"/>
  <c r="AO20" i="12"/>
  <c r="O19" i="17" s="1"/>
  <c r="AN20" i="12"/>
  <c r="N19" i="17" s="1"/>
  <c r="AM20" i="12"/>
  <c r="M19" i="17" s="1"/>
  <c r="AL20" i="12"/>
  <c r="L19" i="17" s="1"/>
  <c r="AK20" i="12"/>
  <c r="K19" i="17" s="1"/>
  <c r="AJ20" i="12"/>
  <c r="AA20" i="12"/>
  <c r="AS20" i="12" s="1"/>
  <c r="S19" i="17" s="1"/>
  <c r="Z20" i="12"/>
  <c r="AR20" i="12" s="1"/>
  <c r="R19" i="17" s="1"/>
  <c r="AX19" i="12"/>
  <c r="X18" i="17" s="1"/>
  <c r="AW19" i="12"/>
  <c r="W18" i="17" s="1"/>
  <c r="AU19" i="12"/>
  <c r="U18" i="17" s="1"/>
  <c r="AT19" i="12"/>
  <c r="T18" i="17" s="1"/>
  <c r="AP19" i="12"/>
  <c r="P18" i="17" s="1"/>
  <c r="AO19" i="12"/>
  <c r="O18" i="17" s="1"/>
  <c r="AN19" i="12"/>
  <c r="N18" i="17" s="1"/>
  <c r="AM19" i="12"/>
  <c r="M18" i="17" s="1"/>
  <c r="AL19" i="12"/>
  <c r="L18" i="17" s="1"/>
  <c r="AK19" i="12"/>
  <c r="K18" i="17" s="1"/>
  <c r="AJ19" i="12"/>
  <c r="J18" i="17" s="1"/>
  <c r="AA19" i="12"/>
  <c r="AS19" i="12" s="1"/>
  <c r="S18" i="17" s="1"/>
  <c r="Z19" i="12"/>
  <c r="AR19" i="12" s="1"/>
  <c r="R18" i="17" s="1"/>
  <c r="AX18" i="12"/>
  <c r="AW18" i="12"/>
  <c r="AU18" i="12"/>
  <c r="AT18" i="12"/>
  <c r="AP18" i="12"/>
  <c r="AO18" i="12"/>
  <c r="AN18" i="12"/>
  <c r="AM18" i="12"/>
  <c r="AL18" i="12"/>
  <c r="AK18" i="12"/>
  <c r="AJ18" i="12"/>
  <c r="AV18" i="12" s="1"/>
  <c r="AA18" i="12"/>
  <c r="AS18" i="12" s="1"/>
  <c r="Z18" i="12"/>
  <c r="AR18" i="12" s="1"/>
  <c r="AX17" i="12"/>
  <c r="X17" i="17" s="1"/>
  <c r="AW17" i="12"/>
  <c r="W17" i="17" s="1"/>
  <c r="AU17" i="12"/>
  <c r="U17" i="17" s="1"/>
  <c r="AT17" i="12"/>
  <c r="T17" i="17" s="1"/>
  <c r="AP17" i="12"/>
  <c r="P17" i="17" s="1"/>
  <c r="AO17" i="12"/>
  <c r="O17" i="17" s="1"/>
  <c r="AN17" i="12"/>
  <c r="N17" i="17" s="1"/>
  <c r="AM17" i="12"/>
  <c r="M17" i="17" s="1"/>
  <c r="AL17" i="12"/>
  <c r="L17" i="17" s="1"/>
  <c r="AK17" i="12"/>
  <c r="K17" i="17" s="1"/>
  <c r="AJ17" i="12"/>
  <c r="AA17" i="12"/>
  <c r="AS17" i="12" s="1"/>
  <c r="S17" i="17" s="1"/>
  <c r="Z17" i="12"/>
  <c r="AR17" i="12" s="1"/>
  <c r="R17" i="17" s="1"/>
  <c r="AX16" i="12"/>
  <c r="X16" i="17" s="1"/>
  <c r="AW16" i="12"/>
  <c r="W16" i="17" s="1"/>
  <c r="AU16" i="12"/>
  <c r="U16" i="17" s="1"/>
  <c r="AT16" i="12"/>
  <c r="T16" i="17" s="1"/>
  <c r="AP16" i="12"/>
  <c r="P16" i="17" s="1"/>
  <c r="AO16" i="12"/>
  <c r="O16" i="17" s="1"/>
  <c r="AN16" i="12"/>
  <c r="N16" i="17" s="1"/>
  <c r="AM16" i="12"/>
  <c r="M16" i="17" s="1"/>
  <c r="AL16" i="12"/>
  <c r="L16" i="17" s="1"/>
  <c r="AK16" i="12"/>
  <c r="K16" i="17" s="1"/>
  <c r="AJ16" i="12"/>
  <c r="AA16" i="12"/>
  <c r="AS16" i="12" s="1"/>
  <c r="S16" i="17" s="1"/>
  <c r="Z16" i="12"/>
  <c r="AR16" i="12" s="1"/>
  <c r="R16" i="17" s="1"/>
  <c r="AX15" i="12"/>
  <c r="X15" i="17" s="1"/>
  <c r="AW15" i="12"/>
  <c r="W15" i="17" s="1"/>
  <c r="AU15" i="12"/>
  <c r="U15" i="17" s="1"/>
  <c r="AT15" i="12"/>
  <c r="T15" i="17" s="1"/>
  <c r="AP15" i="12"/>
  <c r="P15" i="17" s="1"/>
  <c r="AO15" i="12"/>
  <c r="O15" i="17" s="1"/>
  <c r="AN15" i="12"/>
  <c r="N15" i="17" s="1"/>
  <c r="AM15" i="12"/>
  <c r="M15" i="17" s="1"/>
  <c r="AL15" i="12"/>
  <c r="L15" i="17" s="1"/>
  <c r="AK15" i="12"/>
  <c r="K15" i="17" s="1"/>
  <c r="AJ15" i="12"/>
  <c r="J15" i="17" s="1"/>
  <c r="AA15" i="12"/>
  <c r="AS15" i="12" s="1"/>
  <c r="S15" i="17" s="1"/>
  <c r="Z15" i="12"/>
  <c r="AR15" i="12" s="1"/>
  <c r="R15" i="17" s="1"/>
  <c r="AX14" i="12"/>
  <c r="X14" i="17" s="1"/>
  <c r="AW14" i="12"/>
  <c r="W14" i="17" s="1"/>
  <c r="AU14" i="12"/>
  <c r="U14" i="17" s="1"/>
  <c r="AT14" i="12"/>
  <c r="T14" i="17" s="1"/>
  <c r="AP14" i="12"/>
  <c r="P14" i="17" s="1"/>
  <c r="AO14" i="12"/>
  <c r="O14" i="17" s="1"/>
  <c r="AN14" i="12"/>
  <c r="N14" i="17" s="1"/>
  <c r="AM14" i="12"/>
  <c r="M14" i="17" s="1"/>
  <c r="AL14" i="12"/>
  <c r="L14" i="17" s="1"/>
  <c r="AK14" i="12"/>
  <c r="K14" i="17" s="1"/>
  <c r="AJ14" i="12"/>
  <c r="AA14" i="12"/>
  <c r="AS14" i="12" s="1"/>
  <c r="S14" i="17" s="1"/>
  <c r="Z14" i="12"/>
  <c r="AR14" i="12" s="1"/>
  <c r="R14" i="17" s="1"/>
  <c r="AX13" i="12"/>
  <c r="X13" i="17" s="1"/>
  <c r="AW13" i="12"/>
  <c r="W13" i="17" s="1"/>
  <c r="AU13" i="12"/>
  <c r="U13" i="17" s="1"/>
  <c r="AT13" i="12"/>
  <c r="T13" i="17" s="1"/>
  <c r="AP13" i="12"/>
  <c r="P13" i="17" s="1"/>
  <c r="AO13" i="12"/>
  <c r="O13" i="17" s="1"/>
  <c r="AN13" i="12"/>
  <c r="N13" i="17" s="1"/>
  <c r="AM13" i="12"/>
  <c r="M13" i="17" s="1"/>
  <c r="AL13" i="12"/>
  <c r="L13" i="17" s="1"/>
  <c r="AK13" i="12"/>
  <c r="K13" i="17" s="1"/>
  <c r="AJ13" i="12"/>
  <c r="AA13" i="12"/>
  <c r="AS13" i="12" s="1"/>
  <c r="S13" i="17" s="1"/>
  <c r="Z13" i="12"/>
  <c r="AR13" i="12" s="1"/>
  <c r="R13" i="17" s="1"/>
  <c r="AX12" i="12"/>
  <c r="X12" i="17" s="1"/>
  <c r="AW12" i="12"/>
  <c r="W12" i="17" s="1"/>
  <c r="AU12" i="12"/>
  <c r="U12" i="17" s="1"/>
  <c r="AT12" i="12"/>
  <c r="T12" i="17" s="1"/>
  <c r="AP12" i="12"/>
  <c r="P12" i="17" s="1"/>
  <c r="AO12" i="12"/>
  <c r="O12" i="17" s="1"/>
  <c r="AN12" i="12"/>
  <c r="N12" i="17" s="1"/>
  <c r="AM12" i="12"/>
  <c r="M12" i="17" s="1"/>
  <c r="AL12" i="12"/>
  <c r="L12" i="17" s="1"/>
  <c r="AK12" i="12"/>
  <c r="K12" i="17" s="1"/>
  <c r="AJ12" i="12"/>
  <c r="AA12" i="12"/>
  <c r="AS12" i="12" s="1"/>
  <c r="S12" i="17" s="1"/>
  <c r="Z12" i="12"/>
  <c r="AR12" i="12" s="1"/>
  <c r="R12" i="17" s="1"/>
  <c r="AX11" i="12"/>
  <c r="X11" i="17" s="1"/>
  <c r="AW11" i="12"/>
  <c r="W11" i="17" s="1"/>
  <c r="AU11" i="12"/>
  <c r="U11" i="17" s="1"/>
  <c r="AT11" i="12"/>
  <c r="T11" i="17" s="1"/>
  <c r="AP11" i="12"/>
  <c r="P11" i="17" s="1"/>
  <c r="AO11" i="12"/>
  <c r="O11" i="17" s="1"/>
  <c r="AN11" i="12"/>
  <c r="N11" i="17" s="1"/>
  <c r="AM11" i="12"/>
  <c r="M11" i="17" s="1"/>
  <c r="AL11" i="12"/>
  <c r="L11" i="17" s="1"/>
  <c r="AK11" i="12"/>
  <c r="K11" i="17" s="1"/>
  <c r="AJ11" i="12"/>
  <c r="AA11" i="12"/>
  <c r="AS11" i="12" s="1"/>
  <c r="S11" i="17" s="1"/>
  <c r="Z11" i="12"/>
  <c r="AR11" i="12" s="1"/>
  <c r="R11" i="17" s="1"/>
  <c r="AX10" i="12"/>
  <c r="X10" i="17" s="1"/>
  <c r="AW10" i="12"/>
  <c r="W10" i="17" s="1"/>
  <c r="AU10" i="12"/>
  <c r="U10" i="17" s="1"/>
  <c r="AT10" i="12"/>
  <c r="T10" i="17" s="1"/>
  <c r="AP10" i="12"/>
  <c r="P10" i="17" s="1"/>
  <c r="AO10" i="12"/>
  <c r="O10" i="17" s="1"/>
  <c r="AN10" i="12"/>
  <c r="N10" i="17" s="1"/>
  <c r="AM10" i="12"/>
  <c r="M10" i="17" s="1"/>
  <c r="AL10" i="12"/>
  <c r="L10" i="17" s="1"/>
  <c r="AK10" i="12"/>
  <c r="K10" i="17" s="1"/>
  <c r="AJ10" i="12"/>
  <c r="AA10" i="12"/>
  <c r="AS10" i="12" s="1"/>
  <c r="S10" i="17" s="1"/>
  <c r="Z10" i="12"/>
  <c r="AR10" i="12" s="1"/>
  <c r="R10" i="17" s="1"/>
  <c r="AX9" i="12"/>
  <c r="X9" i="17" s="1"/>
  <c r="AW9" i="12"/>
  <c r="W9" i="17" s="1"/>
  <c r="AU9" i="12"/>
  <c r="U9" i="17" s="1"/>
  <c r="AT9" i="12"/>
  <c r="T9" i="17" s="1"/>
  <c r="AP9" i="12"/>
  <c r="P9" i="17" s="1"/>
  <c r="AO9" i="12"/>
  <c r="O9" i="17" s="1"/>
  <c r="AN9" i="12"/>
  <c r="N9" i="17" s="1"/>
  <c r="AM9" i="12"/>
  <c r="M9" i="17" s="1"/>
  <c r="AL9" i="12"/>
  <c r="L9" i="17" s="1"/>
  <c r="AK9" i="12"/>
  <c r="K9" i="17" s="1"/>
  <c r="AJ9" i="12"/>
  <c r="AA9" i="12"/>
  <c r="AS9" i="12" s="1"/>
  <c r="S9" i="17" s="1"/>
  <c r="Z9" i="12"/>
  <c r="AR9" i="12" s="1"/>
  <c r="R9" i="17" s="1"/>
  <c r="AX8" i="12"/>
  <c r="X8" i="17" s="1"/>
  <c r="AW8" i="12"/>
  <c r="W8" i="17" s="1"/>
  <c r="AU8" i="12"/>
  <c r="U8" i="17" s="1"/>
  <c r="AT8" i="12"/>
  <c r="T8" i="17" s="1"/>
  <c r="AP8" i="12"/>
  <c r="P8" i="17" s="1"/>
  <c r="AO8" i="12"/>
  <c r="O8" i="17" s="1"/>
  <c r="AN8" i="12"/>
  <c r="N8" i="17" s="1"/>
  <c r="AM8" i="12"/>
  <c r="M8" i="17" s="1"/>
  <c r="AL8" i="12"/>
  <c r="L8" i="17" s="1"/>
  <c r="AK8" i="12"/>
  <c r="K8" i="17" s="1"/>
  <c r="AJ8" i="12"/>
  <c r="AA8" i="12"/>
  <c r="AS8" i="12" s="1"/>
  <c r="S8" i="17" s="1"/>
  <c r="Z8" i="12"/>
  <c r="AR8" i="12" s="1"/>
  <c r="R8" i="17" s="1"/>
  <c r="AX7" i="12"/>
  <c r="X7" i="17" s="1"/>
  <c r="AW7" i="12"/>
  <c r="W7" i="17" s="1"/>
  <c r="AU7" i="12"/>
  <c r="U7" i="17" s="1"/>
  <c r="AT7" i="12"/>
  <c r="T7" i="17" s="1"/>
  <c r="AP7" i="12"/>
  <c r="P7" i="17" s="1"/>
  <c r="AO7" i="12"/>
  <c r="O7" i="17" s="1"/>
  <c r="AN7" i="12"/>
  <c r="N7" i="17" s="1"/>
  <c r="AM7" i="12"/>
  <c r="M7" i="17" s="1"/>
  <c r="AL7" i="12"/>
  <c r="L7" i="17" s="1"/>
  <c r="AK7" i="12"/>
  <c r="K7" i="17" s="1"/>
  <c r="AJ7" i="12"/>
  <c r="J7" i="17" s="1"/>
  <c r="AA7" i="12"/>
  <c r="AS7" i="12" s="1"/>
  <c r="S7" i="17" s="1"/>
  <c r="Z7" i="12"/>
  <c r="AR7" i="12" s="1"/>
  <c r="R7" i="17" s="1"/>
  <c r="AX6" i="12"/>
  <c r="X6" i="17" s="1"/>
  <c r="AW6" i="12"/>
  <c r="W6" i="17" s="1"/>
  <c r="AU6" i="12"/>
  <c r="U6" i="17" s="1"/>
  <c r="AT6" i="12"/>
  <c r="T6" i="17" s="1"/>
  <c r="AP6" i="12"/>
  <c r="P6" i="17" s="1"/>
  <c r="AO6" i="12"/>
  <c r="O6" i="17" s="1"/>
  <c r="AN6" i="12"/>
  <c r="N6" i="17" s="1"/>
  <c r="AM6" i="12"/>
  <c r="M6" i="17" s="1"/>
  <c r="AL6" i="12"/>
  <c r="L6" i="17" s="1"/>
  <c r="AK6" i="12"/>
  <c r="K6" i="17" s="1"/>
  <c r="AJ6" i="12"/>
  <c r="AA6" i="12"/>
  <c r="AS6" i="12" s="1"/>
  <c r="S6" i="17" s="1"/>
  <c r="Z6" i="12"/>
  <c r="AR6" i="12" s="1"/>
  <c r="R6" i="17" s="1"/>
  <c r="AX5" i="12"/>
  <c r="X5" i="17" s="1"/>
  <c r="AW5" i="12"/>
  <c r="W5" i="17" s="1"/>
  <c r="AU5" i="12"/>
  <c r="U5" i="17" s="1"/>
  <c r="AT5" i="12"/>
  <c r="T5" i="17" s="1"/>
  <c r="AP5" i="12"/>
  <c r="P5" i="17" s="1"/>
  <c r="AO5" i="12"/>
  <c r="O5" i="17" s="1"/>
  <c r="AN5" i="12"/>
  <c r="N5" i="17" s="1"/>
  <c r="AM5" i="12"/>
  <c r="M5" i="17" s="1"/>
  <c r="AL5" i="12"/>
  <c r="L5" i="17" s="1"/>
  <c r="AK5" i="12"/>
  <c r="K5" i="17" s="1"/>
  <c r="AJ5" i="12"/>
  <c r="AA5" i="12"/>
  <c r="AS5" i="12" s="1"/>
  <c r="S5" i="17" s="1"/>
  <c r="Z5" i="12"/>
  <c r="AR5" i="12" s="1"/>
  <c r="R5" i="17" s="1"/>
  <c r="L92" i="17" l="1"/>
  <c r="L91" i="17"/>
  <c r="X92" i="17"/>
  <c r="X91" i="17"/>
  <c r="M92" i="17"/>
  <c r="M91" i="17"/>
  <c r="N92" i="17"/>
  <c r="N91" i="17"/>
  <c r="P92" i="17"/>
  <c r="P91" i="17"/>
  <c r="S92" i="17"/>
  <c r="S91" i="17"/>
  <c r="T92" i="17"/>
  <c r="T91" i="17"/>
  <c r="J92" i="17"/>
  <c r="J91" i="17"/>
  <c r="U92" i="17"/>
  <c r="U91" i="17"/>
  <c r="O92" i="17"/>
  <c r="O91" i="17"/>
  <c r="R92" i="17"/>
  <c r="R91" i="17"/>
  <c r="K92" i="17"/>
  <c r="K91" i="17"/>
  <c r="W92" i="17"/>
  <c r="W91" i="17"/>
  <c r="AV79" i="12"/>
  <c r="V83" i="17" s="1"/>
  <c r="J83" i="17"/>
  <c r="AV111" i="12"/>
  <c r="V117" i="17" s="1"/>
  <c r="J117" i="17"/>
  <c r="AV20" i="12"/>
  <c r="V19" i="17" s="1"/>
  <c r="J19" i="17"/>
  <c r="AV60" i="12"/>
  <c r="V63" i="17" s="1"/>
  <c r="J63" i="17"/>
  <c r="AV68" i="12"/>
  <c r="V71" i="17" s="1"/>
  <c r="J71" i="17"/>
  <c r="AV156" i="12"/>
  <c r="V166" i="17" s="1"/>
  <c r="J166" i="17"/>
  <c r="AV97" i="12"/>
  <c r="V103" i="17" s="1"/>
  <c r="J103" i="17"/>
  <c r="AV121" i="12"/>
  <c r="V127" i="17" s="1"/>
  <c r="J127" i="17"/>
  <c r="AV22" i="12"/>
  <c r="V22" i="17" s="1"/>
  <c r="J22" i="17"/>
  <c r="AV11" i="12"/>
  <c r="V11" i="17" s="1"/>
  <c r="J11" i="17"/>
  <c r="AV27" i="12"/>
  <c r="V27" i="17" s="1"/>
  <c r="J27" i="17"/>
  <c r="AV35" i="12"/>
  <c r="V36" i="17" s="1"/>
  <c r="J36" i="17"/>
  <c r="AV51" i="12"/>
  <c r="V54" i="17" s="1"/>
  <c r="J54" i="17"/>
  <c r="AV59" i="12"/>
  <c r="V62" i="17" s="1"/>
  <c r="J62" i="17"/>
  <c r="AV75" i="12"/>
  <c r="V79" i="17" s="1"/>
  <c r="J79" i="17"/>
  <c r="AV83" i="12"/>
  <c r="V87" i="17" s="1"/>
  <c r="J87" i="17"/>
  <c r="AV91" i="12"/>
  <c r="V97" i="17" s="1"/>
  <c r="J97" i="17"/>
  <c r="AV107" i="12"/>
  <c r="V113" i="17" s="1"/>
  <c r="J113" i="17"/>
  <c r="AV115" i="12"/>
  <c r="V121" i="17" s="1"/>
  <c r="J121" i="17"/>
  <c r="AV123" i="12"/>
  <c r="V129" i="17" s="1"/>
  <c r="J129" i="17"/>
  <c r="AV131" i="12"/>
  <c r="V137" i="17" s="1"/>
  <c r="J137" i="17"/>
  <c r="AV139" i="12"/>
  <c r="V146" i="17" s="1"/>
  <c r="J146" i="17"/>
  <c r="AV119" i="12"/>
  <c r="V125" i="17" s="1"/>
  <c r="J125" i="17"/>
  <c r="AV12" i="12"/>
  <c r="V12" i="17" s="1"/>
  <c r="J12" i="17"/>
  <c r="AV148" i="12"/>
  <c r="V158" i="17" s="1"/>
  <c r="J158" i="17"/>
  <c r="AV32" i="12"/>
  <c r="V32" i="17" s="1"/>
  <c r="J32" i="17"/>
  <c r="AV64" i="12"/>
  <c r="V67" i="17" s="1"/>
  <c r="J67" i="17"/>
  <c r="AV96" i="12"/>
  <c r="V102" i="17" s="1"/>
  <c r="J102" i="17"/>
  <c r="AV144" i="12"/>
  <c r="V152" i="17" s="1"/>
  <c r="J152" i="17"/>
  <c r="AV36" i="12"/>
  <c r="V37" i="17" s="1"/>
  <c r="J37" i="17"/>
  <c r="AV9" i="12"/>
  <c r="V9" i="17" s="1"/>
  <c r="J9" i="17"/>
  <c r="AV17" i="12"/>
  <c r="V17" i="17" s="1"/>
  <c r="J17" i="17"/>
  <c r="AV73" i="12"/>
  <c r="V77" i="17" s="1"/>
  <c r="J77" i="17"/>
  <c r="AV81" i="12"/>
  <c r="V85" i="17" s="1"/>
  <c r="J85" i="17"/>
  <c r="AV113" i="12"/>
  <c r="V119" i="17" s="1"/>
  <c r="J119" i="17"/>
  <c r="AV129" i="12"/>
  <c r="V135" i="17" s="1"/>
  <c r="J135" i="17"/>
  <c r="AV137" i="12"/>
  <c r="V143" i="17" s="1"/>
  <c r="J143" i="17"/>
  <c r="AV153" i="12"/>
  <c r="V163" i="17" s="1"/>
  <c r="J163" i="17"/>
  <c r="AV14" i="12"/>
  <c r="V14" i="17" s="1"/>
  <c r="J14" i="17"/>
  <c r="AV38" i="12"/>
  <c r="V39" i="17" s="1"/>
  <c r="J39" i="17"/>
  <c r="AV110" i="12"/>
  <c r="V116" i="17" s="1"/>
  <c r="J116" i="17"/>
  <c r="AV118" i="12"/>
  <c r="V124" i="17" s="1"/>
  <c r="J124" i="17"/>
  <c r="AV126" i="12"/>
  <c r="V132" i="17" s="1"/>
  <c r="J132" i="17"/>
  <c r="AV8" i="12"/>
  <c r="V8" i="17" s="1"/>
  <c r="J8" i="17"/>
  <c r="AV16" i="12"/>
  <c r="V16" i="17" s="1"/>
  <c r="J16" i="17"/>
  <c r="AV5" i="12"/>
  <c r="V5" i="17" s="1"/>
  <c r="J5" i="17"/>
  <c r="AV13" i="12"/>
  <c r="V13" i="17" s="1"/>
  <c r="J13" i="17"/>
  <c r="AV21" i="12"/>
  <c r="V20" i="17" s="1"/>
  <c r="J20" i="17"/>
  <c r="AV29" i="12"/>
  <c r="V29" i="17" s="1"/>
  <c r="J29" i="17"/>
  <c r="AV37" i="12"/>
  <c r="V38" i="17" s="1"/>
  <c r="J38" i="17"/>
  <c r="AV45" i="12"/>
  <c r="V46" i="17" s="1"/>
  <c r="J46" i="17"/>
  <c r="AV77" i="12"/>
  <c r="V81" i="17" s="1"/>
  <c r="J81" i="17"/>
  <c r="AV93" i="12"/>
  <c r="V99" i="17" s="1"/>
  <c r="J99" i="17"/>
  <c r="AV101" i="12"/>
  <c r="V107" i="17" s="1"/>
  <c r="J107" i="17"/>
  <c r="AV109" i="12"/>
  <c r="V115" i="17" s="1"/>
  <c r="J115" i="17"/>
  <c r="AV117" i="12"/>
  <c r="V123" i="17" s="1"/>
  <c r="J123" i="17"/>
  <c r="AV125" i="12"/>
  <c r="V131" i="17" s="1"/>
  <c r="J131" i="17"/>
  <c r="AV133" i="12"/>
  <c r="V139" i="17" s="1"/>
  <c r="J139" i="17"/>
  <c r="AV141" i="12"/>
  <c r="V148" i="17" s="1"/>
  <c r="J148" i="17"/>
  <c r="AV149" i="12"/>
  <c r="V159" i="17" s="1"/>
  <c r="J159" i="17"/>
  <c r="AV157" i="12"/>
  <c r="V167" i="17" s="1"/>
  <c r="J167" i="17"/>
  <c r="AV39" i="12"/>
  <c r="V40" i="17" s="1"/>
  <c r="J40" i="17"/>
  <c r="AV95" i="12"/>
  <c r="V101" i="17" s="1"/>
  <c r="J101" i="17"/>
  <c r="AV103" i="12"/>
  <c r="V109" i="17" s="1"/>
  <c r="J109" i="17"/>
  <c r="AV127" i="12"/>
  <c r="V133" i="17" s="1"/>
  <c r="J133" i="17"/>
  <c r="AV135" i="12"/>
  <c r="V141" i="17" s="1"/>
  <c r="J141" i="17"/>
  <c r="AV28" i="12"/>
  <c r="V28" i="17" s="1"/>
  <c r="J28" i="17"/>
  <c r="AV52" i="12"/>
  <c r="V55" i="17" s="1"/>
  <c r="J55" i="17"/>
  <c r="AV76" i="12"/>
  <c r="V80" i="17" s="1"/>
  <c r="J80" i="17"/>
  <c r="AV84" i="12"/>
  <c r="V88" i="17" s="1"/>
  <c r="J88" i="17"/>
  <c r="AV92" i="12"/>
  <c r="V98" i="17" s="1"/>
  <c r="J98" i="17"/>
  <c r="AV33" i="12"/>
  <c r="V34" i="17" s="1"/>
  <c r="J34" i="17"/>
  <c r="AV41" i="12"/>
  <c r="V42" i="17" s="1"/>
  <c r="J42" i="17"/>
  <c r="AV49" i="12"/>
  <c r="V52" i="17" s="1"/>
  <c r="J52" i="17"/>
  <c r="AV57" i="12"/>
  <c r="V60" i="17" s="1"/>
  <c r="J60" i="17"/>
  <c r="AV65" i="12"/>
  <c r="V68" i="17" s="1"/>
  <c r="J68" i="17"/>
  <c r="AV89" i="12"/>
  <c r="V94" i="17" s="1"/>
  <c r="J94" i="17"/>
  <c r="AV105" i="12"/>
  <c r="V111" i="17" s="1"/>
  <c r="J111" i="17"/>
  <c r="AV6" i="12"/>
  <c r="V6" i="17" s="1"/>
  <c r="J6" i="17"/>
  <c r="AV78" i="12"/>
  <c r="V82" i="17" s="1"/>
  <c r="J82" i="17"/>
  <c r="AV102" i="12"/>
  <c r="V108" i="17" s="1"/>
  <c r="J108" i="17"/>
  <c r="AV134" i="12"/>
  <c r="V140" i="17" s="1"/>
  <c r="J140" i="17"/>
  <c r="AV40" i="12"/>
  <c r="V41" i="17" s="1"/>
  <c r="J41" i="17"/>
  <c r="AV10" i="12"/>
  <c r="V10" i="17" s="1"/>
  <c r="J10" i="17"/>
  <c r="AV26" i="12"/>
  <c r="V26" i="17" s="1"/>
  <c r="J26" i="17"/>
  <c r="AV34" i="12"/>
  <c r="V35" i="17" s="1"/>
  <c r="J35" i="17"/>
  <c r="AV42" i="12"/>
  <c r="V43" i="17" s="1"/>
  <c r="J43" i="17"/>
  <c r="AV50" i="12"/>
  <c r="V53" i="17" s="1"/>
  <c r="J53" i="17"/>
  <c r="AV58" i="12"/>
  <c r="V61" i="17" s="1"/>
  <c r="J61" i="17"/>
  <c r="AV66" i="12"/>
  <c r="V69" i="17" s="1"/>
  <c r="J69" i="17"/>
  <c r="AV74" i="12"/>
  <c r="V78" i="17" s="1"/>
  <c r="J78" i="17"/>
  <c r="AV90" i="12"/>
  <c r="V95" i="17" s="1"/>
  <c r="J95" i="17"/>
  <c r="AV98" i="12"/>
  <c r="V104" i="17" s="1"/>
  <c r="J104" i="17"/>
  <c r="AV106" i="12"/>
  <c r="V112" i="17" s="1"/>
  <c r="J112" i="17"/>
  <c r="AV114" i="12"/>
  <c r="V120" i="17" s="1"/>
  <c r="J120" i="17"/>
  <c r="AV122" i="12"/>
  <c r="V128" i="17" s="1"/>
  <c r="J128" i="17"/>
  <c r="AV130" i="12"/>
  <c r="V136" i="17" s="1"/>
  <c r="J136" i="17"/>
  <c r="AV138" i="12"/>
  <c r="V144" i="17" s="1"/>
  <c r="J144" i="17"/>
  <c r="AQ145" i="12"/>
  <c r="Q153" i="17" s="1"/>
  <c r="AQ131" i="12"/>
  <c r="AQ35" i="12"/>
  <c r="AQ156" i="12"/>
  <c r="AQ93" i="12"/>
  <c r="AQ114" i="12"/>
  <c r="AQ65" i="12"/>
  <c r="AQ73" i="12"/>
  <c r="AQ103" i="12"/>
  <c r="AQ153" i="12"/>
  <c r="AQ74" i="12"/>
  <c r="AQ113" i="12"/>
  <c r="AQ126" i="12"/>
  <c r="AQ70" i="12"/>
  <c r="Q73" i="17" s="1"/>
  <c r="AV145" i="12"/>
  <c r="V153" i="17" s="1"/>
  <c r="AQ53" i="12"/>
  <c r="Q56" i="17" s="1"/>
  <c r="AQ109" i="12"/>
  <c r="AQ123" i="12"/>
  <c r="AQ148" i="12"/>
  <c r="AQ16" i="12"/>
  <c r="AQ20" i="12"/>
  <c r="AQ26" i="12"/>
  <c r="AQ66" i="12"/>
  <c r="AQ75" i="12"/>
  <c r="AQ140" i="12"/>
  <c r="Q147" i="17" s="1"/>
  <c r="AQ83" i="12"/>
  <c r="AQ127" i="12"/>
  <c r="AQ130" i="12"/>
  <c r="AQ21" i="12"/>
  <c r="AQ42" i="12"/>
  <c r="AQ152" i="12"/>
  <c r="Q162" i="17" s="1"/>
  <c r="AQ14" i="12"/>
  <c r="AQ18" i="12"/>
  <c r="AY18" i="12" s="1"/>
  <c r="AQ50" i="12"/>
  <c r="AQ11" i="12"/>
  <c r="AQ19" i="12"/>
  <c r="Q18" i="17" s="1"/>
  <c r="AQ85" i="12"/>
  <c r="Q89" i="17" s="1"/>
  <c r="AQ157" i="12"/>
  <c r="AQ39" i="12"/>
  <c r="AQ51" i="12"/>
  <c r="AV70" i="12"/>
  <c r="V73" i="17" s="1"/>
  <c r="AQ115" i="12"/>
  <c r="AQ121" i="12"/>
  <c r="AQ133" i="12"/>
  <c r="AQ149" i="12"/>
  <c r="AQ69" i="12"/>
  <c r="Q72" i="17" s="1"/>
  <c r="AQ160" i="12"/>
  <c r="Q170" i="17" s="1"/>
  <c r="AQ17" i="12"/>
  <c r="AQ34" i="12"/>
  <c r="AQ38" i="12"/>
  <c r="AQ117" i="12"/>
  <c r="AQ141" i="12"/>
  <c r="AQ144" i="12"/>
  <c r="AQ28" i="12"/>
  <c r="AQ10" i="12"/>
  <c r="AQ61" i="12"/>
  <c r="Q64" i="17" s="1"/>
  <c r="AQ82" i="12"/>
  <c r="Q86" i="17" s="1"/>
  <c r="AQ27" i="12"/>
  <c r="AQ41" i="12"/>
  <c r="AV61" i="12"/>
  <c r="V64" i="17" s="1"/>
  <c r="AQ67" i="12"/>
  <c r="Q70" i="17" s="1"/>
  <c r="AQ89" i="12"/>
  <c r="AQ91" i="12"/>
  <c r="AQ99" i="12"/>
  <c r="Q105" i="17" s="1"/>
  <c r="AQ102" i="12"/>
  <c r="AQ122" i="12"/>
  <c r="AV140" i="12"/>
  <c r="V147" i="17" s="1"/>
  <c r="AV24" i="12"/>
  <c r="V24" i="17" s="1"/>
  <c r="AQ24" i="12"/>
  <c r="Q24" i="17" s="1"/>
  <c r="AV25" i="12"/>
  <c r="V25" i="17" s="1"/>
  <c r="AQ25" i="12"/>
  <c r="Q25" i="17" s="1"/>
  <c r="AQ31" i="12"/>
  <c r="Q31" i="17" s="1"/>
  <c r="AV31" i="12"/>
  <c r="V31" i="17" s="1"/>
  <c r="AV43" i="12"/>
  <c r="V44" i="17" s="1"/>
  <c r="AQ43" i="12"/>
  <c r="Q44" i="17" s="1"/>
  <c r="AQ23" i="12"/>
  <c r="Q23" i="17" s="1"/>
  <c r="AV23" i="12"/>
  <c r="V23" i="17" s="1"/>
  <c r="AQ30" i="12"/>
  <c r="Q30" i="17" s="1"/>
  <c r="AV30" i="12"/>
  <c r="V30" i="17" s="1"/>
  <c r="AV15" i="12"/>
  <c r="V15" i="17" s="1"/>
  <c r="AQ15" i="12"/>
  <c r="Q15" i="17" s="1"/>
  <c r="AQ7" i="12"/>
  <c r="Q7" i="17" s="1"/>
  <c r="AV7" i="12"/>
  <c r="V7" i="17" s="1"/>
  <c r="AQ97" i="12"/>
  <c r="AQ118" i="12"/>
  <c r="AQ137" i="12"/>
  <c r="AQ9" i="12"/>
  <c r="AQ6" i="12"/>
  <c r="AQ22" i="12"/>
  <c r="AQ32" i="12"/>
  <c r="AQ79" i="12"/>
  <c r="AQ105" i="12"/>
  <c r="AQ119" i="12"/>
  <c r="AQ12" i="12"/>
  <c r="AV53" i="12"/>
  <c r="V56" i="17" s="1"/>
  <c r="AQ57" i="12"/>
  <c r="AV69" i="12"/>
  <c r="V72" i="17" s="1"/>
  <c r="AQ77" i="12"/>
  <c r="AV85" i="12"/>
  <c r="V89" i="17" s="1"/>
  <c r="AQ110" i="12"/>
  <c r="AQ111" i="12"/>
  <c r="AQ129" i="12"/>
  <c r="AV152" i="12"/>
  <c r="V162" i="17" s="1"/>
  <c r="AV160" i="12"/>
  <c r="V170" i="17" s="1"/>
  <c r="AV19" i="12"/>
  <c r="V18" i="17" s="1"/>
  <c r="AQ36" i="12"/>
  <c r="AQ59" i="12"/>
  <c r="AQ81" i="12"/>
  <c r="AV82" i="12"/>
  <c r="V86" i="17" s="1"/>
  <c r="AQ101" i="12"/>
  <c r="AQ134" i="12"/>
  <c r="AQ135" i="12"/>
  <c r="AQ8" i="12"/>
  <c r="AQ98" i="12"/>
  <c r="AQ106" i="12"/>
  <c r="AQ107" i="12"/>
  <c r="AQ125" i="12"/>
  <c r="AQ138" i="12"/>
  <c r="AQ139" i="12"/>
  <c r="AV55" i="12"/>
  <c r="V58" i="17" s="1"/>
  <c r="AQ55" i="12"/>
  <c r="Q58" i="17" s="1"/>
  <c r="AQ54" i="12"/>
  <c r="Q57" i="17" s="1"/>
  <c r="AV54" i="12"/>
  <c r="V57" i="17" s="1"/>
  <c r="AQ62" i="12"/>
  <c r="Q65" i="17" s="1"/>
  <c r="AV63" i="12"/>
  <c r="V66" i="17" s="1"/>
  <c r="AQ63" i="12"/>
  <c r="Q66" i="17" s="1"/>
  <c r="AQ94" i="12"/>
  <c r="Q100" i="17" s="1"/>
  <c r="AQ29" i="12"/>
  <c r="AQ49" i="12"/>
  <c r="AQ58" i="12"/>
  <c r="AQ90" i="12"/>
  <c r="AQ100" i="12"/>
  <c r="Q106" i="17" s="1"/>
  <c r="AQ5" i="12"/>
  <c r="AQ33" i="12"/>
  <c r="AV47" i="12"/>
  <c r="V50" i="17" s="1"/>
  <c r="AQ47" i="12"/>
  <c r="Q50" i="17" s="1"/>
  <c r="AV62" i="12"/>
  <c r="V65" i="17" s="1"/>
  <c r="AQ68" i="12"/>
  <c r="AQ72" i="12"/>
  <c r="Q76" i="17" s="1"/>
  <c r="AV72" i="12"/>
  <c r="V76" i="17" s="1"/>
  <c r="AV94" i="12"/>
  <c r="V100" i="17" s="1"/>
  <c r="AV99" i="12"/>
  <c r="V105" i="17" s="1"/>
  <c r="AQ48" i="12"/>
  <c r="Q51" i="17" s="1"/>
  <c r="AV67" i="12"/>
  <c r="V70" i="17" s="1"/>
  <c r="AV71" i="12"/>
  <c r="V75" i="17" s="1"/>
  <c r="AQ71" i="12"/>
  <c r="Q75" i="17" s="1"/>
  <c r="AQ64" i="12"/>
  <c r="AQ44" i="12"/>
  <c r="Q45" i="17" s="1"/>
  <c r="AV44" i="12"/>
  <c r="V45" i="17" s="1"/>
  <c r="AV87" i="12"/>
  <c r="AQ87" i="12"/>
  <c r="AQ56" i="12"/>
  <c r="Q59" i="17" s="1"/>
  <c r="AV56" i="12"/>
  <c r="V59" i="17" s="1"/>
  <c r="AQ13" i="12"/>
  <c r="AQ37" i="12"/>
  <c r="AQ45" i="12"/>
  <c r="AQ46" i="12"/>
  <c r="Q49" i="17" s="1"/>
  <c r="AV46" i="12"/>
  <c r="V49" i="17" s="1"/>
  <c r="AV48" i="12"/>
  <c r="V51" i="17" s="1"/>
  <c r="AQ78" i="12"/>
  <c r="AQ88" i="12"/>
  <c r="Q93" i="17" s="1"/>
  <c r="AV88" i="12"/>
  <c r="V93" i="17" s="1"/>
  <c r="AV100" i="12"/>
  <c r="V106" i="17" s="1"/>
  <c r="AQ96" i="12"/>
  <c r="AQ40" i="12"/>
  <c r="AQ76" i="12"/>
  <c r="AQ80" i="12"/>
  <c r="Q84" i="17" s="1"/>
  <c r="AV104" i="12"/>
  <c r="V110" i="17" s="1"/>
  <c r="AQ104" i="12"/>
  <c r="Q110" i="17" s="1"/>
  <c r="AV108" i="12"/>
  <c r="V114" i="17" s="1"/>
  <c r="AQ108" i="12"/>
  <c r="Q114" i="17" s="1"/>
  <c r="AV112" i="12"/>
  <c r="V118" i="17" s="1"/>
  <c r="AQ112" i="12"/>
  <c r="Q118" i="17" s="1"/>
  <c r="AV116" i="12"/>
  <c r="V122" i="17" s="1"/>
  <c r="AQ116" i="12"/>
  <c r="Q122" i="17" s="1"/>
  <c r="AV120" i="12"/>
  <c r="V126" i="17" s="1"/>
  <c r="AQ120" i="12"/>
  <c r="Q126" i="17" s="1"/>
  <c r="AV124" i="12"/>
  <c r="V130" i="17" s="1"/>
  <c r="AQ124" i="12"/>
  <c r="Q130" i="17" s="1"/>
  <c r="AV128" i="12"/>
  <c r="V134" i="17" s="1"/>
  <c r="AQ128" i="12"/>
  <c r="Q134" i="17" s="1"/>
  <c r="AV132" i="12"/>
  <c r="V138" i="17" s="1"/>
  <c r="AQ132" i="12"/>
  <c r="Q138" i="17" s="1"/>
  <c r="AV136" i="12"/>
  <c r="V142" i="17" s="1"/>
  <c r="AQ136" i="12"/>
  <c r="Q142" i="17" s="1"/>
  <c r="AV86" i="12"/>
  <c r="V90" i="17" s="1"/>
  <c r="AQ60" i="12"/>
  <c r="AQ92" i="12"/>
  <c r="AQ143" i="12"/>
  <c r="Q151" i="17" s="1"/>
  <c r="AV143" i="12"/>
  <c r="V151" i="17" s="1"/>
  <c r="AQ147" i="12"/>
  <c r="Q156" i="17" s="1"/>
  <c r="AV147" i="12"/>
  <c r="V156" i="17" s="1"/>
  <c r="AQ151" i="12"/>
  <c r="Q161" i="17" s="1"/>
  <c r="AV151" i="12"/>
  <c r="V161" i="17" s="1"/>
  <c r="AQ155" i="12"/>
  <c r="Q165" i="17" s="1"/>
  <c r="AV155" i="12"/>
  <c r="V165" i="17" s="1"/>
  <c r="AQ159" i="12"/>
  <c r="Q169" i="17" s="1"/>
  <c r="AV159" i="12"/>
  <c r="V169" i="17" s="1"/>
  <c r="AQ142" i="12"/>
  <c r="Q150" i="17" s="1"/>
  <c r="AV142" i="12"/>
  <c r="V150" i="17" s="1"/>
  <c r="AQ146" i="12"/>
  <c r="Q155" i="17" s="1"/>
  <c r="AV146" i="12"/>
  <c r="V155" i="17" s="1"/>
  <c r="AQ150" i="12"/>
  <c r="Q160" i="17" s="1"/>
  <c r="AV150" i="12"/>
  <c r="V160" i="17" s="1"/>
  <c r="AQ154" i="12"/>
  <c r="Q164" i="17" s="1"/>
  <c r="AV154" i="12"/>
  <c r="V164" i="17" s="1"/>
  <c r="AQ158" i="12"/>
  <c r="Q168" i="17" s="1"/>
  <c r="AV158" i="12"/>
  <c r="V168" i="17" s="1"/>
  <c r="AQ52" i="12"/>
  <c r="AV80" i="12"/>
  <c r="V84" i="17" s="1"/>
  <c r="AQ84" i="12"/>
  <c r="AQ86" i="12"/>
  <c r="Q90" i="17" s="1"/>
  <c r="AQ95" i="12"/>
  <c r="Q92" i="17" l="1"/>
  <c r="Q91" i="17"/>
  <c r="V92" i="17"/>
  <c r="V91" i="17"/>
  <c r="Y45" i="17"/>
  <c r="Y90" i="17"/>
  <c r="G37" i="7" s="1"/>
  <c r="Y89" i="17"/>
  <c r="Y130" i="17"/>
  <c r="Y114" i="17"/>
  <c r="Y134" i="17"/>
  <c r="Y118" i="17"/>
  <c r="Y165" i="17"/>
  <c r="Y72" i="17"/>
  <c r="Y150" i="17"/>
  <c r="Y156" i="17"/>
  <c r="Y84" i="17"/>
  <c r="Y31" i="17"/>
  <c r="Y151" i="17"/>
  <c r="Y49" i="17"/>
  <c r="Y66" i="17"/>
  <c r="Y25" i="17"/>
  <c r="Y59" i="17"/>
  <c r="Y106" i="17"/>
  <c r="Y24" i="17"/>
  <c r="Y170" i="17"/>
  <c r="Y56" i="17"/>
  <c r="Y75" i="17"/>
  <c r="G66" i="7" s="1"/>
  <c r="Y70" i="17"/>
  <c r="G9" i="7" s="1"/>
  <c r="Y76" i="17"/>
  <c r="Y160" i="17"/>
  <c r="Y18" i="17"/>
  <c r="Y155" i="17"/>
  <c r="G26" i="7" s="1"/>
  <c r="Y161" i="17"/>
  <c r="Y23" i="17"/>
  <c r="Y138" i="17"/>
  <c r="Y122" i="17"/>
  <c r="Y51" i="17"/>
  <c r="G44" i="7" s="1"/>
  <c r="Y100" i="17"/>
  <c r="Y105" i="17"/>
  <c r="Y64" i="17"/>
  <c r="Y169" i="17"/>
  <c r="Y57" i="17"/>
  <c r="G64" i="7" s="1"/>
  <c r="Y164" i="17"/>
  <c r="Y142" i="17"/>
  <c r="Y126" i="17"/>
  <c r="Y110" i="17"/>
  <c r="Y93" i="17"/>
  <c r="Y65" i="17"/>
  <c r="Y58" i="17"/>
  <c r="Y7" i="17"/>
  <c r="Y44" i="17"/>
  <c r="G40" i="7" s="1"/>
  <c r="Y162" i="17"/>
  <c r="Y30" i="17"/>
  <c r="Y168" i="17"/>
  <c r="Y50" i="17"/>
  <c r="Y15" i="17"/>
  <c r="Y86" i="17"/>
  <c r="Y73" i="17"/>
  <c r="Y147" i="17"/>
  <c r="Y153" i="17"/>
  <c r="AY49" i="12"/>
  <c r="Q52" i="17"/>
  <c r="Y52" i="17" s="1"/>
  <c r="AY38" i="12"/>
  <c r="Q39" i="17"/>
  <c r="Y39" i="17" s="1"/>
  <c r="AY123" i="12"/>
  <c r="Q129" i="17"/>
  <c r="Y129" i="17" s="1"/>
  <c r="AY17" i="12"/>
  <c r="Q17" i="17"/>
  <c r="Y17" i="17" s="1"/>
  <c r="AY139" i="12"/>
  <c r="Q146" i="17"/>
  <c r="Y146" i="17" s="1"/>
  <c r="AY10" i="12"/>
  <c r="Q10" i="17"/>
  <c r="Y10" i="17" s="1"/>
  <c r="AY66" i="12"/>
  <c r="Q69" i="17"/>
  <c r="Y69" i="17" s="1"/>
  <c r="AY95" i="12"/>
  <c r="Q101" i="17"/>
  <c r="Y101" i="17" s="1"/>
  <c r="AY40" i="12"/>
  <c r="Q41" i="17"/>
  <c r="Y41" i="17" s="1"/>
  <c r="AY5" i="12"/>
  <c r="Q5" i="17"/>
  <c r="Y5" i="17" s="1"/>
  <c r="AY138" i="12"/>
  <c r="Q144" i="17"/>
  <c r="Y144" i="17" s="1"/>
  <c r="AY101" i="12"/>
  <c r="Q107" i="17"/>
  <c r="Y107" i="17" s="1"/>
  <c r="AY129" i="12"/>
  <c r="Q135" i="17"/>
  <c r="Y135" i="17" s="1"/>
  <c r="AY12" i="12"/>
  <c r="Q12" i="17"/>
  <c r="Y12" i="17" s="1"/>
  <c r="AY137" i="12"/>
  <c r="Q143" i="17"/>
  <c r="Y143" i="17" s="1"/>
  <c r="AY89" i="12"/>
  <c r="Q94" i="17"/>
  <c r="Y94" i="17" s="1"/>
  <c r="AY28" i="12"/>
  <c r="Q28" i="17"/>
  <c r="Y28" i="17" s="1"/>
  <c r="AY157" i="12"/>
  <c r="Q167" i="17"/>
  <c r="Y167" i="17" s="1"/>
  <c r="G71" i="7" s="1"/>
  <c r="AY42" i="12"/>
  <c r="Q43" i="17"/>
  <c r="Y43" i="17" s="1"/>
  <c r="AY26" i="12"/>
  <c r="Q26" i="17"/>
  <c r="Y26" i="17" s="1"/>
  <c r="AY114" i="12"/>
  <c r="Q120" i="17"/>
  <c r="Y120" i="17" s="1"/>
  <c r="AY32" i="12"/>
  <c r="Q32" i="17"/>
  <c r="Y32" i="17" s="1"/>
  <c r="G5" i="7" s="1"/>
  <c r="AY27" i="12"/>
  <c r="Q27" i="17"/>
  <c r="Y27" i="17" s="1"/>
  <c r="AY83" i="12"/>
  <c r="Q87" i="17"/>
  <c r="Y87" i="17" s="1"/>
  <c r="AY135" i="12"/>
  <c r="Q141" i="17"/>
  <c r="Y141" i="17" s="1"/>
  <c r="AY6" i="12"/>
  <c r="Q6" i="17"/>
  <c r="Y6" i="17" s="1"/>
  <c r="AY51" i="12"/>
  <c r="Q54" i="17"/>
  <c r="Y54" i="17" s="1"/>
  <c r="AY73" i="12"/>
  <c r="Q77" i="17"/>
  <c r="Y77" i="17" s="1"/>
  <c r="AY76" i="12"/>
  <c r="Q80" i="17"/>
  <c r="Y80" i="17" s="1"/>
  <c r="AY92" i="12"/>
  <c r="Q98" i="17"/>
  <c r="Y98" i="17" s="1"/>
  <c r="AY96" i="12"/>
  <c r="Q102" i="17"/>
  <c r="Y102" i="17" s="1"/>
  <c r="AY45" i="12"/>
  <c r="Q46" i="17"/>
  <c r="Y46" i="17" s="1"/>
  <c r="G7" i="7" s="1"/>
  <c r="AY125" i="12"/>
  <c r="Q131" i="17"/>
  <c r="Y131" i="17" s="1"/>
  <c r="AY111" i="12"/>
  <c r="Q117" i="17"/>
  <c r="Y117" i="17" s="1"/>
  <c r="AY119" i="12"/>
  <c r="Q125" i="17"/>
  <c r="Y125" i="17" s="1"/>
  <c r="AY118" i="12"/>
  <c r="Q124" i="17"/>
  <c r="Y124" i="17" s="1"/>
  <c r="AY144" i="12"/>
  <c r="Q152" i="17"/>
  <c r="Y152" i="17" s="1"/>
  <c r="AY149" i="12"/>
  <c r="Q159" i="17"/>
  <c r="Y159" i="17" s="1"/>
  <c r="AY21" i="12"/>
  <c r="Q20" i="17"/>
  <c r="Y20" i="17" s="1"/>
  <c r="AY20" i="12"/>
  <c r="Q19" i="17"/>
  <c r="Y19" i="17" s="1"/>
  <c r="AY126" i="12"/>
  <c r="Q132" i="17"/>
  <c r="Y132" i="17" s="1"/>
  <c r="AY93" i="12"/>
  <c r="Q99" i="17"/>
  <c r="Y99" i="17" s="1"/>
  <c r="AY36" i="12"/>
  <c r="Q37" i="17"/>
  <c r="Y37" i="17" s="1"/>
  <c r="AY115" i="12"/>
  <c r="Q121" i="17"/>
  <c r="Y121" i="17" s="1"/>
  <c r="AY153" i="12"/>
  <c r="Q163" i="17"/>
  <c r="Y163" i="17" s="1"/>
  <c r="AY8" i="12"/>
  <c r="Q8" i="17"/>
  <c r="Y8" i="17" s="1"/>
  <c r="AY22" i="12"/>
  <c r="Q22" i="17"/>
  <c r="Y22" i="17" s="1"/>
  <c r="AY102" i="12"/>
  <c r="Q108" i="17"/>
  <c r="Y108" i="17" s="1"/>
  <c r="AY34" i="12"/>
  <c r="Q35" i="17"/>
  <c r="Y35" i="17" s="1"/>
  <c r="AY109" i="12"/>
  <c r="Q115" i="17"/>
  <c r="Y115" i="17" s="1"/>
  <c r="AY57" i="12"/>
  <c r="Q60" i="17"/>
  <c r="Y60" i="17" s="1"/>
  <c r="AY75" i="12"/>
  <c r="Q79" i="17"/>
  <c r="Y79" i="17" s="1"/>
  <c r="AY134" i="12"/>
  <c r="Q140" i="17"/>
  <c r="Y140" i="17" s="1"/>
  <c r="AY9" i="12"/>
  <c r="Q9" i="17"/>
  <c r="Y9" i="17" s="1"/>
  <c r="AY91" i="12"/>
  <c r="Q97" i="17"/>
  <c r="Y97" i="17" s="1"/>
  <c r="AY39" i="12"/>
  <c r="Q40" i="17"/>
  <c r="Y40" i="17" s="1"/>
  <c r="AY65" i="12"/>
  <c r="Q68" i="17"/>
  <c r="Y68" i="17" s="1"/>
  <c r="AY84" i="12"/>
  <c r="Q88" i="17"/>
  <c r="Y88" i="17" s="1"/>
  <c r="AY60" i="12"/>
  <c r="Q63" i="17"/>
  <c r="Y63" i="17" s="1"/>
  <c r="AY37" i="12"/>
  <c r="Q38" i="17"/>
  <c r="Y38" i="17" s="1"/>
  <c r="AY64" i="12"/>
  <c r="Q67" i="17"/>
  <c r="Y67" i="17" s="1"/>
  <c r="G16" i="7" s="1"/>
  <c r="AY90" i="12"/>
  <c r="Q95" i="17"/>
  <c r="Y95" i="17" s="1"/>
  <c r="AY107" i="12"/>
  <c r="Q113" i="17"/>
  <c r="Y113" i="17" s="1"/>
  <c r="AY81" i="12"/>
  <c r="Q85" i="17"/>
  <c r="Y85" i="17" s="1"/>
  <c r="AY110" i="12"/>
  <c r="M68" i="11" s="1"/>
  <c r="Q116" i="17"/>
  <c r="Y116" i="17" s="1"/>
  <c r="AY105" i="12"/>
  <c r="M44" i="11" s="1"/>
  <c r="Q111" i="17"/>
  <c r="Y111" i="17" s="1"/>
  <c r="AY97" i="12"/>
  <c r="Q103" i="17"/>
  <c r="Y103" i="17" s="1"/>
  <c r="AY141" i="12"/>
  <c r="Q148" i="17"/>
  <c r="Y148" i="17" s="1"/>
  <c r="AY133" i="12"/>
  <c r="Q139" i="17"/>
  <c r="Y139" i="17" s="1"/>
  <c r="AY130" i="12"/>
  <c r="Q136" i="17"/>
  <c r="Y136" i="17" s="1"/>
  <c r="AY16" i="12"/>
  <c r="Q16" i="17"/>
  <c r="Y16" i="17" s="1"/>
  <c r="AY113" i="12"/>
  <c r="Q119" i="17"/>
  <c r="Y119" i="17" s="1"/>
  <c r="AY156" i="12"/>
  <c r="Q166" i="17"/>
  <c r="Y166" i="17" s="1"/>
  <c r="AY52" i="12"/>
  <c r="Q55" i="17"/>
  <c r="Y55" i="17" s="1"/>
  <c r="AY98" i="12"/>
  <c r="Q104" i="17"/>
  <c r="Y104" i="17" s="1"/>
  <c r="AY77" i="12"/>
  <c r="Q81" i="17"/>
  <c r="Y81" i="17" s="1"/>
  <c r="AY122" i="12"/>
  <c r="Q128" i="17"/>
  <c r="Y128" i="17" s="1"/>
  <c r="AY50" i="12"/>
  <c r="Q53" i="17"/>
  <c r="Y53" i="17" s="1"/>
  <c r="AY131" i="12"/>
  <c r="Q137" i="17"/>
  <c r="Y137" i="17" s="1"/>
  <c r="G45" i="7" s="1"/>
  <c r="AY78" i="12"/>
  <c r="Q82" i="17"/>
  <c r="Y82" i="17" s="1"/>
  <c r="AY29" i="12"/>
  <c r="Q29" i="17"/>
  <c r="Y29" i="17" s="1"/>
  <c r="AY103" i="12"/>
  <c r="Q109" i="17"/>
  <c r="Y109" i="17" s="1"/>
  <c r="AY14" i="12"/>
  <c r="Q14" i="17"/>
  <c r="Y14" i="17" s="1"/>
  <c r="AY33" i="12"/>
  <c r="Q34" i="17"/>
  <c r="Y34" i="17" s="1"/>
  <c r="AY13" i="12"/>
  <c r="Q13" i="17"/>
  <c r="Y13" i="17" s="1"/>
  <c r="AY68" i="12"/>
  <c r="Q71" i="17"/>
  <c r="Y71" i="17" s="1"/>
  <c r="AY58" i="12"/>
  <c r="Q61" i="17"/>
  <c r="Y61" i="17" s="1"/>
  <c r="AY106" i="12"/>
  <c r="Q112" i="17"/>
  <c r="Y112" i="17" s="1"/>
  <c r="AY59" i="12"/>
  <c r="Q62" i="17"/>
  <c r="Y62" i="17" s="1"/>
  <c r="AY79" i="12"/>
  <c r="Q83" i="17"/>
  <c r="Y83" i="17" s="1"/>
  <c r="AY41" i="12"/>
  <c r="Q42" i="17"/>
  <c r="Y42" i="17" s="1"/>
  <c r="AY117" i="12"/>
  <c r="Q123" i="17"/>
  <c r="Y123" i="17" s="1"/>
  <c r="AY121" i="12"/>
  <c r="Q127" i="17"/>
  <c r="Y127" i="17" s="1"/>
  <c r="AY11" i="12"/>
  <c r="Q11" i="17"/>
  <c r="Y11" i="17" s="1"/>
  <c r="AY127" i="12"/>
  <c r="Q133" i="17"/>
  <c r="Y133" i="17" s="1"/>
  <c r="AY148" i="12"/>
  <c r="Q158" i="17"/>
  <c r="Y158" i="17" s="1"/>
  <c r="AY74" i="12"/>
  <c r="Q78" i="17"/>
  <c r="Y78" i="17" s="1"/>
  <c r="AY35" i="12"/>
  <c r="Q36" i="17"/>
  <c r="Y36" i="17" s="1"/>
  <c r="AY145" i="12"/>
  <c r="AY82" i="12"/>
  <c r="AY124" i="12"/>
  <c r="AY30" i="12"/>
  <c r="AY25" i="12"/>
  <c r="AY23" i="12"/>
  <c r="AY140" i="12"/>
  <c r="AY128" i="12"/>
  <c r="AY70" i="12"/>
  <c r="AY112" i="12"/>
  <c r="AY99" i="12"/>
  <c r="AY67" i="12"/>
  <c r="AY61" i="12"/>
  <c r="AY158" i="12"/>
  <c r="AY147" i="12"/>
  <c r="AY160" i="12"/>
  <c r="AY152" i="12"/>
  <c r="AY132" i="12"/>
  <c r="M63" i="11" s="1"/>
  <c r="AY108" i="12"/>
  <c r="AY69" i="12"/>
  <c r="AY88" i="12"/>
  <c r="AY15" i="12"/>
  <c r="AY43" i="12"/>
  <c r="AY7" i="12"/>
  <c r="AY154" i="12"/>
  <c r="AY86" i="12"/>
  <c r="AY53" i="12"/>
  <c r="AY55" i="12"/>
  <c r="AY143" i="12"/>
  <c r="AY44" i="12"/>
  <c r="AY47" i="12"/>
  <c r="AY19" i="12"/>
  <c r="AY159" i="12"/>
  <c r="AY116" i="12"/>
  <c r="AY94" i="12"/>
  <c r="AY24" i="12"/>
  <c r="AY155" i="12"/>
  <c r="AY46" i="12"/>
  <c r="AY85" i="12"/>
  <c r="AY72" i="12"/>
  <c r="AY80" i="12"/>
  <c r="AY31" i="12"/>
  <c r="AY71" i="12"/>
  <c r="AY150" i="12"/>
  <c r="AY136" i="12"/>
  <c r="AY151" i="12"/>
  <c r="AY63" i="12"/>
  <c r="AY146" i="12"/>
  <c r="M60" i="11" s="1"/>
  <c r="AY100" i="12"/>
  <c r="AY142" i="12"/>
  <c r="AY104" i="12"/>
  <c r="AY56" i="12"/>
  <c r="AY62" i="12"/>
  <c r="AY120" i="12"/>
  <c r="AY87" i="12"/>
  <c r="AY48" i="12"/>
  <c r="AY54" i="12"/>
  <c r="Y92" i="17" l="1"/>
  <c r="G14" i="7"/>
  <c r="G55" i="7"/>
  <c r="G12" i="7"/>
  <c r="G34" i="7"/>
  <c r="G29" i="7"/>
  <c r="G59" i="7"/>
  <c r="G65" i="7"/>
  <c r="G58" i="7"/>
  <c r="G25" i="7"/>
  <c r="G54" i="7"/>
  <c r="G15" i="7"/>
  <c r="G19" i="7"/>
  <c r="G68" i="7"/>
  <c r="G18" i="7"/>
  <c r="G50" i="7"/>
  <c r="G39" i="7"/>
  <c r="G32" i="7"/>
  <c r="G72" i="7"/>
  <c r="G6" i="7"/>
  <c r="G13" i="7"/>
  <c r="G46" i="7"/>
  <c r="G67" i="7"/>
  <c r="G10" i="7"/>
  <c r="G27" i="7"/>
  <c r="G56" i="7"/>
  <c r="G62" i="7"/>
  <c r="G53" i="7"/>
  <c r="G36" i="7"/>
  <c r="G22" i="7"/>
  <c r="G43" i="7"/>
  <c r="G49" i="7"/>
  <c r="G21" i="7"/>
  <c r="G38" i="7"/>
  <c r="G61" i="7"/>
  <c r="G8" i="7"/>
  <c r="G30" i="7"/>
  <c r="G28" i="7"/>
  <c r="G33" i="7"/>
  <c r="G60" i="7"/>
  <c r="G11" i="7"/>
  <c r="Y91" i="17"/>
  <c r="M61" i="11"/>
  <c r="M62" i="11"/>
  <c r="M28" i="11"/>
  <c r="M27" i="11"/>
  <c r="M37" i="11"/>
  <c r="M38" i="11"/>
  <c r="M71" i="11"/>
  <c r="M70" i="11"/>
  <c r="M69" i="11"/>
  <c r="M12" i="11"/>
  <c r="M11" i="11"/>
  <c r="M10" i="11"/>
  <c r="M43" i="11"/>
  <c r="M42" i="11"/>
  <c r="M52" i="11"/>
  <c r="M51" i="11"/>
  <c r="M53" i="11"/>
  <c r="M59" i="11"/>
  <c r="M58" i="11"/>
  <c r="M41" i="11"/>
  <c r="M40" i="11"/>
  <c r="M39" i="11"/>
  <c r="M36" i="11"/>
  <c r="M35" i="11"/>
  <c r="M34" i="11"/>
  <c r="M57" i="11"/>
  <c r="M56" i="11"/>
  <c r="M55" i="11"/>
  <c r="M54" i="11"/>
  <c r="M9" i="11"/>
  <c r="M8" i="11"/>
  <c r="M7" i="11"/>
  <c r="M6" i="11"/>
  <c r="M31" i="11"/>
  <c r="M30" i="11"/>
  <c r="M29" i="11"/>
  <c r="M20" i="11"/>
  <c r="M17" i="11"/>
  <c r="M16" i="11"/>
  <c r="M19" i="11"/>
  <c r="M21" i="11"/>
  <c r="M18" i="11"/>
  <c r="M49" i="11"/>
  <c r="M45" i="11"/>
  <c r="M48" i="11"/>
  <c r="M50" i="11"/>
  <c r="M47" i="11"/>
  <c r="M46" i="11"/>
  <c r="M13" i="11"/>
  <c r="M15" i="11"/>
  <c r="M14" i="11"/>
  <c r="M64" i="11"/>
  <c r="M67" i="11"/>
  <c r="M32" i="11"/>
  <c r="M66" i="11"/>
  <c r="M65" i="11"/>
  <c r="M33" i="11"/>
  <c r="M25" i="11"/>
  <c r="M24" i="11"/>
  <c r="M26" i="11"/>
  <c r="M23" i="11"/>
  <c r="M22" i="11"/>
  <c r="G42" i="7" l="1"/>
  <c r="G24" i="7"/>
  <c r="I156" i="10"/>
  <c r="I155" i="10"/>
  <c r="I154" i="10"/>
  <c r="I153" i="10"/>
  <c r="I152" i="10"/>
  <c r="I151" i="10"/>
  <c r="I150" i="10"/>
  <c r="I149" i="10"/>
  <c r="I148" i="10"/>
  <c r="I147" i="10"/>
  <c r="I146" i="10"/>
  <c r="I145" i="10"/>
  <c r="I144" i="10"/>
  <c r="I143" i="10"/>
  <c r="I142" i="10"/>
  <c r="I141" i="10"/>
  <c r="I140" i="10"/>
  <c r="I139" i="10"/>
  <c r="I138" i="10"/>
  <c r="I137" i="10"/>
  <c r="I136" i="10"/>
  <c r="I135" i="10"/>
  <c r="I134" i="10"/>
  <c r="I133" i="10"/>
  <c r="I132" i="10"/>
  <c r="I131" i="10"/>
  <c r="I130" i="10"/>
  <c r="I129" i="10"/>
  <c r="I128" i="10"/>
  <c r="I127" i="10"/>
  <c r="I126" i="10"/>
  <c r="I125" i="10"/>
  <c r="I124" i="10"/>
  <c r="I123" i="10"/>
  <c r="I122" i="10"/>
  <c r="I121" i="10"/>
  <c r="I120" i="10"/>
  <c r="I119" i="10"/>
  <c r="I118" i="10"/>
  <c r="I117" i="10"/>
  <c r="I116" i="10"/>
  <c r="I115" i="10"/>
  <c r="I114" i="10"/>
  <c r="I113" i="10"/>
  <c r="I112" i="10"/>
  <c r="I111" i="10"/>
  <c r="I110" i="10"/>
  <c r="I109" i="10"/>
  <c r="I108" i="10"/>
  <c r="I107" i="10"/>
  <c r="I106" i="10"/>
  <c r="I105" i="10"/>
  <c r="I104" i="10"/>
  <c r="I103" i="10"/>
  <c r="I102" i="10"/>
  <c r="I101" i="10"/>
  <c r="I100" i="10"/>
  <c r="I99" i="10"/>
  <c r="I98" i="10"/>
  <c r="I97" i="10"/>
  <c r="I96" i="10"/>
  <c r="I95" i="10"/>
  <c r="I94" i="10"/>
  <c r="I93" i="10"/>
  <c r="I92" i="10"/>
  <c r="I91" i="10"/>
  <c r="I90" i="10"/>
  <c r="I89" i="10"/>
  <c r="I88" i="10"/>
  <c r="I87" i="10"/>
  <c r="I86" i="10"/>
  <c r="I85" i="10"/>
  <c r="I84" i="10"/>
  <c r="I83" i="10"/>
  <c r="I82" i="10"/>
  <c r="I81" i="10"/>
  <c r="I80" i="10"/>
  <c r="I79" i="10"/>
  <c r="I78" i="10"/>
  <c r="I77" i="10"/>
  <c r="I76" i="10"/>
  <c r="I75" i="10"/>
  <c r="I74" i="10"/>
  <c r="I73" i="10"/>
  <c r="I72" i="10"/>
  <c r="I71" i="10"/>
  <c r="I70" i="10"/>
  <c r="I69" i="10"/>
  <c r="I68" i="10"/>
  <c r="I67" i="10"/>
  <c r="I66" i="10"/>
  <c r="I65" i="10"/>
  <c r="I64" i="10"/>
  <c r="I63" i="10"/>
  <c r="I62" i="10"/>
  <c r="I61" i="10"/>
  <c r="I60" i="10"/>
  <c r="I59" i="10"/>
  <c r="I58" i="10"/>
  <c r="I57" i="10"/>
  <c r="I56" i="10"/>
  <c r="I55" i="10"/>
  <c r="I54" i="10"/>
  <c r="I53" i="10"/>
  <c r="I52" i="10"/>
  <c r="I51" i="10"/>
  <c r="I50" i="10"/>
  <c r="I49" i="10"/>
  <c r="I48" i="10"/>
  <c r="I47" i="10"/>
  <c r="I46" i="10"/>
  <c r="I45" i="10"/>
  <c r="I44" i="10"/>
  <c r="I43" i="10"/>
  <c r="I42" i="10"/>
  <c r="I41" i="10"/>
  <c r="I40" i="10"/>
  <c r="I39" i="10"/>
  <c r="I38" i="10"/>
  <c r="I37" i="10"/>
  <c r="I36" i="10"/>
  <c r="I35" i="10"/>
  <c r="I34" i="10"/>
  <c r="I33" i="10"/>
  <c r="I32" i="10"/>
  <c r="I31" i="10"/>
  <c r="I30" i="10"/>
  <c r="I29" i="10"/>
  <c r="I28" i="10"/>
  <c r="I27" i="10"/>
  <c r="I26" i="10"/>
  <c r="I25" i="10"/>
  <c r="I24" i="10"/>
  <c r="I23" i="10"/>
  <c r="I22" i="10"/>
  <c r="I21" i="10"/>
  <c r="I20" i="10"/>
  <c r="I19" i="10"/>
  <c r="I18" i="10"/>
  <c r="I17" i="10"/>
  <c r="I16" i="10"/>
  <c r="I15" i="10"/>
  <c r="I14" i="10"/>
  <c r="I13" i="10"/>
  <c r="I12" i="10"/>
  <c r="I11" i="10"/>
  <c r="I10" i="10"/>
  <c r="I9" i="10"/>
  <c r="I8" i="10"/>
  <c r="I7" i="10"/>
  <c r="I6" i="10"/>
  <c r="I5" i="10"/>
  <c r="I4" i="10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193" i="8"/>
  <c r="I192" i="8"/>
  <c r="I191" i="8"/>
  <c r="I190" i="8"/>
  <c r="I189" i="8"/>
  <c r="I188" i="8"/>
  <c r="I187" i="8"/>
  <c r="I186" i="8"/>
  <c r="I185" i="8"/>
  <c r="I184" i="8"/>
  <c r="I183" i="8"/>
  <c r="I182" i="8"/>
  <c r="I181" i="8"/>
  <c r="I180" i="8"/>
  <c r="I179" i="8"/>
  <c r="I178" i="8"/>
  <c r="I177" i="8"/>
  <c r="I176" i="8"/>
  <c r="I175" i="8"/>
  <c r="I174" i="8"/>
  <c r="I173" i="8"/>
  <c r="I172" i="8"/>
  <c r="I171" i="8"/>
  <c r="I170" i="8"/>
  <c r="I169" i="8"/>
  <c r="I168" i="8"/>
  <c r="I167" i="8"/>
  <c r="I166" i="8"/>
  <c r="I165" i="8"/>
  <c r="I164" i="8"/>
  <c r="I163" i="8"/>
  <c r="I162" i="8"/>
  <c r="I161" i="8"/>
  <c r="I160" i="8"/>
  <c r="I159" i="8"/>
  <c r="I158" i="8"/>
  <c r="I157" i="8"/>
  <c r="I156" i="8"/>
  <c r="I155" i="8"/>
  <c r="I154" i="8"/>
  <c r="I153" i="8"/>
  <c r="I152" i="8"/>
  <c r="I151" i="8"/>
  <c r="I150" i="8"/>
  <c r="I149" i="8"/>
  <c r="I148" i="8"/>
  <c r="I147" i="8"/>
  <c r="I146" i="8"/>
  <c r="I145" i="8"/>
  <c r="I144" i="8"/>
  <c r="I143" i="8"/>
  <c r="I142" i="8"/>
  <c r="I141" i="8"/>
  <c r="I140" i="8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I86" i="8"/>
  <c r="I85" i="8"/>
  <c r="I84" i="8"/>
  <c r="I83" i="8"/>
  <c r="I82" i="8"/>
  <c r="I81" i="8"/>
  <c r="I80" i="8"/>
  <c r="I79" i="8"/>
  <c r="I78" i="8"/>
  <c r="I77" i="8"/>
  <c r="I76" i="8"/>
  <c r="I75" i="8"/>
  <c r="I74" i="8"/>
  <c r="I73" i="8"/>
  <c r="I72" i="8"/>
  <c r="I71" i="8"/>
  <c r="I70" i="8"/>
  <c r="I69" i="8"/>
  <c r="I68" i="8"/>
  <c r="I67" i="8"/>
  <c r="I66" i="8"/>
  <c r="I65" i="8"/>
  <c r="I64" i="8"/>
  <c r="I63" i="8"/>
  <c r="I62" i="8"/>
  <c r="I61" i="8"/>
  <c r="I60" i="8"/>
  <c r="I59" i="8"/>
  <c r="I58" i="8"/>
  <c r="I57" i="8"/>
  <c r="I56" i="8"/>
  <c r="I55" i="8"/>
  <c r="I54" i="8"/>
  <c r="I53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D65" i="5"/>
  <c r="D38" i="5"/>
  <c r="I327" i="4"/>
  <c r="I326" i="4"/>
  <c r="I325" i="4"/>
  <c r="I324" i="4"/>
  <c r="I323" i="4"/>
  <c r="I322" i="4"/>
  <c r="I321" i="4"/>
  <c r="I320" i="4"/>
  <c r="I319" i="4"/>
  <c r="I318" i="4"/>
  <c r="I317" i="4"/>
  <c r="I316" i="4"/>
  <c r="I315" i="4"/>
  <c r="I314" i="4"/>
  <c r="I313" i="4"/>
  <c r="I312" i="4"/>
  <c r="I311" i="4"/>
  <c r="I310" i="4"/>
  <c r="I309" i="4"/>
  <c r="I308" i="4"/>
  <c r="I307" i="4"/>
  <c r="I306" i="4"/>
  <c r="I305" i="4"/>
  <c r="I304" i="4"/>
  <c r="I303" i="4"/>
  <c r="I302" i="4"/>
  <c r="I301" i="4"/>
  <c r="I300" i="4"/>
  <c r="I299" i="4"/>
  <c r="I298" i="4"/>
  <c r="I297" i="4"/>
  <c r="I296" i="4"/>
  <c r="I295" i="4"/>
  <c r="I294" i="4"/>
  <c r="I293" i="4"/>
  <c r="I292" i="4"/>
  <c r="I291" i="4"/>
  <c r="I290" i="4"/>
  <c r="I289" i="4"/>
  <c r="I288" i="4"/>
  <c r="I287" i="4"/>
  <c r="I286" i="4"/>
  <c r="I285" i="4"/>
  <c r="I284" i="4"/>
  <c r="I283" i="4"/>
  <c r="I282" i="4"/>
  <c r="I281" i="4"/>
  <c r="I280" i="4"/>
  <c r="I279" i="4"/>
  <c r="I278" i="4"/>
  <c r="I277" i="4"/>
  <c r="I276" i="4"/>
  <c r="I275" i="4"/>
  <c r="I274" i="4"/>
  <c r="I273" i="4"/>
  <c r="I272" i="4"/>
  <c r="I271" i="4"/>
  <c r="I270" i="4"/>
  <c r="I269" i="4"/>
  <c r="I268" i="4"/>
  <c r="I267" i="4"/>
  <c r="I266" i="4"/>
  <c r="I265" i="4"/>
  <c r="I264" i="4"/>
  <c r="I263" i="4"/>
  <c r="I262" i="4"/>
  <c r="I261" i="4"/>
  <c r="I260" i="4"/>
  <c r="I259" i="4"/>
  <c r="I258" i="4"/>
  <c r="I257" i="4"/>
  <c r="I256" i="4"/>
  <c r="I255" i="4"/>
  <c r="I254" i="4"/>
  <c r="I253" i="4"/>
  <c r="I252" i="4"/>
  <c r="I251" i="4"/>
  <c r="I250" i="4"/>
  <c r="I249" i="4"/>
  <c r="I248" i="4"/>
  <c r="I247" i="4"/>
  <c r="I246" i="4"/>
  <c r="I245" i="4"/>
  <c r="I244" i="4"/>
  <c r="I243" i="4"/>
  <c r="I242" i="4"/>
  <c r="I241" i="4"/>
  <c r="I240" i="4"/>
  <c r="I239" i="4"/>
  <c r="I238" i="4"/>
  <c r="I237" i="4"/>
  <c r="I236" i="4"/>
  <c r="I235" i="4"/>
  <c r="I234" i="4"/>
  <c r="I233" i="4"/>
  <c r="I232" i="4"/>
  <c r="I231" i="4"/>
  <c r="I230" i="4"/>
  <c r="I229" i="4"/>
  <c r="I228" i="4"/>
  <c r="I227" i="4"/>
  <c r="I226" i="4"/>
  <c r="I225" i="4"/>
  <c r="I224" i="4"/>
  <c r="I223" i="4"/>
  <c r="I222" i="4"/>
  <c r="I221" i="4"/>
  <c r="I220" i="4"/>
  <c r="I219" i="4"/>
  <c r="I218" i="4"/>
  <c r="I217" i="4"/>
  <c r="I216" i="4"/>
  <c r="I215" i="4"/>
  <c r="I214" i="4"/>
  <c r="I213" i="4"/>
  <c r="I212" i="4"/>
  <c r="I211" i="4"/>
  <c r="I210" i="4"/>
  <c r="I209" i="4"/>
  <c r="I208" i="4"/>
  <c r="I207" i="4"/>
  <c r="I206" i="4"/>
  <c r="I205" i="4"/>
  <c r="I204" i="4"/>
  <c r="I203" i="4"/>
  <c r="I202" i="4"/>
  <c r="I201" i="4"/>
  <c r="I200" i="4"/>
  <c r="I199" i="4"/>
  <c r="I198" i="4"/>
  <c r="I197" i="4"/>
  <c r="I196" i="4"/>
  <c r="I195" i="4"/>
  <c r="I194" i="4"/>
  <c r="I193" i="4"/>
  <c r="I192" i="4"/>
  <c r="I191" i="4"/>
  <c r="I190" i="4"/>
  <c r="I189" i="4"/>
  <c r="I188" i="4"/>
  <c r="I187" i="4"/>
  <c r="I186" i="4"/>
  <c r="I185" i="4"/>
  <c r="I184" i="4"/>
  <c r="I183" i="4"/>
  <c r="I182" i="4"/>
  <c r="I181" i="4"/>
  <c r="I180" i="4"/>
  <c r="I179" i="4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E53" i="3" s="1"/>
  <c r="D42" i="2"/>
  <c r="E54" i="3" s="1"/>
  <c r="D43" i="2"/>
  <c r="E55" i="3" s="1"/>
  <c r="D44" i="2"/>
  <c r="E56" i="3" s="1"/>
  <c r="D45" i="2"/>
  <c r="E57" i="3" s="1"/>
  <c r="D46" i="2"/>
  <c r="E58" i="3" s="1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E100" i="3" s="1"/>
  <c r="D70" i="2"/>
  <c r="E101" i="3" s="1"/>
  <c r="D71" i="2"/>
  <c r="E102" i="3" s="1"/>
  <c r="D72" i="2"/>
  <c r="E103" i="3" s="1"/>
  <c r="D73" i="2"/>
  <c r="E104" i="3" s="1"/>
  <c r="D74" i="2"/>
  <c r="E105" i="3" s="1"/>
  <c r="D75" i="2"/>
  <c r="E106" i="3" s="1"/>
  <c r="D76" i="2"/>
  <c r="D77" i="2"/>
  <c r="D78" i="2"/>
  <c r="D79" i="2"/>
  <c r="D80" i="2"/>
  <c r="D81" i="2"/>
  <c r="D82" i="2"/>
  <c r="D83" i="2"/>
  <c r="E121" i="3" s="1"/>
  <c r="D84" i="2"/>
  <c r="E122" i="3" s="1"/>
  <c r="D85" i="2"/>
  <c r="E123" i="3" s="1"/>
  <c r="D86" i="2"/>
  <c r="E124" i="3" s="1"/>
  <c r="D87" i="2"/>
  <c r="E125" i="3" s="1"/>
  <c r="D88" i="2"/>
  <c r="E126" i="3" s="1"/>
  <c r="D89" i="2"/>
  <c r="E127" i="3" s="1"/>
  <c r="D90" i="2"/>
  <c r="E128" i="3" s="1"/>
  <c r="D91" i="2"/>
  <c r="E129" i="3" s="1"/>
  <c r="D92" i="2"/>
  <c r="E130" i="3" s="1"/>
  <c r="D93" i="2"/>
  <c r="E131" i="3" s="1"/>
  <c r="D94" i="2"/>
  <c r="E132" i="3" s="1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E185" i="3" s="1"/>
  <c r="D122" i="2"/>
  <c r="E186" i="3" s="1"/>
  <c r="D123" i="2"/>
  <c r="E187" i="3" s="1"/>
  <c r="D124" i="2"/>
  <c r="E188" i="3" s="1"/>
  <c r="D125" i="2"/>
  <c r="E189" i="3" s="1"/>
  <c r="D126" i="2"/>
  <c r="E190" i="3" s="1"/>
  <c r="D127" i="2"/>
  <c r="E191" i="3" s="1"/>
  <c r="D128" i="2"/>
  <c r="E192" i="3" s="1"/>
  <c r="D129" i="2"/>
  <c r="E193" i="3" s="1"/>
  <c r="D130" i="2"/>
  <c r="E194" i="3" s="1"/>
  <c r="D131" i="2"/>
  <c r="E195" i="3" s="1"/>
  <c r="D132" i="2"/>
  <c r="E196" i="3" s="1"/>
  <c r="D133" i="2"/>
  <c r="E197" i="3" s="1"/>
  <c r="D134" i="2"/>
  <c r="E198" i="3" s="1"/>
  <c r="D135" i="2"/>
  <c r="E199" i="3" s="1"/>
  <c r="D136" i="2"/>
  <c r="E200" i="3" s="1"/>
  <c r="D137" i="2"/>
  <c r="D138" i="2"/>
  <c r="D139" i="2"/>
  <c r="D140" i="2"/>
  <c r="D141" i="2"/>
  <c r="D142" i="2"/>
  <c r="D143" i="2"/>
  <c r="D144" i="2"/>
  <c r="D145" i="2"/>
  <c r="D146" i="2"/>
  <c r="E219" i="3" s="1"/>
  <c r="D4" i="2"/>
  <c r="C5" i="15" l="1"/>
  <c r="C4" i="6"/>
  <c r="C5" i="14"/>
  <c r="E4" i="10"/>
  <c r="E4" i="3"/>
  <c r="E4" i="8"/>
  <c r="C142" i="6"/>
  <c r="E214" i="3"/>
  <c r="E213" i="3"/>
  <c r="E188" i="8"/>
  <c r="E320" i="4"/>
  <c r="E319" i="4"/>
  <c r="C138" i="6"/>
  <c r="E206" i="3"/>
  <c r="E205" i="3"/>
  <c r="E184" i="8"/>
  <c r="E312" i="4"/>
  <c r="E311" i="4"/>
  <c r="H187" i="3"/>
  <c r="J187" i="3"/>
  <c r="G187" i="3"/>
  <c r="C120" i="6"/>
  <c r="E182" i="3"/>
  <c r="E181" i="3"/>
  <c r="E180" i="8"/>
  <c r="E296" i="4"/>
  <c r="E295" i="4"/>
  <c r="E293" i="4"/>
  <c r="E298" i="4"/>
  <c r="E294" i="4"/>
  <c r="E297" i="4"/>
  <c r="C129" i="6"/>
  <c r="E173" i="3"/>
  <c r="E174" i="3"/>
  <c r="E176" i="8"/>
  <c r="E272" i="4"/>
  <c r="E271" i="4"/>
  <c r="E274" i="4"/>
  <c r="E270" i="4"/>
  <c r="E273" i="4"/>
  <c r="E269" i="4"/>
  <c r="C132" i="6"/>
  <c r="E166" i="3"/>
  <c r="E165" i="3"/>
  <c r="E172" i="8"/>
  <c r="E258" i="4"/>
  <c r="E257" i="4"/>
  <c r="E158" i="3"/>
  <c r="E157" i="3"/>
  <c r="E168" i="8"/>
  <c r="E238" i="4"/>
  <c r="E237" i="4"/>
  <c r="E150" i="3"/>
  <c r="E149" i="3"/>
  <c r="E164" i="8"/>
  <c r="E218" i="4"/>
  <c r="E217" i="4"/>
  <c r="C127" i="6"/>
  <c r="E142" i="3"/>
  <c r="E141" i="3"/>
  <c r="E160" i="8"/>
  <c r="E198" i="4"/>
  <c r="E197" i="4"/>
  <c r="C121" i="6"/>
  <c r="E134" i="3"/>
  <c r="E133" i="3"/>
  <c r="E156" i="8"/>
  <c r="E178" i="4"/>
  <c r="E177" i="4"/>
  <c r="J106" i="3"/>
  <c r="G106" i="3"/>
  <c r="H106" i="3"/>
  <c r="J195" i="3"/>
  <c r="G195" i="3"/>
  <c r="H195" i="3"/>
  <c r="H129" i="3"/>
  <c r="J129" i="3"/>
  <c r="G129" i="3"/>
  <c r="G55" i="3"/>
  <c r="J55" i="3"/>
  <c r="H55" i="3"/>
  <c r="C34" i="15"/>
  <c r="C34" i="14"/>
  <c r="C53" i="6"/>
  <c r="C54" i="6"/>
  <c r="E87" i="10"/>
  <c r="E47" i="3"/>
  <c r="E51" i="8"/>
  <c r="E50" i="8"/>
  <c r="E29" i="4"/>
  <c r="C26" i="15"/>
  <c r="C26" i="14"/>
  <c r="C39" i="6"/>
  <c r="C40" i="6"/>
  <c r="E66" i="10"/>
  <c r="E68" i="10"/>
  <c r="E67" i="10"/>
  <c r="E32" i="3"/>
  <c r="E37" i="8"/>
  <c r="E36" i="8"/>
  <c r="C20" i="15"/>
  <c r="C20" i="14"/>
  <c r="E54" i="10"/>
  <c r="E53" i="10"/>
  <c r="E52" i="10"/>
  <c r="E23" i="3"/>
  <c r="E25" i="8"/>
  <c r="E26" i="8"/>
  <c r="C16" i="15"/>
  <c r="C23" i="6"/>
  <c r="C22" i="6"/>
  <c r="C24" i="6"/>
  <c r="E34" i="10"/>
  <c r="E33" i="10"/>
  <c r="E17" i="3"/>
  <c r="E16" i="3"/>
  <c r="E35" i="10"/>
  <c r="E36" i="10"/>
  <c r="E20" i="8"/>
  <c r="E19" i="8"/>
  <c r="E7" i="4"/>
  <c r="E6" i="4"/>
  <c r="C12" i="15"/>
  <c r="C12" i="14"/>
  <c r="C14" i="6"/>
  <c r="E18" i="10"/>
  <c r="E17" i="10"/>
  <c r="E11" i="3"/>
  <c r="E193" i="8"/>
  <c r="C8" i="15"/>
  <c r="C8" i="14"/>
  <c r="C7" i="6"/>
  <c r="C10" i="6"/>
  <c r="E10" i="10"/>
  <c r="E12" i="10"/>
  <c r="E11" i="10"/>
  <c r="E7" i="3"/>
  <c r="E7" i="8"/>
  <c r="E8" i="8"/>
  <c r="J198" i="3"/>
  <c r="H198" i="3"/>
  <c r="G198" i="3"/>
  <c r="G132" i="3"/>
  <c r="J132" i="3"/>
  <c r="H132" i="3"/>
  <c r="H124" i="3"/>
  <c r="G124" i="3"/>
  <c r="J124" i="3"/>
  <c r="C56" i="15"/>
  <c r="C56" i="14"/>
  <c r="E150" i="10"/>
  <c r="E149" i="10"/>
  <c r="E120" i="3"/>
  <c r="E119" i="3"/>
  <c r="E155" i="8"/>
  <c r="E154" i="8"/>
  <c r="E176" i="4"/>
  <c r="C105" i="6"/>
  <c r="E112" i="3"/>
  <c r="E111" i="3"/>
  <c r="E150" i="8"/>
  <c r="E164" i="4"/>
  <c r="E165" i="4"/>
  <c r="H58" i="3"/>
  <c r="G58" i="3"/>
  <c r="J58" i="3"/>
  <c r="J197" i="3"/>
  <c r="H197" i="3"/>
  <c r="G197" i="3"/>
  <c r="H185" i="3"/>
  <c r="G185" i="3"/>
  <c r="J185" i="3"/>
  <c r="C130" i="6"/>
  <c r="E178" i="3"/>
  <c r="E177" i="3"/>
  <c r="E178" i="8"/>
  <c r="E284" i="4"/>
  <c r="E283" i="4"/>
  <c r="E286" i="4"/>
  <c r="E282" i="4"/>
  <c r="E285" i="4"/>
  <c r="E281" i="4"/>
  <c r="C131" i="6"/>
  <c r="E170" i="3"/>
  <c r="E169" i="3"/>
  <c r="E174" i="8"/>
  <c r="E262" i="4"/>
  <c r="E261" i="4"/>
  <c r="C114" i="6"/>
  <c r="E162" i="3"/>
  <c r="E161" i="3"/>
  <c r="E170" i="8"/>
  <c r="E248" i="4"/>
  <c r="E247" i="4"/>
  <c r="E250" i="4"/>
  <c r="E246" i="4"/>
  <c r="E249" i="4"/>
  <c r="E245" i="4"/>
  <c r="C126" i="6"/>
  <c r="E154" i="3"/>
  <c r="E153" i="3"/>
  <c r="E166" i="8"/>
  <c r="E228" i="4"/>
  <c r="E227" i="4"/>
  <c r="E230" i="4"/>
  <c r="E226" i="4"/>
  <c r="E225" i="4"/>
  <c r="E229" i="4"/>
  <c r="C123" i="6"/>
  <c r="E146" i="3"/>
  <c r="E145" i="3"/>
  <c r="E162" i="8"/>
  <c r="E208" i="4"/>
  <c r="E207" i="4"/>
  <c r="E210" i="4"/>
  <c r="E206" i="4"/>
  <c r="E209" i="4"/>
  <c r="E205" i="4"/>
  <c r="C125" i="6"/>
  <c r="E138" i="3"/>
  <c r="E137" i="3"/>
  <c r="E158" i="8"/>
  <c r="E188" i="4"/>
  <c r="E187" i="4"/>
  <c r="E190" i="4"/>
  <c r="E186" i="4"/>
  <c r="E189" i="4"/>
  <c r="E185" i="4"/>
  <c r="J104" i="3"/>
  <c r="G104" i="3"/>
  <c r="H104" i="3"/>
  <c r="J57" i="3"/>
  <c r="H57" i="3"/>
  <c r="G57" i="3"/>
  <c r="G199" i="3"/>
  <c r="H199" i="3"/>
  <c r="J199" i="3"/>
  <c r="G191" i="3"/>
  <c r="J191" i="3"/>
  <c r="H191" i="3"/>
  <c r="J125" i="3"/>
  <c r="H125" i="3"/>
  <c r="G125" i="3"/>
  <c r="J121" i="3"/>
  <c r="G121" i="3"/>
  <c r="H121" i="3"/>
  <c r="C106" i="6"/>
  <c r="E114" i="3"/>
  <c r="E113" i="3"/>
  <c r="E151" i="8"/>
  <c r="E167" i="4"/>
  <c r="E166" i="4"/>
  <c r="J102" i="3"/>
  <c r="H102" i="3"/>
  <c r="G102" i="3"/>
  <c r="C112" i="6"/>
  <c r="C111" i="6"/>
  <c r="E97" i="3"/>
  <c r="E96" i="3"/>
  <c r="E146" i="8"/>
  <c r="E156" i="4"/>
  <c r="E152" i="4"/>
  <c r="E155" i="4"/>
  <c r="E151" i="4"/>
  <c r="E154" i="4"/>
  <c r="E150" i="4"/>
  <c r="E153" i="4"/>
  <c r="E157" i="4"/>
  <c r="C54" i="15"/>
  <c r="C54" i="14"/>
  <c r="C102" i="6"/>
  <c r="E140" i="10"/>
  <c r="E88" i="3"/>
  <c r="E139" i="10"/>
  <c r="E89" i="3"/>
  <c r="E132" i="8"/>
  <c r="E125" i="4"/>
  <c r="C48" i="15"/>
  <c r="C84" i="6"/>
  <c r="C48" i="14"/>
  <c r="C97" i="6"/>
  <c r="C72" i="6"/>
  <c r="E130" i="10"/>
  <c r="E129" i="10"/>
  <c r="E128" i="10"/>
  <c r="E81" i="3"/>
  <c r="E80" i="3"/>
  <c r="E116" i="8"/>
  <c r="E115" i="8"/>
  <c r="E114" i="8"/>
  <c r="E117" i="8"/>
  <c r="E113" i="8"/>
  <c r="E118" i="8"/>
  <c r="E103" i="4"/>
  <c r="E99" i="4"/>
  <c r="E102" i="4"/>
  <c r="E98" i="4"/>
  <c r="E105" i="4"/>
  <c r="E101" i="4"/>
  <c r="E104" i="4"/>
  <c r="E100" i="4"/>
  <c r="C46" i="15"/>
  <c r="C46" i="14"/>
  <c r="C93" i="6"/>
  <c r="C68" i="6"/>
  <c r="C80" i="6"/>
  <c r="E118" i="10"/>
  <c r="E117" i="10"/>
  <c r="E73" i="3"/>
  <c r="E116" i="10"/>
  <c r="E72" i="3"/>
  <c r="E92" i="8"/>
  <c r="E91" i="8"/>
  <c r="E90" i="8"/>
  <c r="E94" i="8"/>
  <c r="E89" i="8"/>
  <c r="E93" i="8"/>
  <c r="E71" i="4"/>
  <c r="E67" i="4"/>
  <c r="E70" i="4"/>
  <c r="E66" i="4"/>
  <c r="E73" i="4"/>
  <c r="E69" i="4"/>
  <c r="E72" i="4"/>
  <c r="E68" i="4"/>
  <c r="C42" i="15"/>
  <c r="C42" i="14"/>
  <c r="C89" i="6"/>
  <c r="C64" i="6"/>
  <c r="C76" i="6"/>
  <c r="E106" i="10"/>
  <c r="E105" i="10"/>
  <c r="E104" i="10"/>
  <c r="E65" i="3"/>
  <c r="E64" i="3"/>
  <c r="E68" i="8"/>
  <c r="E67" i="8"/>
  <c r="E66" i="8"/>
  <c r="E70" i="8"/>
  <c r="E69" i="8"/>
  <c r="E65" i="8"/>
  <c r="E39" i="4"/>
  <c r="E35" i="4"/>
  <c r="E38" i="4"/>
  <c r="E34" i="4"/>
  <c r="E41" i="4"/>
  <c r="E37" i="4"/>
  <c r="E40" i="4"/>
  <c r="E36" i="4"/>
  <c r="C38" i="15"/>
  <c r="C38" i="14"/>
  <c r="C60" i="6"/>
  <c r="E97" i="10"/>
  <c r="E96" i="10"/>
  <c r="E95" i="10"/>
  <c r="E59" i="3"/>
  <c r="E57" i="8"/>
  <c r="C36" i="15"/>
  <c r="C36" i="14"/>
  <c r="C58" i="6"/>
  <c r="E90" i="10"/>
  <c r="E89" i="10"/>
  <c r="E91" i="10"/>
  <c r="E51" i="3"/>
  <c r="E55" i="8"/>
  <c r="C30" i="15"/>
  <c r="C30" i="14"/>
  <c r="C47" i="6"/>
  <c r="E79" i="10"/>
  <c r="E40" i="3"/>
  <c r="E39" i="3"/>
  <c r="E44" i="8"/>
  <c r="E22" i="4"/>
  <c r="E21" i="4"/>
  <c r="C24" i="15"/>
  <c r="C24" i="14"/>
  <c r="E62" i="10"/>
  <c r="E61" i="10"/>
  <c r="E27" i="3"/>
  <c r="E31" i="8"/>
  <c r="J219" i="3"/>
  <c r="G219" i="3"/>
  <c r="H219" i="3"/>
  <c r="C60" i="15"/>
  <c r="C60" i="14"/>
  <c r="C141" i="6"/>
  <c r="E153" i="10"/>
  <c r="E212" i="3"/>
  <c r="E211" i="3"/>
  <c r="E187" i="8"/>
  <c r="E317" i="4"/>
  <c r="E318" i="4"/>
  <c r="C134" i="6"/>
  <c r="C135" i="6"/>
  <c r="E204" i="3"/>
  <c r="E203" i="3"/>
  <c r="E183" i="8"/>
  <c r="E309" i="4"/>
  <c r="E310" i="4"/>
  <c r="J194" i="3"/>
  <c r="H194" i="3"/>
  <c r="G194" i="3"/>
  <c r="J190" i="3"/>
  <c r="H190" i="3"/>
  <c r="G190" i="3"/>
  <c r="H186" i="3"/>
  <c r="J186" i="3"/>
  <c r="G186" i="3"/>
  <c r="E180" i="3"/>
  <c r="E179" i="3"/>
  <c r="E179" i="8"/>
  <c r="E292" i="4"/>
  <c r="E288" i="4"/>
  <c r="E291" i="4"/>
  <c r="E287" i="4"/>
  <c r="E290" i="4"/>
  <c r="E289" i="4"/>
  <c r="C128" i="6"/>
  <c r="E172" i="3"/>
  <c r="E171" i="3"/>
  <c r="E175" i="8"/>
  <c r="E268" i="4"/>
  <c r="E264" i="4"/>
  <c r="E267" i="4"/>
  <c r="E263" i="4"/>
  <c r="E266" i="4"/>
  <c r="E265" i="4"/>
  <c r="C116" i="6"/>
  <c r="E164" i="3"/>
  <c r="E163" i="3"/>
  <c r="E171" i="8"/>
  <c r="E256" i="4"/>
  <c r="E252" i="4"/>
  <c r="E255" i="4"/>
  <c r="E251" i="4"/>
  <c r="E254" i="4"/>
  <c r="E253" i="4"/>
  <c r="C119" i="6"/>
  <c r="E156" i="3"/>
  <c r="E155" i="3"/>
  <c r="E167" i="8"/>
  <c r="E236" i="4"/>
  <c r="E232" i="4"/>
  <c r="E235" i="4"/>
  <c r="E231" i="4"/>
  <c r="E234" i="4"/>
  <c r="E233" i="4"/>
  <c r="E148" i="3"/>
  <c r="E147" i="3"/>
  <c r="E163" i="8"/>
  <c r="E216" i="4"/>
  <c r="E212" i="4"/>
  <c r="E215" i="4"/>
  <c r="E211" i="4"/>
  <c r="E214" i="4"/>
  <c r="E213" i="4"/>
  <c r="C118" i="6"/>
  <c r="E140" i="3"/>
  <c r="E139" i="3"/>
  <c r="E159" i="8"/>
  <c r="E196" i="4"/>
  <c r="E192" i="4"/>
  <c r="E195" i="4"/>
  <c r="E191" i="4"/>
  <c r="E194" i="4"/>
  <c r="E193" i="4"/>
  <c r="J128" i="3"/>
  <c r="G128" i="3"/>
  <c r="H128" i="3"/>
  <c r="J105" i="3"/>
  <c r="G105" i="3"/>
  <c r="H105" i="3"/>
  <c r="J101" i="3"/>
  <c r="G101" i="3"/>
  <c r="H101" i="3"/>
  <c r="C110" i="6"/>
  <c r="C109" i="6"/>
  <c r="E94" i="3"/>
  <c r="E95" i="3"/>
  <c r="E145" i="8"/>
  <c r="E148" i="4"/>
  <c r="E144" i="4"/>
  <c r="E147" i="4"/>
  <c r="E143" i="4"/>
  <c r="E146" i="4"/>
  <c r="E142" i="4"/>
  <c r="E145" i="4"/>
  <c r="E149" i="4"/>
  <c r="C53" i="15"/>
  <c r="C101" i="6"/>
  <c r="C53" i="14"/>
  <c r="E138" i="10"/>
  <c r="E137" i="10"/>
  <c r="E86" i="3"/>
  <c r="E87" i="3"/>
  <c r="E131" i="8"/>
  <c r="E124" i="4"/>
  <c r="C96" i="6"/>
  <c r="C47" i="15"/>
  <c r="C83" i="6"/>
  <c r="C71" i="6"/>
  <c r="C47" i="14"/>
  <c r="E126" i="10"/>
  <c r="E125" i="10"/>
  <c r="E127" i="10"/>
  <c r="E78" i="3"/>
  <c r="E79" i="3"/>
  <c r="E112" i="8"/>
  <c r="E108" i="8"/>
  <c r="E111" i="8"/>
  <c r="E107" i="8"/>
  <c r="E110" i="8"/>
  <c r="E109" i="8"/>
  <c r="E95" i="4"/>
  <c r="E91" i="4"/>
  <c r="E94" i="4"/>
  <c r="E90" i="4"/>
  <c r="E97" i="4"/>
  <c r="E93" i="4"/>
  <c r="E96" i="4"/>
  <c r="E92" i="4"/>
  <c r="C92" i="6"/>
  <c r="C45" i="15"/>
  <c r="C79" i="6"/>
  <c r="C67" i="6"/>
  <c r="C45" i="14"/>
  <c r="E114" i="10"/>
  <c r="E113" i="10"/>
  <c r="E70" i="3"/>
  <c r="E115" i="10"/>
  <c r="E71" i="3"/>
  <c r="E88" i="8"/>
  <c r="E84" i="8"/>
  <c r="E87" i="8"/>
  <c r="E83" i="8"/>
  <c r="E86" i="8"/>
  <c r="E85" i="8"/>
  <c r="E63" i="4"/>
  <c r="E59" i="4"/>
  <c r="E62" i="4"/>
  <c r="E58" i="4"/>
  <c r="E65" i="4"/>
  <c r="E61" i="4"/>
  <c r="E64" i="4"/>
  <c r="E60" i="4"/>
  <c r="C88" i="6"/>
  <c r="C41" i="15"/>
  <c r="C63" i="6"/>
  <c r="C41" i="14"/>
  <c r="E102" i="10"/>
  <c r="E101" i="10"/>
  <c r="E103" i="10"/>
  <c r="E62" i="3"/>
  <c r="E63" i="3"/>
  <c r="E64" i="8"/>
  <c r="E63" i="8"/>
  <c r="E61" i="8"/>
  <c r="E62" i="8"/>
  <c r="E33" i="4"/>
  <c r="J54" i="3"/>
  <c r="H54" i="3"/>
  <c r="G54" i="3"/>
  <c r="C57" i="6"/>
  <c r="E50" i="3"/>
  <c r="E54" i="8"/>
  <c r="E32" i="4"/>
  <c r="C33" i="15"/>
  <c r="C51" i="6"/>
  <c r="C33" i="14"/>
  <c r="C52" i="6"/>
  <c r="E86" i="10"/>
  <c r="E85" i="10"/>
  <c r="E46" i="3"/>
  <c r="E84" i="10"/>
  <c r="E45" i="3"/>
  <c r="E49" i="8"/>
  <c r="E48" i="8"/>
  <c r="E27" i="4"/>
  <c r="E28" i="4"/>
  <c r="C29" i="15"/>
  <c r="C45" i="6"/>
  <c r="C46" i="6"/>
  <c r="C29" i="14"/>
  <c r="E78" i="10"/>
  <c r="E77" i="10"/>
  <c r="E76" i="10"/>
  <c r="E38" i="3"/>
  <c r="E37" i="3"/>
  <c r="E43" i="8"/>
  <c r="E42" i="8"/>
  <c r="E19" i="4"/>
  <c r="E20" i="4"/>
  <c r="C25" i="15"/>
  <c r="C37" i="6"/>
  <c r="C25" i="14"/>
  <c r="C38" i="6"/>
  <c r="E65" i="10"/>
  <c r="E64" i="10"/>
  <c r="E63" i="10"/>
  <c r="E31" i="3"/>
  <c r="E35" i="8"/>
  <c r="E34" i="8"/>
  <c r="C23" i="15"/>
  <c r="C23" i="14"/>
  <c r="E60" i="10"/>
  <c r="E26" i="3"/>
  <c r="E59" i="10"/>
  <c r="E30" i="8"/>
  <c r="C19" i="15"/>
  <c r="C33" i="6"/>
  <c r="C31" i="6"/>
  <c r="C19" i="14"/>
  <c r="C32" i="6"/>
  <c r="E50" i="10"/>
  <c r="E49" i="10"/>
  <c r="E48" i="10"/>
  <c r="E47" i="10"/>
  <c r="E22" i="3"/>
  <c r="E21" i="3"/>
  <c r="E51" i="10"/>
  <c r="E23" i="8"/>
  <c r="E24" i="8"/>
  <c r="E11" i="4"/>
  <c r="E10" i="4"/>
  <c r="C15" i="15"/>
  <c r="C16" i="14"/>
  <c r="C21" i="6"/>
  <c r="C19" i="6"/>
  <c r="C15" i="14"/>
  <c r="C20" i="6"/>
  <c r="E30" i="10"/>
  <c r="E29" i="10"/>
  <c r="E32" i="10"/>
  <c r="E31" i="10"/>
  <c r="E15" i="3"/>
  <c r="E17" i="8"/>
  <c r="E18" i="8"/>
  <c r="C11" i="15"/>
  <c r="C13" i="6"/>
  <c r="C11" i="14"/>
  <c r="E16" i="10"/>
  <c r="E10" i="3"/>
  <c r="E192" i="8"/>
  <c r="C7" i="15"/>
  <c r="C6" i="6"/>
  <c r="C7" i="14"/>
  <c r="E6" i="10"/>
  <c r="E9" i="10"/>
  <c r="E8" i="10"/>
  <c r="E7" i="10"/>
  <c r="E6" i="3"/>
  <c r="E6" i="8"/>
  <c r="C62" i="15"/>
  <c r="C62" i="14"/>
  <c r="C144" i="6"/>
  <c r="C145" i="6"/>
  <c r="E156" i="10"/>
  <c r="E218" i="3"/>
  <c r="E155" i="10"/>
  <c r="E217" i="3"/>
  <c r="E191" i="8"/>
  <c r="E190" i="8"/>
  <c r="E324" i="4"/>
  <c r="E327" i="4"/>
  <c r="E323" i="4"/>
  <c r="E325" i="4"/>
  <c r="E326" i="4"/>
  <c r="C140" i="6"/>
  <c r="C59" i="15"/>
  <c r="C59" i="14"/>
  <c r="E152" i="10"/>
  <c r="E210" i="3"/>
  <c r="E209" i="3"/>
  <c r="E186" i="8"/>
  <c r="E316" i="4"/>
  <c r="E315" i="4"/>
  <c r="C136" i="6"/>
  <c r="C137" i="6"/>
  <c r="E202" i="3"/>
  <c r="E201" i="3"/>
  <c r="E182" i="8"/>
  <c r="E308" i="4"/>
  <c r="E307" i="4"/>
  <c r="H193" i="3"/>
  <c r="J193" i="3"/>
  <c r="G193" i="3"/>
  <c r="J189" i="3"/>
  <c r="H189" i="3"/>
  <c r="G189" i="3"/>
  <c r="G131" i="3"/>
  <c r="H131" i="3"/>
  <c r="J131" i="3"/>
  <c r="G127" i="3"/>
  <c r="J127" i="3"/>
  <c r="H127" i="3"/>
  <c r="J123" i="3"/>
  <c r="G123" i="3"/>
  <c r="H123" i="3"/>
  <c r="C107" i="6"/>
  <c r="E118" i="3"/>
  <c r="E117" i="3"/>
  <c r="E153" i="8"/>
  <c r="E172" i="4"/>
  <c r="E175" i="4"/>
  <c r="E171" i="4"/>
  <c r="E174" i="4"/>
  <c r="E170" i="4"/>
  <c r="E173" i="4"/>
  <c r="C104" i="6"/>
  <c r="E110" i="3"/>
  <c r="E109" i="3"/>
  <c r="E149" i="8"/>
  <c r="E163" i="4"/>
  <c r="E162" i="4"/>
  <c r="J100" i="3"/>
  <c r="H100" i="3"/>
  <c r="G100" i="3"/>
  <c r="C52" i="15"/>
  <c r="C100" i="6"/>
  <c r="C52" i="14"/>
  <c r="C87" i="6"/>
  <c r="C75" i="6"/>
  <c r="E146" i="10"/>
  <c r="E145" i="10"/>
  <c r="E144" i="10"/>
  <c r="E93" i="3"/>
  <c r="E92" i="3"/>
  <c r="E144" i="8"/>
  <c r="E140" i="8"/>
  <c r="E143" i="8"/>
  <c r="E139" i="8"/>
  <c r="E141" i="8"/>
  <c r="E142" i="8"/>
  <c r="E140" i="4"/>
  <c r="E136" i="4"/>
  <c r="E139" i="4"/>
  <c r="E135" i="4"/>
  <c r="E138" i="4"/>
  <c r="E134" i="4"/>
  <c r="E137" i="4"/>
  <c r="E141" i="4"/>
  <c r="C86" i="6"/>
  <c r="C49" i="15"/>
  <c r="C99" i="6"/>
  <c r="C49" i="14"/>
  <c r="C74" i="6"/>
  <c r="E134" i="10"/>
  <c r="E136" i="10"/>
  <c r="E135" i="10"/>
  <c r="E85" i="3"/>
  <c r="E84" i="3"/>
  <c r="E128" i="8"/>
  <c r="E127" i="8"/>
  <c r="E130" i="8"/>
  <c r="E126" i="8"/>
  <c r="E129" i="8"/>
  <c r="E125" i="8"/>
  <c r="E123" i="4"/>
  <c r="E119" i="4"/>
  <c r="E115" i="4"/>
  <c r="E122" i="4"/>
  <c r="E118" i="4"/>
  <c r="E114" i="4"/>
  <c r="E121" i="4"/>
  <c r="E117" i="4"/>
  <c r="E116" i="4"/>
  <c r="E120" i="4"/>
  <c r="C82" i="6"/>
  <c r="C51" i="15"/>
  <c r="C95" i="6"/>
  <c r="C70" i="6"/>
  <c r="C51" i="14"/>
  <c r="E122" i="10"/>
  <c r="E124" i="10"/>
  <c r="E76" i="3"/>
  <c r="E123" i="10"/>
  <c r="E77" i="3"/>
  <c r="E104" i="8"/>
  <c r="E103" i="8"/>
  <c r="E106" i="8"/>
  <c r="E101" i="8"/>
  <c r="E105" i="8"/>
  <c r="E102" i="8"/>
  <c r="E87" i="4"/>
  <c r="E83" i="4"/>
  <c r="E86" i="4"/>
  <c r="E82" i="4"/>
  <c r="E89" i="4"/>
  <c r="E85" i="4"/>
  <c r="E84" i="4"/>
  <c r="E88" i="4"/>
  <c r="C44" i="15"/>
  <c r="C44" i="14"/>
  <c r="C91" i="6"/>
  <c r="C78" i="6"/>
  <c r="C66" i="6"/>
  <c r="E110" i="10"/>
  <c r="E112" i="10"/>
  <c r="E111" i="10"/>
  <c r="E68" i="3"/>
  <c r="E69" i="3"/>
  <c r="E80" i="8"/>
  <c r="E79" i="8"/>
  <c r="E82" i="8"/>
  <c r="E78" i="8"/>
  <c r="E77" i="8"/>
  <c r="E81" i="8"/>
  <c r="E55" i="4"/>
  <c r="E51" i="4"/>
  <c r="E54" i="4"/>
  <c r="E50" i="4"/>
  <c r="E57" i="4"/>
  <c r="E53" i="4"/>
  <c r="E56" i="4"/>
  <c r="E52" i="4"/>
  <c r="C40" i="15"/>
  <c r="C40" i="14"/>
  <c r="C62" i="6"/>
  <c r="E99" i="10"/>
  <c r="E61" i="3"/>
  <c r="E100" i="10"/>
  <c r="E60" i="8"/>
  <c r="E59" i="8"/>
  <c r="J53" i="3"/>
  <c r="G53" i="3"/>
  <c r="H53" i="3"/>
  <c r="C56" i="6"/>
  <c r="E49" i="3"/>
  <c r="E53" i="8"/>
  <c r="E31" i="4"/>
  <c r="C32" i="15"/>
  <c r="C32" i="14"/>
  <c r="C50" i="6"/>
  <c r="E44" i="3"/>
  <c r="E83" i="10"/>
  <c r="E43" i="3"/>
  <c r="E47" i="8"/>
  <c r="E26" i="4"/>
  <c r="E25" i="4"/>
  <c r="C28" i="15"/>
  <c r="C28" i="14"/>
  <c r="C43" i="6"/>
  <c r="C44" i="6"/>
  <c r="E74" i="10"/>
  <c r="E73" i="10"/>
  <c r="E72" i="10"/>
  <c r="E75" i="10"/>
  <c r="E36" i="3"/>
  <c r="E35" i="3"/>
  <c r="E41" i="8"/>
  <c r="E40" i="8"/>
  <c r="E18" i="4"/>
  <c r="E17" i="4"/>
  <c r="C36" i="6"/>
  <c r="E30" i="3"/>
  <c r="E33" i="8"/>
  <c r="E14" i="4"/>
  <c r="C22" i="15"/>
  <c r="C22" i="14"/>
  <c r="E58" i="10"/>
  <c r="E57" i="10"/>
  <c r="E25" i="3"/>
  <c r="E29" i="8"/>
  <c r="C18" i="15"/>
  <c r="C18" i="14"/>
  <c r="C29" i="6"/>
  <c r="C30" i="6"/>
  <c r="C28" i="6"/>
  <c r="E46" i="10"/>
  <c r="E42" i="10"/>
  <c r="E45" i="10"/>
  <c r="E44" i="10"/>
  <c r="E43" i="10"/>
  <c r="E20" i="3"/>
  <c r="E19" i="3"/>
  <c r="E22" i="8"/>
  <c r="E9" i="4"/>
  <c r="E8" i="4"/>
  <c r="C14" i="15"/>
  <c r="C14" i="14"/>
  <c r="C17" i="6"/>
  <c r="C18" i="6"/>
  <c r="E26" i="10"/>
  <c r="E25" i="10"/>
  <c r="E24" i="10"/>
  <c r="E28" i="10"/>
  <c r="E14" i="3"/>
  <c r="E27" i="10"/>
  <c r="E13" i="3"/>
  <c r="E15" i="8"/>
  <c r="E16" i="8"/>
  <c r="E5" i="4"/>
  <c r="E4" i="4"/>
  <c r="C10" i="15"/>
  <c r="C10" i="14"/>
  <c r="C9" i="6"/>
  <c r="C12" i="6"/>
  <c r="E14" i="10"/>
  <c r="E15" i="10"/>
  <c r="E9" i="3"/>
  <c r="E12" i="8"/>
  <c r="E11" i="8"/>
  <c r="C6" i="15"/>
  <c r="C6" i="14"/>
  <c r="C5" i="6"/>
  <c r="E5" i="10"/>
  <c r="E5" i="3"/>
  <c r="E5" i="8"/>
  <c r="C61" i="15"/>
  <c r="C143" i="6"/>
  <c r="C61" i="14"/>
  <c r="E154" i="10"/>
  <c r="E216" i="3"/>
  <c r="E215" i="3"/>
  <c r="E189" i="8"/>
  <c r="E322" i="4"/>
  <c r="E321" i="4"/>
  <c r="C58" i="15"/>
  <c r="C58" i="14"/>
  <c r="C139" i="6"/>
  <c r="E208" i="3"/>
  <c r="E151" i="10"/>
  <c r="E207" i="3"/>
  <c r="E185" i="8"/>
  <c r="E314" i="4"/>
  <c r="E313" i="4"/>
  <c r="J200" i="3"/>
  <c r="G200" i="3"/>
  <c r="H200" i="3"/>
  <c r="J196" i="3"/>
  <c r="H196" i="3"/>
  <c r="G196" i="3"/>
  <c r="J192" i="3"/>
  <c r="G192" i="3"/>
  <c r="H192" i="3"/>
  <c r="J188" i="3"/>
  <c r="H188" i="3"/>
  <c r="G188" i="3"/>
  <c r="E184" i="3"/>
  <c r="E183" i="3"/>
  <c r="E181" i="8"/>
  <c r="E304" i="4"/>
  <c r="E300" i="4"/>
  <c r="E303" i="4"/>
  <c r="E299" i="4"/>
  <c r="E301" i="4"/>
  <c r="E306" i="4"/>
  <c r="E302" i="4"/>
  <c r="E305" i="4"/>
  <c r="C117" i="6"/>
  <c r="E176" i="3"/>
  <c r="E175" i="3"/>
  <c r="E177" i="8"/>
  <c r="E280" i="4"/>
  <c r="E276" i="4"/>
  <c r="E279" i="4"/>
  <c r="E275" i="4"/>
  <c r="E278" i="4"/>
  <c r="E277" i="4"/>
  <c r="C133" i="6"/>
  <c r="E168" i="3"/>
  <c r="E167" i="3"/>
  <c r="E173" i="8"/>
  <c r="E260" i="4"/>
  <c r="E259" i="4"/>
  <c r="C115" i="6"/>
  <c r="E160" i="3"/>
  <c r="E159" i="3"/>
  <c r="E169" i="8"/>
  <c r="E244" i="4"/>
  <c r="E240" i="4"/>
  <c r="E243" i="4"/>
  <c r="E239" i="4"/>
  <c r="E242" i="4"/>
  <c r="E241" i="4"/>
  <c r="E152" i="3"/>
  <c r="E151" i="3"/>
  <c r="E165" i="8"/>
  <c r="E224" i="4"/>
  <c r="E220" i="4"/>
  <c r="E223" i="4"/>
  <c r="E219" i="4"/>
  <c r="E222" i="4"/>
  <c r="E221" i="4"/>
  <c r="C124" i="6"/>
  <c r="E144" i="3"/>
  <c r="E143" i="3"/>
  <c r="E161" i="8"/>
  <c r="E204" i="4"/>
  <c r="E200" i="4"/>
  <c r="E203" i="4"/>
  <c r="E199" i="4"/>
  <c r="E202" i="4"/>
  <c r="E201" i="4"/>
  <c r="C122" i="6"/>
  <c r="E136" i="3"/>
  <c r="E135" i="3"/>
  <c r="E157" i="8"/>
  <c r="E184" i="4"/>
  <c r="E180" i="4"/>
  <c r="E183" i="4"/>
  <c r="E179" i="4"/>
  <c r="E182" i="4"/>
  <c r="E181" i="4"/>
  <c r="H130" i="3"/>
  <c r="J130" i="3"/>
  <c r="G130" i="3"/>
  <c r="J126" i="3"/>
  <c r="G126" i="3"/>
  <c r="H126" i="3"/>
  <c r="J122" i="3"/>
  <c r="G122" i="3"/>
  <c r="H122" i="3"/>
  <c r="C108" i="6"/>
  <c r="E116" i="3"/>
  <c r="E115" i="3"/>
  <c r="E152" i="8"/>
  <c r="E168" i="4"/>
  <c r="E169" i="4"/>
  <c r="C103" i="6"/>
  <c r="E108" i="3"/>
  <c r="E107" i="3"/>
  <c r="E148" i="8"/>
  <c r="E160" i="4"/>
  <c r="E161" i="4"/>
  <c r="G103" i="3"/>
  <c r="H103" i="3"/>
  <c r="J103" i="3"/>
  <c r="C57" i="15"/>
  <c r="C113" i="6"/>
  <c r="C57" i="14"/>
  <c r="E98" i="3"/>
  <c r="E148" i="10"/>
  <c r="E147" i="10"/>
  <c r="E99" i="3"/>
  <c r="E147" i="8"/>
  <c r="E159" i="4"/>
  <c r="E158" i="4"/>
  <c r="C55" i="15"/>
  <c r="C55" i="14"/>
  <c r="E142" i="10"/>
  <c r="E141" i="10"/>
  <c r="E143" i="10"/>
  <c r="E90" i="3"/>
  <c r="E91" i="3"/>
  <c r="E136" i="8"/>
  <c r="E135" i="8"/>
  <c r="E138" i="8"/>
  <c r="E133" i="8"/>
  <c r="E137" i="8"/>
  <c r="E134" i="8"/>
  <c r="E132" i="4"/>
  <c r="E128" i="4"/>
  <c r="E131" i="4"/>
  <c r="E127" i="4"/>
  <c r="E130" i="4"/>
  <c r="E126" i="4"/>
  <c r="E129" i="4"/>
  <c r="E133" i="4"/>
  <c r="C98" i="6"/>
  <c r="C85" i="6"/>
  <c r="C73" i="6"/>
  <c r="E133" i="10"/>
  <c r="E82" i="3"/>
  <c r="E131" i="10"/>
  <c r="E132" i="10"/>
  <c r="E83" i="3"/>
  <c r="E124" i="8"/>
  <c r="E120" i="8"/>
  <c r="E123" i="8"/>
  <c r="E119" i="8"/>
  <c r="E122" i="8"/>
  <c r="E121" i="8"/>
  <c r="E111" i="4"/>
  <c r="E107" i="4"/>
  <c r="E110" i="4"/>
  <c r="E106" i="4"/>
  <c r="E113" i="4"/>
  <c r="E109" i="4"/>
  <c r="E112" i="4"/>
  <c r="E108" i="4"/>
  <c r="C50" i="15"/>
  <c r="C50" i="14"/>
  <c r="C94" i="6"/>
  <c r="C81" i="6"/>
  <c r="C69" i="6"/>
  <c r="E121" i="10"/>
  <c r="E120" i="10"/>
  <c r="E119" i="10"/>
  <c r="E74" i="3"/>
  <c r="E75" i="3"/>
  <c r="E100" i="8"/>
  <c r="E96" i="8"/>
  <c r="E99" i="8"/>
  <c r="E95" i="8"/>
  <c r="E98" i="8"/>
  <c r="E97" i="8"/>
  <c r="E79" i="4"/>
  <c r="E75" i="4"/>
  <c r="E78" i="4"/>
  <c r="E74" i="4"/>
  <c r="E81" i="4"/>
  <c r="E77" i="4"/>
  <c r="E80" i="4"/>
  <c r="E76" i="4"/>
  <c r="C90" i="6"/>
  <c r="C43" i="15"/>
  <c r="C77" i="6"/>
  <c r="C65" i="6"/>
  <c r="C43" i="14"/>
  <c r="E109" i="10"/>
  <c r="E108" i="10"/>
  <c r="E66" i="3"/>
  <c r="E107" i="10"/>
  <c r="E67" i="3"/>
  <c r="E76" i="8"/>
  <c r="E72" i="8"/>
  <c r="E75" i="8"/>
  <c r="E71" i="8"/>
  <c r="E74" i="8"/>
  <c r="E73" i="8"/>
  <c r="E47" i="4"/>
  <c r="E43" i="4"/>
  <c r="E46" i="4"/>
  <c r="E42" i="4"/>
  <c r="E49" i="4"/>
  <c r="E45" i="4"/>
  <c r="E48" i="4"/>
  <c r="E44" i="4"/>
  <c r="C39" i="15"/>
  <c r="C61" i="6"/>
  <c r="C39" i="14"/>
  <c r="E98" i="10"/>
  <c r="E60" i="3"/>
  <c r="E58" i="8"/>
  <c r="J56" i="3"/>
  <c r="G56" i="3"/>
  <c r="H56" i="3"/>
  <c r="C37" i="15"/>
  <c r="C59" i="6"/>
  <c r="C37" i="14"/>
  <c r="E94" i="10"/>
  <c r="E93" i="10"/>
  <c r="E92" i="10"/>
  <c r="E52" i="3"/>
  <c r="E56" i="8"/>
  <c r="C35" i="15"/>
  <c r="C55" i="6"/>
  <c r="C35" i="14"/>
  <c r="E88" i="10"/>
  <c r="E48" i="3"/>
  <c r="E52" i="8"/>
  <c r="E30" i="4"/>
  <c r="C31" i="15"/>
  <c r="C49" i="6"/>
  <c r="C48" i="6"/>
  <c r="C31" i="14"/>
  <c r="E82" i="10"/>
  <c r="E81" i="10"/>
  <c r="E80" i="10"/>
  <c r="E42" i="3"/>
  <c r="E41" i="3"/>
  <c r="E45" i="8"/>
  <c r="E46" i="8"/>
  <c r="E23" i="4"/>
  <c r="E24" i="4"/>
  <c r="C27" i="15"/>
  <c r="C41" i="6"/>
  <c r="C27" i="14"/>
  <c r="C42" i="6"/>
  <c r="E70" i="10"/>
  <c r="E69" i="10"/>
  <c r="E71" i="10"/>
  <c r="E34" i="3"/>
  <c r="E33" i="3"/>
  <c r="E38" i="8"/>
  <c r="E39" i="8"/>
  <c r="E15" i="4"/>
  <c r="E16" i="4"/>
  <c r="E29" i="3"/>
  <c r="E28" i="3"/>
  <c r="E32" i="8"/>
  <c r="E13" i="4"/>
  <c r="E12" i="4"/>
  <c r="C21" i="15"/>
  <c r="C35" i="6"/>
  <c r="C21" i="14"/>
  <c r="C34" i="6"/>
  <c r="E56" i="10"/>
  <c r="E55" i="10"/>
  <c r="E24" i="3"/>
  <c r="E27" i="8"/>
  <c r="E28" i="8"/>
  <c r="C17" i="15"/>
  <c r="C27" i="6"/>
  <c r="C25" i="6"/>
  <c r="C26" i="6"/>
  <c r="C17" i="14"/>
  <c r="E38" i="10"/>
  <c r="E41" i="10"/>
  <c r="E37" i="10"/>
  <c r="E40" i="10"/>
  <c r="E39" i="10"/>
  <c r="E18" i="3"/>
  <c r="E21" i="8"/>
  <c r="C13" i="15"/>
  <c r="C15" i="6"/>
  <c r="C16" i="6"/>
  <c r="C13" i="14"/>
  <c r="E22" i="10"/>
  <c r="E21" i="10"/>
  <c r="E23" i="10"/>
  <c r="E20" i="10"/>
  <c r="E12" i="3"/>
  <c r="E19" i="10"/>
  <c r="E13" i="8"/>
  <c r="E14" i="8"/>
  <c r="C9" i="15"/>
  <c r="C11" i="6"/>
  <c r="C9" i="14"/>
  <c r="C8" i="6"/>
  <c r="E13" i="10"/>
  <c r="E8" i="3"/>
  <c r="E9" i="8"/>
  <c r="E10" i="8"/>
  <c r="A144" i="2"/>
  <c r="A140" i="2"/>
  <c r="A136" i="2"/>
  <c r="A124" i="2"/>
  <c r="A120" i="2"/>
  <c r="A108" i="2"/>
  <c r="A104" i="2"/>
  <c r="A92" i="2"/>
  <c r="A80" i="2"/>
  <c r="A76" i="2"/>
  <c r="A64" i="2"/>
  <c r="A60" i="2"/>
  <c r="A48" i="2"/>
  <c r="A36" i="2"/>
  <c r="A28" i="2"/>
  <c r="A24" i="2"/>
  <c r="A20" i="2"/>
  <c r="A16" i="2"/>
  <c r="A12" i="2"/>
  <c r="A8" i="2"/>
  <c r="A132" i="2"/>
  <c r="A112" i="2"/>
  <c r="A100" i="2"/>
  <c r="A88" i="2"/>
  <c r="A68" i="2"/>
  <c r="A56" i="2"/>
  <c r="A44" i="2"/>
  <c r="A4" i="2"/>
  <c r="A139" i="2"/>
  <c r="A131" i="2"/>
  <c r="A127" i="2"/>
  <c r="A119" i="2"/>
  <c r="A107" i="2"/>
  <c r="A99" i="2"/>
  <c r="A95" i="2"/>
  <c r="A87" i="2"/>
  <c r="A79" i="2"/>
  <c r="A71" i="2"/>
  <c r="A63" i="2"/>
  <c r="A55" i="2"/>
  <c r="A47" i="2"/>
  <c r="A39" i="2"/>
  <c r="A31" i="2"/>
  <c r="A19" i="2"/>
  <c r="A15" i="2"/>
  <c r="A146" i="2"/>
  <c r="A142" i="2"/>
  <c r="A138" i="2"/>
  <c r="A134" i="2"/>
  <c r="A130" i="2"/>
  <c r="A126" i="2"/>
  <c r="A122" i="2"/>
  <c r="A118" i="2"/>
  <c r="A114" i="2"/>
  <c r="A110" i="2"/>
  <c r="A106" i="2"/>
  <c r="A102" i="2"/>
  <c r="A98" i="2"/>
  <c r="A94" i="2"/>
  <c r="A90" i="2"/>
  <c r="A86" i="2"/>
  <c r="A82" i="2"/>
  <c r="A78" i="2"/>
  <c r="A74" i="2"/>
  <c r="A70" i="2"/>
  <c r="A66" i="2"/>
  <c r="A62" i="2"/>
  <c r="A58" i="2"/>
  <c r="A54" i="2"/>
  <c r="A50" i="2"/>
  <c r="A46" i="2"/>
  <c r="A42" i="2"/>
  <c r="A38" i="2"/>
  <c r="A34" i="2"/>
  <c r="A30" i="2"/>
  <c r="A26" i="2"/>
  <c r="A22" i="2"/>
  <c r="A18" i="2"/>
  <c r="A14" i="2"/>
  <c r="A10" i="2"/>
  <c r="A6" i="2"/>
  <c r="A128" i="2"/>
  <c r="A116" i="2"/>
  <c r="A96" i="2"/>
  <c r="A84" i="2"/>
  <c r="A72" i="2"/>
  <c r="A52" i="2"/>
  <c r="A40" i="2"/>
  <c r="A32" i="2"/>
  <c r="A143" i="2"/>
  <c r="A135" i="2"/>
  <c r="A123" i="2"/>
  <c r="A115" i="2"/>
  <c r="A111" i="2"/>
  <c r="A103" i="2"/>
  <c r="A91" i="2"/>
  <c r="A83" i="2"/>
  <c r="A75" i="2"/>
  <c r="A67" i="2"/>
  <c r="A59" i="2"/>
  <c r="A51" i="2"/>
  <c r="A43" i="2"/>
  <c r="A35" i="2"/>
  <c r="A27" i="2"/>
  <c r="A23" i="2"/>
  <c r="A11" i="2"/>
  <c r="A7" i="2"/>
  <c r="A145" i="2"/>
  <c r="A141" i="2"/>
  <c r="A137" i="2"/>
  <c r="A133" i="2"/>
  <c r="A129" i="2"/>
  <c r="A125" i="2"/>
  <c r="A121" i="2"/>
  <c r="A117" i="2"/>
  <c r="A113" i="2"/>
  <c r="A109" i="2"/>
  <c r="A105" i="2"/>
  <c r="A101" i="2"/>
  <c r="A97" i="2"/>
  <c r="A93" i="2"/>
  <c r="A89" i="2"/>
  <c r="A85" i="2"/>
  <c r="A81" i="2"/>
  <c r="A77" i="2"/>
  <c r="A73" i="2"/>
  <c r="A69" i="2"/>
  <c r="A65" i="2"/>
  <c r="A61" i="2"/>
  <c r="A57" i="2"/>
  <c r="A53" i="2"/>
  <c r="A49" i="2"/>
  <c r="A45" i="2"/>
  <c r="A41" i="2"/>
  <c r="A37" i="2"/>
  <c r="A33" i="2"/>
  <c r="A29" i="2"/>
  <c r="A25" i="2"/>
  <c r="A21" i="2"/>
  <c r="A17" i="2"/>
  <c r="A13" i="2"/>
  <c r="A9" i="2"/>
  <c r="A5" i="2"/>
  <c r="G28" i="3" l="1"/>
  <c r="J28" i="3"/>
  <c r="H28" i="3"/>
  <c r="J71" i="10"/>
  <c r="H71" i="10"/>
  <c r="G71" i="10"/>
  <c r="H42" i="3"/>
  <c r="J42" i="3"/>
  <c r="G42" i="3"/>
  <c r="J98" i="10"/>
  <c r="H98" i="10"/>
  <c r="G98" i="10"/>
  <c r="J72" i="8"/>
  <c r="G72" i="8"/>
  <c r="H72" i="8"/>
  <c r="G74" i="4"/>
  <c r="H74" i="4"/>
  <c r="J74" i="4"/>
  <c r="J120" i="8"/>
  <c r="G120" i="8"/>
  <c r="H120" i="8"/>
  <c r="H128" i="4"/>
  <c r="J128" i="4"/>
  <c r="G128" i="4"/>
  <c r="H159" i="4"/>
  <c r="G159" i="4"/>
  <c r="J159" i="4"/>
  <c r="J202" i="4"/>
  <c r="G202" i="4"/>
  <c r="H202" i="4"/>
  <c r="J239" i="4"/>
  <c r="H239" i="4"/>
  <c r="G239" i="4"/>
  <c r="H305" i="4"/>
  <c r="J305" i="4"/>
  <c r="G305" i="4"/>
  <c r="J216" i="3"/>
  <c r="G216" i="3"/>
  <c r="H216" i="3"/>
  <c r="J13" i="3"/>
  <c r="H13" i="3"/>
  <c r="G13" i="3"/>
  <c r="J51" i="4"/>
  <c r="H51" i="4"/>
  <c r="G51" i="4"/>
  <c r="J85" i="4"/>
  <c r="H85" i="4"/>
  <c r="G85" i="4"/>
  <c r="J122" i="10"/>
  <c r="H122" i="10"/>
  <c r="G122" i="10"/>
  <c r="J122" i="4"/>
  <c r="G122" i="4"/>
  <c r="H122" i="4"/>
  <c r="J135" i="10"/>
  <c r="H135" i="10"/>
  <c r="G135" i="10"/>
  <c r="H135" i="4"/>
  <c r="G135" i="4"/>
  <c r="J135" i="4"/>
  <c r="G144" i="10"/>
  <c r="H144" i="10"/>
  <c r="J144" i="10"/>
  <c r="J84" i="8"/>
  <c r="G84" i="8"/>
  <c r="H84" i="8"/>
  <c r="H109" i="8"/>
  <c r="G109" i="8"/>
  <c r="J109" i="8"/>
  <c r="J147" i="3"/>
  <c r="G147" i="3"/>
  <c r="H147" i="3"/>
  <c r="J252" i="4"/>
  <c r="G252" i="4"/>
  <c r="H252" i="4"/>
  <c r="H211" i="3"/>
  <c r="G211" i="3"/>
  <c r="J211" i="3"/>
  <c r="G22" i="4"/>
  <c r="H22" i="4"/>
  <c r="J22" i="4"/>
  <c r="J55" i="8"/>
  <c r="H55" i="8"/>
  <c r="G55" i="8"/>
  <c r="J90" i="10"/>
  <c r="G90" i="10"/>
  <c r="H90" i="10"/>
  <c r="J34" i="4"/>
  <c r="G34" i="4"/>
  <c r="H34" i="4"/>
  <c r="G68" i="4"/>
  <c r="H68" i="4"/>
  <c r="J68" i="4"/>
  <c r="G91" i="8"/>
  <c r="J91" i="8"/>
  <c r="H91" i="8"/>
  <c r="J98" i="4"/>
  <c r="G98" i="4"/>
  <c r="H98" i="4"/>
  <c r="J125" i="4"/>
  <c r="H125" i="4"/>
  <c r="G125" i="4"/>
  <c r="H137" i="3"/>
  <c r="J137" i="3"/>
  <c r="G137" i="3"/>
  <c r="J230" i="4"/>
  <c r="G230" i="4"/>
  <c r="H230" i="4"/>
  <c r="J285" i="4"/>
  <c r="G285" i="4"/>
  <c r="H285" i="4"/>
  <c r="H13" i="8"/>
  <c r="J13" i="8"/>
  <c r="G13" i="8"/>
  <c r="H41" i="10"/>
  <c r="J41" i="10"/>
  <c r="G41" i="10"/>
  <c r="G27" i="8"/>
  <c r="J27" i="8"/>
  <c r="H27" i="8"/>
  <c r="J69" i="10"/>
  <c r="G69" i="10"/>
  <c r="H69" i="10"/>
  <c r="G80" i="10"/>
  <c r="H80" i="10"/>
  <c r="J80" i="10"/>
  <c r="G74" i="8"/>
  <c r="J74" i="8"/>
  <c r="H74" i="8"/>
  <c r="J80" i="4"/>
  <c r="H80" i="4"/>
  <c r="G80" i="4"/>
  <c r="J115" i="3"/>
  <c r="G115" i="3"/>
  <c r="H115" i="3"/>
  <c r="H199" i="4"/>
  <c r="G199" i="4"/>
  <c r="J199" i="4"/>
  <c r="G243" i="4"/>
  <c r="J243" i="4"/>
  <c r="H243" i="4"/>
  <c r="H279" i="4"/>
  <c r="G279" i="4"/>
  <c r="J279" i="4"/>
  <c r="G175" i="3"/>
  <c r="J175" i="3"/>
  <c r="H175" i="3"/>
  <c r="G183" i="3"/>
  <c r="J183" i="3"/>
  <c r="H183" i="3"/>
  <c r="J13" i="10"/>
  <c r="G13" i="10"/>
  <c r="H13" i="10"/>
  <c r="J12" i="3"/>
  <c r="H12" i="3"/>
  <c r="G12" i="3"/>
  <c r="G22" i="10"/>
  <c r="H22" i="10"/>
  <c r="J22" i="10"/>
  <c r="G40" i="10"/>
  <c r="J40" i="10"/>
  <c r="H40" i="10"/>
  <c r="G55" i="10"/>
  <c r="J55" i="10"/>
  <c r="H55" i="10"/>
  <c r="J32" i="8"/>
  <c r="H32" i="8"/>
  <c r="G32" i="8"/>
  <c r="J15" i="4"/>
  <c r="H15" i="4"/>
  <c r="G15" i="4"/>
  <c r="J34" i="3"/>
  <c r="H34" i="3"/>
  <c r="G34" i="3"/>
  <c r="J24" i="4"/>
  <c r="H24" i="4"/>
  <c r="G24" i="4"/>
  <c r="H41" i="3"/>
  <c r="G41" i="3"/>
  <c r="J41" i="3"/>
  <c r="J82" i="10"/>
  <c r="G82" i="10"/>
  <c r="H82" i="10"/>
  <c r="G88" i="10"/>
  <c r="H88" i="10"/>
  <c r="J88" i="10"/>
  <c r="J56" i="8"/>
  <c r="H56" i="8"/>
  <c r="G56" i="8"/>
  <c r="J94" i="10"/>
  <c r="H94" i="10"/>
  <c r="G94" i="10"/>
  <c r="J60" i="3"/>
  <c r="H60" i="3"/>
  <c r="G60" i="3"/>
  <c r="H49" i="4"/>
  <c r="G49" i="4"/>
  <c r="J49" i="4"/>
  <c r="H47" i="4"/>
  <c r="G47" i="4"/>
  <c r="J47" i="4"/>
  <c r="J75" i="8"/>
  <c r="H75" i="8"/>
  <c r="G75" i="8"/>
  <c r="H107" i="10"/>
  <c r="J107" i="10"/>
  <c r="G107" i="10"/>
  <c r="G81" i="4"/>
  <c r="J81" i="4"/>
  <c r="H81" i="4"/>
  <c r="G79" i="4"/>
  <c r="J79" i="4"/>
  <c r="H79" i="4"/>
  <c r="H99" i="8"/>
  <c r="J99" i="8"/>
  <c r="G99" i="8"/>
  <c r="H74" i="3"/>
  <c r="J74" i="3"/>
  <c r="G74" i="3"/>
  <c r="H113" i="4"/>
  <c r="G113" i="4"/>
  <c r="J113" i="4"/>
  <c r="H111" i="4"/>
  <c r="G111" i="4"/>
  <c r="J111" i="4"/>
  <c r="G123" i="8"/>
  <c r="H123" i="8"/>
  <c r="J123" i="8"/>
  <c r="G132" i="10"/>
  <c r="H132" i="10"/>
  <c r="J132" i="10"/>
  <c r="J129" i="4"/>
  <c r="H129" i="4"/>
  <c r="G129" i="4"/>
  <c r="J131" i="4"/>
  <c r="H131" i="4"/>
  <c r="G131" i="4"/>
  <c r="H137" i="8"/>
  <c r="J137" i="8"/>
  <c r="G137" i="8"/>
  <c r="J136" i="8"/>
  <c r="G136" i="8"/>
  <c r="H136" i="8"/>
  <c r="J141" i="10"/>
  <c r="G141" i="10"/>
  <c r="H141" i="10"/>
  <c r="H158" i="4"/>
  <c r="J158" i="4"/>
  <c r="G158" i="4"/>
  <c r="H147" i="10"/>
  <c r="J147" i="10"/>
  <c r="G147" i="10"/>
  <c r="G107" i="3"/>
  <c r="H107" i="3"/>
  <c r="J107" i="3"/>
  <c r="J168" i="4"/>
  <c r="G168" i="4"/>
  <c r="H168" i="4"/>
  <c r="G179" i="4"/>
  <c r="J179" i="4"/>
  <c r="H179" i="4"/>
  <c r="H157" i="8"/>
  <c r="J157" i="8"/>
  <c r="G157" i="8"/>
  <c r="H201" i="4"/>
  <c r="G201" i="4"/>
  <c r="J201" i="4"/>
  <c r="G200" i="4"/>
  <c r="H200" i="4"/>
  <c r="J200" i="4"/>
  <c r="J144" i="3"/>
  <c r="H144" i="3"/>
  <c r="G144" i="3"/>
  <c r="J219" i="4"/>
  <c r="H219" i="4"/>
  <c r="G219" i="4"/>
  <c r="H165" i="8"/>
  <c r="G165" i="8"/>
  <c r="J165" i="8"/>
  <c r="G242" i="4"/>
  <c r="H242" i="4"/>
  <c r="J242" i="4"/>
  <c r="J244" i="4"/>
  <c r="G244" i="4"/>
  <c r="H244" i="4"/>
  <c r="G167" i="3"/>
  <c r="J167" i="3"/>
  <c r="H167" i="3"/>
  <c r="G278" i="4"/>
  <c r="J278" i="4"/>
  <c r="H278" i="4"/>
  <c r="H280" i="4"/>
  <c r="J280" i="4"/>
  <c r="G280" i="4"/>
  <c r="H301" i="4"/>
  <c r="G301" i="4"/>
  <c r="J301" i="4"/>
  <c r="H304" i="4"/>
  <c r="G304" i="4"/>
  <c r="J304" i="4"/>
  <c r="J313" i="4"/>
  <c r="G313" i="4"/>
  <c r="H313" i="4"/>
  <c r="G151" i="10"/>
  <c r="J151" i="10"/>
  <c r="H151" i="10"/>
  <c r="G215" i="3"/>
  <c r="H215" i="3"/>
  <c r="J215" i="3"/>
  <c r="J5" i="10"/>
  <c r="G5" i="10"/>
  <c r="H5" i="10"/>
  <c r="J11" i="8"/>
  <c r="G11" i="8"/>
  <c r="H11" i="8"/>
  <c r="J14" i="10"/>
  <c r="H14" i="10"/>
  <c r="G14" i="10"/>
  <c r="J15" i="8"/>
  <c r="G15" i="8"/>
  <c r="H15" i="8"/>
  <c r="G28" i="10"/>
  <c r="H28" i="10"/>
  <c r="J28" i="10"/>
  <c r="J8" i="4"/>
  <c r="H8" i="4"/>
  <c r="G8" i="4"/>
  <c r="H20" i="3"/>
  <c r="J20" i="3"/>
  <c r="G20" i="3"/>
  <c r="J42" i="10"/>
  <c r="G42" i="10"/>
  <c r="H42" i="10"/>
  <c r="J25" i="3"/>
  <c r="H25" i="3"/>
  <c r="G25" i="3"/>
  <c r="H41" i="8"/>
  <c r="G41" i="8"/>
  <c r="J41" i="8"/>
  <c r="G72" i="10"/>
  <c r="J72" i="10"/>
  <c r="H72" i="10"/>
  <c r="J26" i="4"/>
  <c r="G26" i="4"/>
  <c r="H26" i="4"/>
  <c r="J44" i="3"/>
  <c r="G44" i="3"/>
  <c r="H44" i="3"/>
  <c r="J31" i="4"/>
  <c r="H31" i="4"/>
  <c r="G31" i="4"/>
  <c r="J60" i="8"/>
  <c r="G60" i="8"/>
  <c r="H60" i="8"/>
  <c r="H56" i="4"/>
  <c r="J56" i="4"/>
  <c r="G56" i="4"/>
  <c r="J54" i="4"/>
  <c r="H54" i="4"/>
  <c r="G54" i="4"/>
  <c r="H77" i="8"/>
  <c r="G77" i="8"/>
  <c r="J77" i="8"/>
  <c r="J80" i="8"/>
  <c r="H80" i="8"/>
  <c r="G80" i="8"/>
  <c r="G112" i="10"/>
  <c r="J112" i="10"/>
  <c r="H112" i="10"/>
  <c r="G84" i="4"/>
  <c r="J84" i="4"/>
  <c r="H84" i="4"/>
  <c r="G86" i="4"/>
  <c r="J86" i="4"/>
  <c r="H86" i="4"/>
  <c r="H105" i="8"/>
  <c r="G105" i="8"/>
  <c r="J105" i="8"/>
  <c r="J104" i="8"/>
  <c r="G104" i="8"/>
  <c r="H104" i="8"/>
  <c r="G124" i="10"/>
  <c r="J124" i="10"/>
  <c r="H124" i="10"/>
  <c r="G116" i="4"/>
  <c r="J116" i="4"/>
  <c r="H116" i="4"/>
  <c r="H118" i="4"/>
  <c r="J118" i="4"/>
  <c r="G118" i="4"/>
  <c r="H123" i="4"/>
  <c r="G123" i="4"/>
  <c r="J123" i="4"/>
  <c r="G130" i="8"/>
  <c r="H130" i="8"/>
  <c r="J130" i="8"/>
  <c r="J85" i="3"/>
  <c r="G85" i="3"/>
  <c r="H85" i="3"/>
  <c r="J138" i="4"/>
  <c r="G138" i="4"/>
  <c r="H138" i="4"/>
  <c r="H140" i="4"/>
  <c r="G140" i="4"/>
  <c r="J140" i="4"/>
  <c r="J143" i="8"/>
  <c r="H143" i="8"/>
  <c r="G143" i="8"/>
  <c r="J93" i="3"/>
  <c r="H93" i="3"/>
  <c r="G93" i="3"/>
  <c r="J162" i="4"/>
  <c r="H162" i="4"/>
  <c r="G162" i="4"/>
  <c r="H110" i="3"/>
  <c r="J110" i="3"/>
  <c r="G110" i="3"/>
  <c r="G174" i="4"/>
  <c r="J174" i="4"/>
  <c r="H174" i="4"/>
  <c r="H153" i="8"/>
  <c r="J153" i="8"/>
  <c r="G153" i="8"/>
  <c r="J308" i="4"/>
  <c r="G308" i="4"/>
  <c r="H308" i="4"/>
  <c r="G186" i="8"/>
  <c r="J186" i="8"/>
  <c r="H186" i="8"/>
  <c r="J325" i="4"/>
  <c r="H325" i="4"/>
  <c r="G325" i="4"/>
  <c r="H190" i="8"/>
  <c r="G190" i="8"/>
  <c r="J190" i="8"/>
  <c r="J218" i="3"/>
  <c r="G218" i="3"/>
  <c r="H218" i="3"/>
  <c r="J7" i="10"/>
  <c r="H7" i="10"/>
  <c r="G7" i="10"/>
  <c r="H10" i="3"/>
  <c r="G10" i="3"/>
  <c r="J10" i="3"/>
  <c r="J31" i="10"/>
  <c r="H31" i="10"/>
  <c r="G31" i="10"/>
  <c r="J24" i="8"/>
  <c r="H24" i="8"/>
  <c r="G24" i="8"/>
  <c r="J22" i="3"/>
  <c r="H22" i="3"/>
  <c r="G22" i="3"/>
  <c r="J50" i="10"/>
  <c r="G50" i="10"/>
  <c r="H50" i="10"/>
  <c r="H26" i="3"/>
  <c r="J26" i="3"/>
  <c r="G26" i="3"/>
  <c r="G34" i="8"/>
  <c r="H34" i="8"/>
  <c r="J34" i="8"/>
  <c r="G64" i="10"/>
  <c r="J64" i="10"/>
  <c r="H64" i="10"/>
  <c r="G42" i="8"/>
  <c r="J42" i="8"/>
  <c r="H42" i="8"/>
  <c r="G76" i="10"/>
  <c r="H76" i="10"/>
  <c r="J76" i="10"/>
  <c r="G27" i="4"/>
  <c r="J27" i="4"/>
  <c r="H27" i="4"/>
  <c r="G84" i="10"/>
  <c r="J84" i="10"/>
  <c r="H84" i="10"/>
  <c r="J32" i="4"/>
  <c r="H32" i="4"/>
  <c r="G32" i="4"/>
  <c r="H62" i="8"/>
  <c r="J62" i="8"/>
  <c r="G62" i="8"/>
  <c r="G63" i="3"/>
  <c r="J63" i="3"/>
  <c r="H63" i="3"/>
  <c r="G102" i="10"/>
  <c r="H102" i="10"/>
  <c r="J102" i="10"/>
  <c r="H65" i="4"/>
  <c r="G65" i="4"/>
  <c r="J65" i="4"/>
  <c r="J63" i="4"/>
  <c r="H63" i="4"/>
  <c r="G63" i="4"/>
  <c r="J87" i="8"/>
  <c r="G87" i="8"/>
  <c r="H87" i="8"/>
  <c r="H115" i="10"/>
  <c r="J115" i="10"/>
  <c r="G115" i="10"/>
  <c r="J97" i="4"/>
  <c r="H97" i="4"/>
  <c r="G97" i="4"/>
  <c r="J95" i="4"/>
  <c r="H95" i="4"/>
  <c r="G95" i="4"/>
  <c r="J111" i="8"/>
  <c r="G111" i="8"/>
  <c r="H111" i="8"/>
  <c r="H78" i="3"/>
  <c r="J78" i="3"/>
  <c r="G78" i="3"/>
  <c r="J86" i="3"/>
  <c r="H86" i="3"/>
  <c r="G86" i="3"/>
  <c r="J142" i="4"/>
  <c r="G142" i="4"/>
  <c r="H142" i="4"/>
  <c r="J144" i="4"/>
  <c r="G144" i="4"/>
  <c r="H144" i="4"/>
  <c r="J94" i="3"/>
  <c r="H94" i="3"/>
  <c r="G94" i="3"/>
  <c r="J193" i="4"/>
  <c r="H193" i="4"/>
  <c r="G193" i="4"/>
  <c r="H192" i="4"/>
  <c r="J192" i="4"/>
  <c r="G192" i="4"/>
  <c r="H140" i="3"/>
  <c r="G140" i="3"/>
  <c r="J140" i="3"/>
  <c r="G211" i="4"/>
  <c r="J211" i="4"/>
  <c r="H211" i="4"/>
  <c r="H163" i="8"/>
  <c r="J163" i="8"/>
  <c r="G163" i="8"/>
  <c r="J234" i="4"/>
  <c r="H234" i="4"/>
  <c r="G234" i="4"/>
  <c r="H236" i="4"/>
  <c r="G236" i="4"/>
  <c r="J236" i="4"/>
  <c r="H255" i="4"/>
  <c r="G255" i="4"/>
  <c r="J255" i="4"/>
  <c r="H163" i="3"/>
  <c r="J163" i="3"/>
  <c r="G163" i="3"/>
  <c r="J266" i="4"/>
  <c r="H266" i="4"/>
  <c r="G266" i="4"/>
  <c r="H268" i="4"/>
  <c r="G268" i="4"/>
  <c r="J268" i="4"/>
  <c r="J291" i="4"/>
  <c r="H291" i="4"/>
  <c r="G291" i="4"/>
  <c r="G179" i="3"/>
  <c r="H179" i="3"/>
  <c r="J179" i="3"/>
  <c r="G309" i="4"/>
  <c r="J309" i="4"/>
  <c r="H309" i="4"/>
  <c r="G187" i="8"/>
  <c r="H187" i="8"/>
  <c r="J187" i="8"/>
  <c r="J61" i="10"/>
  <c r="G61" i="10"/>
  <c r="H61" i="10"/>
  <c r="J21" i="4"/>
  <c r="H21" i="4"/>
  <c r="G21" i="4"/>
  <c r="J40" i="3"/>
  <c r="G40" i="3"/>
  <c r="H40" i="3"/>
  <c r="G89" i="10"/>
  <c r="H89" i="10"/>
  <c r="J89" i="10"/>
  <c r="G96" i="10"/>
  <c r="H96" i="10"/>
  <c r="J96" i="10"/>
  <c r="J41" i="4"/>
  <c r="G41" i="4"/>
  <c r="H41" i="4"/>
  <c r="G39" i="4"/>
  <c r="J39" i="4"/>
  <c r="H39" i="4"/>
  <c r="G66" i="8"/>
  <c r="J66" i="8"/>
  <c r="H66" i="8"/>
  <c r="H65" i="3"/>
  <c r="J65" i="3"/>
  <c r="G65" i="3"/>
  <c r="G73" i="4"/>
  <c r="J73" i="4"/>
  <c r="H73" i="4"/>
  <c r="H71" i="4"/>
  <c r="J71" i="4"/>
  <c r="G71" i="4"/>
  <c r="G90" i="8"/>
  <c r="J90" i="8"/>
  <c r="H90" i="8"/>
  <c r="G116" i="10"/>
  <c r="H116" i="10"/>
  <c r="J116" i="10"/>
  <c r="J105" i="4"/>
  <c r="G105" i="4"/>
  <c r="H105" i="4"/>
  <c r="H103" i="4"/>
  <c r="G103" i="4"/>
  <c r="J103" i="4"/>
  <c r="G114" i="8"/>
  <c r="H114" i="8"/>
  <c r="J114" i="8"/>
  <c r="H81" i="3"/>
  <c r="J81" i="3"/>
  <c r="G81" i="3"/>
  <c r="H139" i="10"/>
  <c r="J139" i="10"/>
  <c r="G139" i="10"/>
  <c r="G150" i="4"/>
  <c r="J150" i="4"/>
  <c r="H150" i="4"/>
  <c r="J152" i="4"/>
  <c r="H152" i="4"/>
  <c r="G152" i="4"/>
  <c r="H97" i="3"/>
  <c r="J97" i="3"/>
  <c r="G97" i="3"/>
  <c r="J151" i="8"/>
  <c r="H151" i="8"/>
  <c r="G151" i="8"/>
  <c r="G186" i="4"/>
  <c r="J186" i="4"/>
  <c r="H186" i="4"/>
  <c r="H158" i="8"/>
  <c r="G158" i="8"/>
  <c r="J158" i="8"/>
  <c r="H205" i="4"/>
  <c r="G205" i="4"/>
  <c r="J205" i="4"/>
  <c r="H207" i="4"/>
  <c r="G207" i="4"/>
  <c r="J207" i="4"/>
  <c r="H146" i="3"/>
  <c r="G146" i="3"/>
  <c r="J146" i="3"/>
  <c r="J226" i="4"/>
  <c r="H226" i="4"/>
  <c r="G226" i="4"/>
  <c r="H166" i="8"/>
  <c r="J166" i="8"/>
  <c r="G166" i="8"/>
  <c r="H245" i="4"/>
  <c r="J245" i="4"/>
  <c r="G245" i="4"/>
  <c r="J247" i="4"/>
  <c r="H247" i="4"/>
  <c r="G247" i="4"/>
  <c r="J162" i="3"/>
  <c r="H162" i="3"/>
  <c r="G162" i="3"/>
  <c r="G174" i="8"/>
  <c r="H174" i="8"/>
  <c r="J174" i="8"/>
  <c r="J281" i="4"/>
  <c r="G281" i="4"/>
  <c r="H281" i="4"/>
  <c r="J283" i="4"/>
  <c r="H283" i="4"/>
  <c r="G283" i="4"/>
  <c r="J178" i="3"/>
  <c r="G178" i="3"/>
  <c r="H178" i="3"/>
  <c r="G111" i="3"/>
  <c r="J111" i="3"/>
  <c r="H111" i="3"/>
  <c r="G154" i="8"/>
  <c r="H154" i="8"/>
  <c r="J154" i="8"/>
  <c r="J149" i="10"/>
  <c r="G149" i="10"/>
  <c r="H149" i="10"/>
  <c r="H11" i="10"/>
  <c r="J11" i="10"/>
  <c r="G11" i="10"/>
  <c r="H11" i="3"/>
  <c r="J11" i="3"/>
  <c r="G11" i="3"/>
  <c r="H19" i="8"/>
  <c r="G19" i="8"/>
  <c r="J19" i="8"/>
  <c r="J16" i="3"/>
  <c r="G16" i="3"/>
  <c r="H16" i="3"/>
  <c r="G26" i="8"/>
  <c r="H26" i="8"/>
  <c r="J26" i="8"/>
  <c r="J53" i="10"/>
  <c r="G53" i="10"/>
  <c r="H53" i="10"/>
  <c r="H36" i="8"/>
  <c r="J36" i="8"/>
  <c r="G36" i="8"/>
  <c r="G68" i="10"/>
  <c r="J68" i="10"/>
  <c r="H68" i="10"/>
  <c r="G51" i="8"/>
  <c r="J51" i="8"/>
  <c r="H51" i="8"/>
  <c r="G178" i="4"/>
  <c r="H178" i="4"/>
  <c r="J178" i="4"/>
  <c r="J141" i="3"/>
  <c r="G141" i="3"/>
  <c r="H141" i="3"/>
  <c r="G218" i="4"/>
  <c r="J218" i="4"/>
  <c r="H218" i="4"/>
  <c r="G237" i="4"/>
  <c r="H237" i="4"/>
  <c r="J237" i="4"/>
  <c r="J158" i="3"/>
  <c r="H158" i="3"/>
  <c r="G158" i="3"/>
  <c r="J165" i="3"/>
  <c r="G165" i="3"/>
  <c r="H165" i="3"/>
  <c r="G273" i="4"/>
  <c r="J273" i="4"/>
  <c r="H273" i="4"/>
  <c r="G272" i="4"/>
  <c r="J272" i="4"/>
  <c r="H272" i="4"/>
  <c r="J293" i="4"/>
  <c r="H293" i="4"/>
  <c r="G293" i="4"/>
  <c r="J181" i="3"/>
  <c r="G181" i="3"/>
  <c r="H181" i="3"/>
  <c r="J184" i="8"/>
  <c r="G184" i="8"/>
  <c r="H184" i="8"/>
  <c r="H319" i="4"/>
  <c r="G319" i="4"/>
  <c r="J319" i="4"/>
  <c r="J214" i="3"/>
  <c r="H214" i="3"/>
  <c r="G214" i="3"/>
  <c r="G4" i="10"/>
  <c r="H4" i="10"/>
  <c r="J4" i="10"/>
  <c r="G20" i="10"/>
  <c r="J20" i="10"/>
  <c r="H20" i="10"/>
  <c r="J37" i="10"/>
  <c r="G37" i="10"/>
  <c r="H37" i="10"/>
  <c r="G56" i="10"/>
  <c r="H56" i="10"/>
  <c r="J56" i="10"/>
  <c r="G23" i="4"/>
  <c r="J23" i="4"/>
  <c r="H23" i="4"/>
  <c r="J52" i="3"/>
  <c r="G52" i="3"/>
  <c r="H52" i="3"/>
  <c r="G44" i="4"/>
  <c r="J44" i="4"/>
  <c r="H44" i="4"/>
  <c r="J66" i="3"/>
  <c r="G66" i="3"/>
  <c r="H66" i="3"/>
  <c r="H97" i="8"/>
  <c r="J97" i="8"/>
  <c r="G97" i="8"/>
  <c r="G108" i="4"/>
  <c r="J108" i="4"/>
  <c r="H108" i="4"/>
  <c r="H131" i="10"/>
  <c r="J131" i="10"/>
  <c r="G131" i="10"/>
  <c r="H133" i="8"/>
  <c r="G133" i="8"/>
  <c r="J133" i="8"/>
  <c r="G148" i="10"/>
  <c r="H148" i="10"/>
  <c r="J148" i="10"/>
  <c r="J161" i="4"/>
  <c r="H161" i="4"/>
  <c r="G161" i="4"/>
  <c r="G108" i="3"/>
  <c r="J108" i="3"/>
  <c r="H108" i="3"/>
  <c r="J152" i="8"/>
  <c r="G152" i="8"/>
  <c r="H152" i="8"/>
  <c r="J183" i="4"/>
  <c r="H183" i="4"/>
  <c r="G183" i="4"/>
  <c r="G135" i="3"/>
  <c r="H135" i="3"/>
  <c r="J135" i="3"/>
  <c r="G223" i="4"/>
  <c r="J223" i="4"/>
  <c r="H223" i="4"/>
  <c r="J259" i="4"/>
  <c r="H259" i="4"/>
  <c r="G259" i="4"/>
  <c r="G275" i="4"/>
  <c r="J275" i="4"/>
  <c r="H275" i="4"/>
  <c r="J208" i="3"/>
  <c r="H208" i="3"/>
  <c r="G208" i="3"/>
  <c r="G12" i="8"/>
  <c r="J12" i="8"/>
  <c r="H12" i="8"/>
  <c r="G24" i="10"/>
  <c r="J24" i="10"/>
  <c r="H24" i="10"/>
  <c r="J46" i="10"/>
  <c r="H46" i="10"/>
  <c r="G46" i="10"/>
  <c r="H57" i="10"/>
  <c r="J57" i="10"/>
  <c r="G57" i="10"/>
  <c r="H35" i="3"/>
  <c r="J35" i="3"/>
  <c r="G35" i="3"/>
  <c r="G100" i="10"/>
  <c r="J100" i="10"/>
  <c r="H100" i="10"/>
  <c r="H78" i="8"/>
  <c r="J78" i="8"/>
  <c r="G78" i="8"/>
  <c r="J77" i="3"/>
  <c r="H77" i="3"/>
  <c r="G77" i="3"/>
  <c r="J117" i="4"/>
  <c r="H117" i="4"/>
  <c r="G117" i="4"/>
  <c r="J127" i="8"/>
  <c r="G127" i="8"/>
  <c r="H127" i="8"/>
  <c r="H141" i="4"/>
  <c r="G141" i="4"/>
  <c r="J141" i="4"/>
  <c r="G140" i="8"/>
  <c r="J140" i="8"/>
  <c r="H140" i="8"/>
  <c r="J117" i="3"/>
  <c r="G117" i="3"/>
  <c r="H117" i="3"/>
  <c r="J209" i="3"/>
  <c r="G209" i="3"/>
  <c r="H209" i="3"/>
  <c r="J191" i="8"/>
  <c r="G191" i="8"/>
  <c r="H191" i="8"/>
  <c r="G18" i="8"/>
  <c r="J18" i="8"/>
  <c r="H18" i="8"/>
  <c r="J8" i="8"/>
  <c r="G8" i="8"/>
  <c r="H8" i="8"/>
  <c r="G12" i="10"/>
  <c r="J12" i="10"/>
  <c r="H12" i="10"/>
  <c r="J17" i="10"/>
  <c r="H17" i="10"/>
  <c r="G17" i="10"/>
  <c r="G20" i="8"/>
  <c r="J20" i="8"/>
  <c r="H20" i="8"/>
  <c r="H17" i="3"/>
  <c r="J17" i="3"/>
  <c r="G17" i="3"/>
  <c r="H25" i="8"/>
  <c r="J25" i="8"/>
  <c r="G25" i="8"/>
  <c r="G54" i="10"/>
  <c r="J54" i="10"/>
  <c r="H54" i="10"/>
  <c r="H37" i="8"/>
  <c r="J37" i="8"/>
  <c r="G37" i="8"/>
  <c r="J66" i="10"/>
  <c r="G66" i="10"/>
  <c r="H66" i="10"/>
  <c r="G47" i="3"/>
  <c r="J47" i="3"/>
  <c r="H47" i="3"/>
  <c r="H156" i="8"/>
  <c r="G156" i="8"/>
  <c r="J156" i="8"/>
  <c r="J197" i="4"/>
  <c r="H197" i="4"/>
  <c r="G197" i="4"/>
  <c r="J142" i="3"/>
  <c r="H142" i="3"/>
  <c r="G142" i="3"/>
  <c r="G164" i="8"/>
  <c r="H164" i="8"/>
  <c r="J164" i="8"/>
  <c r="G238" i="4"/>
  <c r="J238" i="4"/>
  <c r="H238" i="4"/>
  <c r="J257" i="4"/>
  <c r="H257" i="4"/>
  <c r="G257" i="4"/>
  <c r="J166" i="3"/>
  <c r="H166" i="3"/>
  <c r="G166" i="3"/>
  <c r="J270" i="4"/>
  <c r="G270" i="4"/>
  <c r="H270" i="4"/>
  <c r="J176" i="8"/>
  <c r="G176" i="8"/>
  <c r="H176" i="8"/>
  <c r="H297" i="4"/>
  <c r="G297" i="4"/>
  <c r="J297" i="4"/>
  <c r="H295" i="4"/>
  <c r="G295" i="4"/>
  <c r="J295" i="4"/>
  <c r="J182" i="3"/>
  <c r="H182" i="3"/>
  <c r="G182" i="3"/>
  <c r="J205" i="3"/>
  <c r="G205" i="3"/>
  <c r="H205" i="3"/>
  <c r="H320" i="4"/>
  <c r="J320" i="4"/>
  <c r="G320" i="4"/>
  <c r="G14" i="8"/>
  <c r="H14" i="8"/>
  <c r="J14" i="8"/>
  <c r="H73" i="8"/>
  <c r="J73" i="8"/>
  <c r="G73" i="8"/>
  <c r="H76" i="4"/>
  <c r="G76" i="4"/>
  <c r="J76" i="4"/>
  <c r="G119" i="10"/>
  <c r="J119" i="10"/>
  <c r="H119" i="10"/>
  <c r="H121" i="8"/>
  <c r="J121" i="8"/>
  <c r="G121" i="8"/>
  <c r="G126" i="4"/>
  <c r="J126" i="4"/>
  <c r="H126" i="4"/>
  <c r="G142" i="10"/>
  <c r="H142" i="10"/>
  <c r="J142" i="10"/>
  <c r="G151" i="3"/>
  <c r="H151" i="3"/>
  <c r="J151" i="3"/>
  <c r="J168" i="3"/>
  <c r="G168" i="3"/>
  <c r="H168" i="3"/>
  <c r="H177" i="8"/>
  <c r="J177" i="8"/>
  <c r="G177" i="8"/>
  <c r="J321" i="4"/>
  <c r="H321" i="4"/>
  <c r="G321" i="4"/>
  <c r="G4" i="4"/>
  <c r="J4" i="4"/>
  <c r="H4" i="4"/>
  <c r="H43" i="10"/>
  <c r="J43" i="10"/>
  <c r="G43" i="10"/>
  <c r="G14" i="4"/>
  <c r="J14" i="4"/>
  <c r="H14" i="4"/>
  <c r="J47" i="8"/>
  <c r="H47" i="8"/>
  <c r="G47" i="8"/>
  <c r="J69" i="3"/>
  <c r="G69" i="3"/>
  <c r="H69" i="3"/>
  <c r="H101" i="8"/>
  <c r="G101" i="8"/>
  <c r="J101" i="8"/>
  <c r="G156" i="10"/>
  <c r="J156" i="10"/>
  <c r="H156" i="10"/>
  <c r="G8" i="10"/>
  <c r="J8" i="10"/>
  <c r="H8" i="10"/>
  <c r="G32" i="10"/>
  <c r="J32" i="10"/>
  <c r="H32" i="10"/>
  <c r="J23" i="8"/>
  <c r="H23" i="8"/>
  <c r="G23" i="8"/>
  <c r="G60" i="10"/>
  <c r="J60" i="10"/>
  <c r="H60" i="10"/>
  <c r="J77" i="10"/>
  <c r="G77" i="10"/>
  <c r="H77" i="10"/>
  <c r="H46" i="3"/>
  <c r="J46" i="3"/>
  <c r="G46" i="3"/>
  <c r="H54" i="8"/>
  <c r="G54" i="8"/>
  <c r="J54" i="8"/>
  <c r="H61" i="8"/>
  <c r="G61" i="8"/>
  <c r="J61" i="8"/>
  <c r="G60" i="4"/>
  <c r="J60" i="4"/>
  <c r="H60" i="4"/>
  <c r="J70" i="3"/>
  <c r="H70" i="3"/>
  <c r="G70" i="3"/>
  <c r="J90" i="4"/>
  <c r="G90" i="4"/>
  <c r="H90" i="4"/>
  <c r="G146" i="4"/>
  <c r="H146" i="4"/>
  <c r="J146" i="4"/>
  <c r="G148" i="4"/>
  <c r="J148" i="4"/>
  <c r="H148" i="4"/>
  <c r="J194" i="4"/>
  <c r="H194" i="4"/>
  <c r="G194" i="4"/>
  <c r="J167" i="8"/>
  <c r="H167" i="8"/>
  <c r="G167" i="8"/>
  <c r="G263" i="4"/>
  <c r="J263" i="4"/>
  <c r="H263" i="4"/>
  <c r="G288" i="4"/>
  <c r="H288" i="4"/>
  <c r="J288" i="4"/>
  <c r="J97" i="10"/>
  <c r="H97" i="10"/>
  <c r="G97" i="10"/>
  <c r="H67" i="8"/>
  <c r="J67" i="8"/>
  <c r="G67" i="8"/>
  <c r="H115" i="8"/>
  <c r="G115" i="8"/>
  <c r="J115" i="8"/>
  <c r="H113" i="3"/>
  <c r="J113" i="3"/>
  <c r="G113" i="3"/>
  <c r="H208" i="4"/>
  <c r="G208" i="4"/>
  <c r="J208" i="4"/>
  <c r="J249" i="4"/>
  <c r="G249" i="4"/>
  <c r="H249" i="4"/>
  <c r="H169" i="3"/>
  <c r="J169" i="3"/>
  <c r="G169" i="3"/>
  <c r="G284" i="4"/>
  <c r="H284" i="4"/>
  <c r="J284" i="4"/>
  <c r="J165" i="4"/>
  <c r="H165" i="4"/>
  <c r="G165" i="4"/>
  <c r="H18" i="3"/>
  <c r="J18" i="3"/>
  <c r="G18" i="3"/>
  <c r="J29" i="3"/>
  <c r="H29" i="3"/>
  <c r="G29" i="3"/>
  <c r="G92" i="10"/>
  <c r="J92" i="10"/>
  <c r="H92" i="10"/>
  <c r="J46" i="4"/>
  <c r="H46" i="4"/>
  <c r="G46" i="4"/>
  <c r="G100" i="8"/>
  <c r="J100" i="8"/>
  <c r="H100" i="8"/>
  <c r="J112" i="4"/>
  <c r="H112" i="4"/>
  <c r="G112" i="4"/>
  <c r="H124" i="8"/>
  <c r="J124" i="8"/>
  <c r="G124" i="8"/>
  <c r="J130" i="4"/>
  <c r="G130" i="4"/>
  <c r="H130" i="4"/>
  <c r="H161" i="8"/>
  <c r="G161" i="8"/>
  <c r="J161" i="8"/>
  <c r="G159" i="3"/>
  <c r="J159" i="3"/>
  <c r="H159" i="3"/>
  <c r="J322" i="4"/>
  <c r="H322" i="4"/>
  <c r="G322" i="4"/>
  <c r="J154" i="10"/>
  <c r="H154" i="10"/>
  <c r="G154" i="10"/>
  <c r="H5" i="8"/>
  <c r="G5" i="8"/>
  <c r="J5" i="8"/>
  <c r="G9" i="3"/>
  <c r="J9" i="3"/>
  <c r="H9" i="3"/>
  <c r="H5" i="4"/>
  <c r="G5" i="4"/>
  <c r="J5" i="4"/>
  <c r="H27" i="10"/>
  <c r="J27" i="10"/>
  <c r="G27" i="10"/>
  <c r="G25" i="10"/>
  <c r="H25" i="10"/>
  <c r="J25" i="10"/>
  <c r="G22" i="8"/>
  <c r="H22" i="8"/>
  <c r="J22" i="8"/>
  <c r="G44" i="10"/>
  <c r="J44" i="10"/>
  <c r="H44" i="10"/>
  <c r="J58" i="10"/>
  <c r="G58" i="10"/>
  <c r="H58" i="10"/>
  <c r="H33" i="8"/>
  <c r="J33" i="8"/>
  <c r="G33" i="8"/>
  <c r="H18" i="4"/>
  <c r="J18" i="4"/>
  <c r="G18" i="4"/>
  <c r="G36" i="3"/>
  <c r="J36" i="3"/>
  <c r="H36" i="3"/>
  <c r="J74" i="10"/>
  <c r="H74" i="10"/>
  <c r="G74" i="10"/>
  <c r="H43" i="3"/>
  <c r="J43" i="3"/>
  <c r="G43" i="3"/>
  <c r="J49" i="3"/>
  <c r="G49" i="3"/>
  <c r="H49" i="3"/>
  <c r="J61" i="3"/>
  <c r="H61" i="3"/>
  <c r="G61" i="3"/>
  <c r="H57" i="4"/>
  <c r="J57" i="4"/>
  <c r="G57" i="4"/>
  <c r="J55" i="4"/>
  <c r="H55" i="4"/>
  <c r="G55" i="4"/>
  <c r="G82" i="8"/>
  <c r="H82" i="8"/>
  <c r="J82" i="8"/>
  <c r="J68" i="3"/>
  <c r="H68" i="3"/>
  <c r="G68" i="3"/>
  <c r="H89" i="4"/>
  <c r="J89" i="4"/>
  <c r="G89" i="4"/>
  <c r="G87" i="4"/>
  <c r="H87" i="4"/>
  <c r="J87" i="4"/>
  <c r="G106" i="8"/>
  <c r="J106" i="8"/>
  <c r="H106" i="8"/>
  <c r="H123" i="10"/>
  <c r="J123" i="10"/>
  <c r="G123" i="10"/>
  <c r="H121" i="4"/>
  <c r="J121" i="4"/>
  <c r="G121" i="4"/>
  <c r="H115" i="4"/>
  <c r="G115" i="4"/>
  <c r="J115" i="4"/>
  <c r="H129" i="8"/>
  <c r="G129" i="8"/>
  <c r="J129" i="8"/>
  <c r="J128" i="8"/>
  <c r="G128" i="8"/>
  <c r="H128" i="8"/>
  <c r="G136" i="10"/>
  <c r="J136" i="10"/>
  <c r="H136" i="10"/>
  <c r="G137" i="4"/>
  <c r="H137" i="4"/>
  <c r="J137" i="4"/>
  <c r="H139" i="4"/>
  <c r="G139" i="4"/>
  <c r="J139" i="4"/>
  <c r="H141" i="8"/>
  <c r="J141" i="8"/>
  <c r="G141" i="8"/>
  <c r="J144" i="8"/>
  <c r="H144" i="8"/>
  <c r="G144" i="8"/>
  <c r="J145" i="10"/>
  <c r="H145" i="10"/>
  <c r="G145" i="10"/>
  <c r="H149" i="8"/>
  <c r="J149" i="8"/>
  <c r="G149" i="8"/>
  <c r="H173" i="4"/>
  <c r="G173" i="4"/>
  <c r="J173" i="4"/>
  <c r="G175" i="4"/>
  <c r="J175" i="4"/>
  <c r="H175" i="4"/>
  <c r="J118" i="3"/>
  <c r="H118" i="3"/>
  <c r="G118" i="3"/>
  <c r="J201" i="3"/>
  <c r="G201" i="3"/>
  <c r="H201" i="3"/>
  <c r="J315" i="4"/>
  <c r="H315" i="4"/>
  <c r="G315" i="4"/>
  <c r="H210" i="3"/>
  <c r="J210" i="3"/>
  <c r="G210" i="3"/>
  <c r="G327" i="4"/>
  <c r="J327" i="4"/>
  <c r="H327" i="4"/>
  <c r="J217" i="3"/>
  <c r="H217" i="3"/>
  <c r="G217" i="3"/>
  <c r="H6" i="8"/>
  <c r="G6" i="8"/>
  <c r="J6" i="8"/>
  <c r="J9" i="10"/>
  <c r="G9" i="10"/>
  <c r="H9" i="10"/>
  <c r="H17" i="8"/>
  <c r="G17" i="8"/>
  <c r="J17" i="8"/>
  <c r="J29" i="10"/>
  <c r="G29" i="10"/>
  <c r="H29" i="10"/>
  <c r="H10" i="4"/>
  <c r="G10" i="4"/>
  <c r="J10" i="4"/>
  <c r="H51" i="10"/>
  <c r="J51" i="10"/>
  <c r="G51" i="10"/>
  <c r="G48" i="10"/>
  <c r="H48" i="10"/>
  <c r="J48" i="10"/>
  <c r="G30" i="8"/>
  <c r="J30" i="8"/>
  <c r="H30" i="8"/>
  <c r="G31" i="3"/>
  <c r="H31" i="3"/>
  <c r="J31" i="3"/>
  <c r="G20" i="4"/>
  <c r="J20" i="4"/>
  <c r="H20" i="4"/>
  <c r="J37" i="3"/>
  <c r="H37" i="3"/>
  <c r="G37" i="3"/>
  <c r="J78" i="10"/>
  <c r="H78" i="10"/>
  <c r="G78" i="10"/>
  <c r="H49" i="8"/>
  <c r="J49" i="8"/>
  <c r="G49" i="8"/>
  <c r="J85" i="10"/>
  <c r="G85" i="10"/>
  <c r="H85" i="10"/>
  <c r="J50" i="3"/>
  <c r="G50" i="3"/>
  <c r="H50" i="3"/>
  <c r="J63" i="8"/>
  <c r="G63" i="8"/>
  <c r="H63" i="8"/>
  <c r="J103" i="10"/>
  <c r="H103" i="10"/>
  <c r="G103" i="10"/>
  <c r="H64" i="4"/>
  <c r="G64" i="4"/>
  <c r="J64" i="4"/>
  <c r="J62" i="4"/>
  <c r="G62" i="4"/>
  <c r="H62" i="4"/>
  <c r="G86" i="8"/>
  <c r="H86" i="8"/>
  <c r="J86" i="8"/>
  <c r="J88" i="8"/>
  <c r="G88" i="8"/>
  <c r="H88" i="8"/>
  <c r="H113" i="10"/>
  <c r="J113" i="10"/>
  <c r="G113" i="10"/>
  <c r="H96" i="4"/>
  <c r="G96" i="4"/>
  <c r="J96" i="4"/>
  <c r="G94" i="4"/>
  <c r="H94" i="4"/>
  <c r="J94" i="4"/>
  <c r="H110" i="8"/>
  <c r="J110" i="8"/>
  <c r="G110" i="8"/>
  <c r="J112" i="8"/>
  <c r="G112" i="8"/>
  <c r="H112" i="8"/>
  <c r="J125" i="10"/>
  <c r="G125" i="10"/>
  <c r="H125" i="10"/>
  <c r="H131" i="8"/>
  <c r="G131" i="8"/>
  <c r="J131" i="8"/>
  <c r="J138" i="10"/>
  <c r="H138" i="10"/>
  <c r="G138" i="10"/>
  <c r="G149" i="4"/>
  <c r="J149" i="4"/>
  <c r="H149" i="4"/>
  <c r="J143" i="4"/>
  <c r="H143" i="4"/>
  <c r="G143" i="4"/>
  <c r="H145" i="8"/>
  <c r="G145" i="8"/>
  <c r="J145" i="8"/>
  <c r="H191" i="4"/>
  <c r="G191" i="4"/>
  <c r="J191" i="4"/>
  <c r="J159" i="8"/>
  <c r="H159" i="8"/>
  <c r="G159" i="8"/>
  <c r="G213" i="4"/>
  <c r="J213" i="4"/>
  <c r="H213" i="4"/>
  <c r="H212" i="4"/>
  <c r="J212" i="4"/>
  <c r="G212" i="4"/>
  <c r="H148" i="3"/>
  <c r="J148" i="3"/>
  <c r="G148" i="3"/>
  <c r="H235" i="4"/>
  <c r="G235" i="4"/>
  <c r="J235" i="4"/>
  <c r="G155" i="3"/>
  <c r="H155" i="3"/>
  <c r="J155" i="3"/>
  <c r="H254" i="4"/>
  <c r="J254" i="4"/>
  <c r="G254" i="4"/>
  <c r="G256" i="4"/>
  <c r="H256" i="4"/>
  <c r="J256" i="4"/>
  <c r="H267" i="4"/>
  <c r="G267" i="4"/>
  <c r="J267" i="4"/>
  <c r="H171" i="3"/>
  <c r="J171" i="3"/>
  <c r="G171" i="3"/>
  <c r="J290" i="4"/>
  <c r="H290" i="4"/>
  <c r="G290" i="4"/>
  <c r="J292" i="4"/>
  <c r="G292" i="4"/>
  <c r="H292" i="4"/>
  <c r="J203" i="3"/>
  <c r="G203" i="3"/>
  <c r="H203" i="3"/>
  <c r="H318" i="4"/>
  <c r="G318" i="4"/>
  <c r="J318" i="4"/>
  <c r="H212" i="3"/>
  <c r="J212" i="3"/>
  <c r="G212" i="3"/>
  <c r="J31" i="8"/>
  <c r="H31" i="8"/>
  <c r="G31" i="8"/>
  <c r="G44" i="8"/>
  <c r="J44" i="8"/>
  <c r="H44" i="8"/>
  <c r="G51" i="3"/>
  <c r="H51" i="3"/>
  <c r="J51" i="3"/>
  <c r="H59" i="3"/>
  <c r="J59" i="3"/>
  <c r="G59" i="3"/>
  <c r="J40" i="4"/>
  <c r="G40" i="4"/>
  <c r="H40" i="4"/>
  <c r="J38" i="4"/>
  <c r="G38" i="4"/>
  <c r="H38" i="4"/>
  <c r="H69" i="8"/>
  <c r="J69" i="8"/>
  <c r="G69" i="8"/>
  <c r="G68" i="8"/>
  <c r="H68" i="8"/>
  <c r="J68" i="8"/>
  <c r="G105" i="10"/>
  <c r="J105" i="10"/>
  <c r="H105" i="10"/>
  <c r="J72" i="4"/>
  <c r="G72" i="4"/>
  <c r="H72" i="4"/>
  <c r="H70" i="4"/>
  <c r="G70" i="4"/>
  <c r="J70" i="4"/>
  <c r="H89" i="8"/>
  <c r="J89" i="8"/>
  <c r="G89" i="8"/>
  <c r="G92" i="8"/>
  <c r="H92" i="8"/>
  <c r="J92" i="8"/>
  <c r="J117" i="10"/>
  <c r="G117" i="10"/>
  <c r="H117" i="10"/>
  <c r="H104" i="4"/>
  <c r="G104" i="4"/>
  <c r="J104" i="4"/>
  <c r="G102" i="4"/>
  <c r="H102" i="4"/>
  <c r="J102" i="4"/>
  <c r="H113" i="8"/>
  <c r="G113" i="8"/>
  <c r="J113" i="8"/>
  <c r="H116" i="8"/>
  <c r="J116" i="8"/>
  <c r="G116" i="8"/>
  <c r="J129" i="10"/>
  <c r="H129" i="10"/>
  <c r="G129" i="10"/>
  <c r="H132" i="8"/>
  <c r="G132" i="8"/>
  <c r="J132" i="8"/>
  <c r="G140" i="10"/>
  <c r="J140" i="10"/>
  <c r="H140" i="10"/>
  <c r="J157" i="4"/>
  <c r="G157" i="4"/>
  <c r="H157" i="4"/>
  <c r="J151" i="4"/>
  <c r="G151" i="4"/>
  <c r="H151" i="4"/>
  <c r="G146" i="8"/>
  <c r="J146" i="8"/>
  <c r="H146" i="8"/>
  <c r="H166" i="4"/>
  <c r="G166" i="4"/>
  <c r="J166" i="4"/>
  <c r="H114" i="3"/>
  <c r="G114" i="3"/>
  <c r="J114" i="3"/>
  <c r="J185" i="4"/>
  <c r="G185" i="4"/>
  <c r="H185" i="4"/>
  <c r="J187" i="4"/>
  <c r="H187" i="4"/>
  <c r="G187" i="4"/>
  <c r="H138" i="3"/>
  <c r="G138" i="3"/>
  <c r="J138" i="3"/>
  <c r="J206" i="4"/>
  <c r="H206" i="4"/>
  <c r="G206" i="4"/>
  <c r="G162" i="8"/>
  <c r="H162" i="8"/>
  <c r="J162" i="8"/>
  <c r="J229" i="4"/>
  <c r="H229" i="4"/>
  <c r="G229" i="4"/>
  <c r="J227" i="4"/>
  <c r="H227" i="4"/>
  <c r="G227" i="4"/>
  <c r="H154" i="3"/>
  <c r="J154" i="3"/>
  <c r="G154" i="3"/>
  <c r="G246" i="4"/>
  <c r="H246" i="4"/>
  <c r="J246" i="4"/>
  <c r="G170" i="8"/>
  <c r="H170" i="8"/>
  <c r="J170" i="8"/>
  <c r="J261" i="4"/>
  <c r="H261" i="4"/>
  <c r="G261" i="4"/>
  <c r="H170" i="3"/>
  <c r="G170" i="3"/>
  <c r="J170" i="3"/>
  <c r="G282" i="4"/>
  <c r="J282" i="4"/>
  <c r="H282" i="4"/>
  <c r="G178" i="8"/>
  <c r="J178" i="8"/>
  <c r="H178" i="8"/>
  <c r="J164" i="4"/>
  <c r="G164" i="4"/>
  <c r="H164" i="4"/>
  <c r="G119" i="3"/>
  <c r="H119" i="3"/>
  <c r="J119" i="3"/>
  <c r="J7" i="8"/>
  <c r="H7" i="8"/>
  <c r="G7" i="8"/>
  <c r="J10" i="10"/>
  <c r="H10" i="10"/>
  <c r="G10" i="10"/>
  <c r="J18" i="10"/>
  <c r="G18" i="10"/>
  <c r="H18" i="10"/>
  <c r="G6" i="4"/>
  <c r="J6" i="4"/>
  <c r="H6" i="4"/>
  <c r="G36" i="10"/>
  <c r="H36" i="10"/>
  <c r="J36" i="10"/>
  <c r="J33" i="10"/>
  <c r="G33" i="10"/>
  <c r="H33" i="10"/>
  <c r="G23" i="3"/>
  <c r="J23" i="3"/>
  <c r="H23" i="3"/>
  <c r="J32" i="3"/>
  <c r="G32" i="3"/>
  <c r="H32" i="3"/>
  <c r="J29" i="4"/>
  <c r="H29" i="4"/>
  <c r="G29" i="4"/>
  <c r="G87" i="10"/>
  <c r="J87" i="10"/>
  <c r="H87" i="10"/>
  <c r="J133" i="3"/>
  <c r="H133" i="3"/>
  <c r="G133" i="3"/>
  <c r="G198" i="4"/>
  <c r="J198" i="4"/>
  <c r="H198" i="4"/>
  <c r="J149" i="3"/>
  <c r="G149" i="3"/>
  <c r="H149" i="3"/>
  <c r="J168" i="8"/>
  <c r="G168" i="8"/>
  <c r="H168" i="8"/>
  <c r="J258" i="4"/>
  <c r="H258" i="4"/>
  <c r="G258" i="4"/>
  <c r="G274" i="4"/>
  <c r="H274" i="4"/>
  <c r="J274" i="4"/>
  <c r="H174" i="3"/>
  <c r="J174" i="3"/>
  <c r="G174" i="3"/>
  <c r="G294" i="4"/>
  <c r="J294" i="4"/>
  <c r="H294" i="4"/>
  <c r="G296" i="4"/>
  <c r="H296" i="4"/>
  <c r="J296" i="4"/>
  <c r="J311" i="4"/>
  <c r="H311" i="4"/>
  <c r="G311" i="4"/>
  <c r="H206" i="3"/>
  <c r="J206" i="3"/>
  <c r="G206" i="3"/>
  <c r="G188" i="8"/>
  <c r="H188" i="8"/>
  <c r="J188" i="8"/>
  <c r="H4" i="8"/>
  <c r="G4" i="8"/>
  <c r="J4" i="8"/>
  <c r="G10" i="8"/>
  <c r="J10" i="8"/>
  <c r="H10" i="8"/>
  <c r="H21" i="8"/>
  <c r="J21" i="8"/>
  <c r="G21" i="8"/>
  <c r="J28" i="8"/>
  <c r="G28" i="8"/>
  <c r="H28" i="8"/>
  <c r="J39" i="8"/>
  <c r="H39" i="8"/>
  <c r="G39" i="8"/>
  <c r="G30" i="4"/>
  <c r="J30" i="4"/>
  <c r="H30" i="4"/>
  <c r="G42" i="4"/>
  <c r="H42" i="4"/>
  <c r="J42" i="4"/>
  <c r="J96" i="8"/>
  <c r="H96" i="8"/>
  <c r="G96" i="8"/>
  <c r="G106" i="4"/>
  <c r="H106" i="4"/>
  <c r="J106" i="4"/>
  <c r="J91" i="3"/>
  <c r="G91" i="3"/>
  <c r="H91" i="3"/>
  <c r="J204" i="4"/>
  <c r="H204" i="4"/>
  <c r="G204" i="4"/>
  <c r="H169" i="8"/>
  <c r="J169" i="8"/>
  <c r="G169" i="8"/>
  <c r="H299" i="4"/>
  <c r="G299" i="4"/>
  <c r="J299" i="4"/>
  <c r="H181" i="8"/>
  <c r="J181" i="8"/>
  <c r="G181" i="8"/>
  <c r="G314" i="4"/>
  <c r="J314" i="4"/>
  <c r="H314" i="4"/>
  <c r="H9" i="4"/>
  <c r="J9" i="4"/>
  <c r="G9" i="4"/>
  <c r="H17" i="4"/>
  <c r="G17" i="4"/>
  <c r="J17" i="4"/>
  <c r="J73" i="10"/>
  <c r="G73" i="10"/>
  <c r="H73" i="10"/>
  <c r="H53" i="8"/>
  <c r="G53" i="8"/>
  <c r="J53" i="8"/>
  <c r="J53" i="4"/>
  <c r="H53" i="4"/>
  <c r="G53" i="4"/>
  <c r="G110" i="10"/>
  <c r="J110" i="10"/>
  <c r="H110" i="10"/>
  <c r="J83" i="4"/>
  <c r="H83" i="4"/>
  <c r="G83" i="4"/>
  <c r="H125" i="8"/>
  <c r="J125" i="8"/>
  <c r="G125" i="8"/>
  <c r="G142" i="8"/>
  <c r="H142" i="8"/>
  <c r="J142" i="8"/>
  <c r="J163" i="4"/>
  <c r="H163" i="4"/>
  <c r="G163" i="4"/>
  <c r="H171" i="4"/>
  <c r="G171" i="4"/>
  <c r="J171" i="4"/>
  <c r="H182" i="8"/>
  <c r="G182" i="8"/>
  <c r="J182" i="8"/>
  <c r="J323" i="4"/>
  <c r="H323" i="4"/>
  <c r="G323" i="4"/>
  <c r="G16" i="10"/>
  <c r="H16" i="10"/>
  <c r="J16" i="10"/>
  <c r="H47" i="10"/>
  <c r="G47" i="10"/>
  <c r="J47" i="10"/>
  <c r="H35" i="8"/>
  <c r="G35" i="8"/>
  <c r="J35" i="8"/>
  <c r="G65" i="10"/>
  <c r="J65" i="10"/>
  <c r="H65" i="10"/>
  <c r="J43" i="8"/>
  <c r="G43" i="8"/>
  <c r="H43" i="8"/>
  <c r="J48" i="8"/>
  <c r="G48" i="8"/>
  <c r="H48" i="8"/>
  <c r="J62" i="3"/>
  <c r="H62" i="3"/>
  <c r="G62" i="3"/>
  <c r="J58" i="4"/>
  <c r="G58" i="4"/>
  <c r="H58" i="4"/>
  <c r="H85" i="8"/>
  <c r="G85" i="8"/>
  <c r="J85" i="8"/>
  <c r="H92" i="4"/>
  <c r="G92" i="4"/>
  <c r="J92" i="4"/>
  <c r="G108" i="8"/>
  <c r="H108" i="8"/>
  <c r="J108" i="8"/>
  <c r="J127" i="10"/>
  <c r="H127" i="10"/>
  <c r="G127" i="10"/>
  <c r="H124" i="4"/>
  <c r="G124" i="4"/>
  <c r="J124" i="4"/>
  <c r="J137" i="10"/>
  <c r="G137" i="10"/>
  <c r="H137" i="10"/>
  <c r="G196" i="4"/>
  <c r="H196" i="4"/>
  <c r="J196" i="4"/>
  <c r="H215" i="4"/>
  <c r="G215" i="4"/>
  <c r="J215" i="4"/>
  <c r="G231" i="4"/>
  <c r="J231" i="4"/>
  <c r="H231" i="4"/>
  <c r="J253" i="4"/>
  <c r="G253" i="4"/>
  <c r="H253" i="4"/>
  <c r="J164" i="3"/>
  <c r="H164" i="3"/>
  <c r="G164" i="3"/>
  <c r="J175" i="8"/>
  <c r="G175" i="8"/>
  <c r="H175" i="8"/>
  <c r="J289" i="4"/>
  <c r="H289" i="4"/>
  <c r="G289" i="4"/>
  <c r="J180" i="3"/>
  <c r="G180" i="3"/>
  <c r="H180" i="3"/>
  <c r="J183" i="8"/>
  <c r="G183" i="8"/>
  <c r="H183" i="8"/>
  <c r="G62" i="10"/>
  <c r="J62" i="10"/>
  <c r="H62" i="10"/>
  <c r="H79" i="10"/>
  <c r="G79" i="10"/>
  <c r="J79" i="10"/>
  <c r="H57" i="8"/>
  <c r="G57" i="8"/>
  <c r="J57" i="8"/>
  <c r="H36" i="4"/>
  <c r="J36" i="4"/>
  <c r="G36" i="4"/>
  <c r="H65" i="8"/>
  <c r="J65" i="8"/>
  <c r="G65" i="8"/>
  <c r="G104" i="10"/>
  <c r="J104" i="10"/>
  <c r="H104" i="10"/>
  <c r="J66" i="4"/>
  <c r="G66" i="4"/>
  <c r="H66" i="4"/>
  <c r="H93" i="8"/>
  <c r="G93" i="8"/>
  <c r="J93" i="8"/>
  <c r="H73" i="3"/>
  <c r="J73" i="3"/>
  <c r="G73" i="3"/>
  <c r="J100" i="4"/>
  <c r="H100" i="4"/>
  <c r="G100" i="4"/>
  <c r="J118" i="8"/>
  <c r="H118" i="8"/>
  <c r="G118" i="8"/>
  <c r="G128" i="10"/>
  <c r="J128" i="10"/>
  <c r="H128" i="10"/>
  <c r="J88" i="3"/>
  <c r="G88" i="3"/>
  <c r="H88" i="3"/>
  <c r="H154" i="4"/>
  <c r="J154" i="4"/>
  <c r="G154" i="4"/>
  <c r="J156" i="4"/>
  <c r="H156" i="4"/>
  <c r="G156" i="4"/>
  <c r="H190" i="4"/>
  <c r="G190" i="4"/>
  <c r="J190" i="4"/>
  <c r="H209" i="4"/>
  <c r="J209" i="4"/>
  <c r="G209" i="4"/>
  <c r="J153" i="3"/>
  <c r="H153" i="3"/>
  <c r="G153" i="3"/>
  <c r="H248" i="4"/>
  <c r="J248" i="4"/>
  <c r="G248" i="4"/>
  <c r="J112" i="3"/>
  <c r="H112" i="3"/>
  <c r="G112" i="3"/>
  <c r="G155" i="8"/>
  <c r="J155" i="8"/>
  <c r="H155" i="8"/>
  <c r="J150" i="10"/>
  <c r="G150" i="10"/>
  <c r="H150" i="10"/>
  <c r="H9" i="8"/>
  <c r="J9" i="8"/>
  <c r="G9" i="8"/>
  <c r="G23" i="10"/>
  <c r="J23" i="10"/>
  <c r="H23" i="10"/>
  <c r="G12" i="4"/>
  <c r="J12" i="4"/>
  <c r="H12" i="4"/>
  <c r="H38" i="8"/>
  <c r="G38" i="8"/>
  <c r="J38" i="8"/>
  <c r="H46" i="8"/>
  <c r="J46" i="8"/>
  <c r="G46" i="8"/>
  <c r="J52" i="8"/>
  <c r="G52" i="8"/>
  <c r="H52" i="8"/>
  <c r="G48" i="4"/>
  <c r="H48" i="4"/>
  <c r="J48" i="4"/>
  <c r="G76" i="8"/>
  <c r="J76" i="8"/>
  <c r="H76" i="8"/>
  <c r="G108" i="10"/>
  <c r="H108" i="10"/>
  <c r="J108" i="10"/>
  <c r="G78" i="4"/>
  <c r="J78" i="4"/>
  <c r="H78" i="4"/>
  <c r="G98" i="8"/>
  <c r="J98" i="8"/>
  <c r="H98" i="8"/>
  <c r="G120" i="10"/>
  <c r="H120" i="10"/>
  <c r="J120" i="10"/>
  <c r="J110" i="4"/>
  <c r="H110" i="4"/>
  <c r="G110" i="4"/>
  <c r="G122" i="8"/>
  <c r="J122" i="8"/>
  <c r="H122" i="8"/>
  <c r="J82" i="3"/>
  <c r="G82" i="3"/>
  <c r="H82" i="3"/>
  <c r="J132" i="4"/>
  <c r="H132" i="4"/>
  <c r="G132" i="4"/>
  <c r="G138" i="8"/>
  <c r="J138" i="8"/>
  <c r="H138" i="8"/>
  <c r="H90" i="3"/>
  <c r="G90" i="3"/>
  <c r="J90" i="3"/>
  <c r="J147" i="8"/>
  <c r="H147" i="8"/>
  <c r="G147" i="8"/>
  <c r="G98" i="3"/>
  <c r="J98" i="3"/>
  <c r="H98" i="3"/>
  <c r="J160" i="4"/>
  <c r="H160" i="4"/>
  <c r="G160" i="4"/>
  <c r="G181" i="4"/>
  <c r="J181" i="4"/>
  <c r="H181" i="4"/>
  <c r="H180" i="4"/>
  <c r="J180" i="4"/>
  <c r="G180" i="4"/>
  <c r="J136" i="3"/>
  <c r="G136" i="3"/>
  <c r="H136" i="3"/>
  <c r="J221" i="4"/>
  <c r="G221" i="4"/>
  <c r="H221" i="4"/>
  <c r="H220" i="4"/>
  <c r="J220" i="4"/>
  <c r="G220" i="4"/>
  <c r="J152" i="3"/>
  <c r="G152" i="3"/>
  <c r="H152" i="3"/>
  <c r="H260" i="4"/>
  <c r="J260" i="4"/>
  <c r="G260" i="4"/>
  <c r="G302" i="4"/>
  <c r="J302" i="4"/>
  <c r="H302" i="4"/>
  <c r="G303" i="4"/>
  <c r="J303" i="4"/>
  <c r="H303" i="4"/>
  <c r="H185" i="8"/>
  <c r="J185" i="8"/>
  <c r="J194" i="8" s="1"/>
  <c r="F194" i="8" s="1"/>
  <c r="G185" i="8"/>
  <c r="J8" i="3"/>
  <c r="H8" i="3"/>
  <c r="G8" i="3"/>
  <c r="H19" i="10"/>
  <c r="J19" i="10"/>
  <c r="G19" i="10"/>
  <c r="J21" i="10"/>
  <c r="G21" i="10"/>
  <c r="H21" i="10"/>
  <c r="J39" i="10"/>
  <c r="H39" i="10"/>
  <c r="G39" i="10"/>
  <c r="G38" i="10"/>
  <c r="H38" i="10"/>
  <c r="J38" i="10"/>
  <c r="J24" i="3"/>
  <c r="G24" i="3"/>
  <c r="H24" i="3"/>
  <c r="G13" i="4"/>
  <c r="J13" i="4"/>
  <c r="H13" i="4"/>
  <c r="G16" i="4"/>
  <c r="H16" i="4"/>
  <c r="J16" i="4"/>
  <c r="J33" i="3"/>
  <c r="G33" i="3"/>
  <c r="H33" i="3"/>
  <c r="G70" i="10"/>
  <c r="J70" i="10"/>
  <c r="H70" i="10"/>
  <c r="H45" i="8"/>
  <c r="J45" i="8"/>
  <c r="G45" i="8"/>
  <c r="J81" i="10"/>
  <c r="H81" i="10"/>
  <c r="G81" i="10"/>
  <c r="J48" i="3"/>
  <c r="H48" i="3"/>
  <c r="G48" i="3"/>
  <c r="J93" i="10"/>
  <c r="G93" i="10"/>
  <c r="H93" i="10"/>
  <c r="G58" i="8"/>
  <c r="J58" i="8"/>
  <c r="H58" i="8"/>
  <c r="G45" i="4"/>
  <c r="J45" i="4"/>
  <c r="H45" i="4"/>
  <c r="H43" i="4"/>
  <c r="G43" i="4"/>
  <c r="J43" i="4"/>
  <c r="J71" i="8"/>
  <c r="H71" i="8"/>
  <c r="G71" i="8"/>
  <c r="J67" i="3"/>
  <c r="G67" i="3"/>
  <c r="H67" i="3"/>
  <c r="J109" i="10"/>
  <c r="G109" i="10"/>
  <c r="H109" i="10"/>
  <c r="G77" i="4"/>
  <c r="J77" i="4"/>
  <c r="H77" i="4"/>
  <c r="G75" i="4"/>
  <c r="J75" i="4"/>
  <c r="H75" i="4"/>
  <c r="J95" i="8"/>
  <c r="H95" i="8"/>
  <c r="G95" i="8"/>
  <c r="H75" i="3"/>
  <c r="J75" i="3"/>
  <c r="G75" i="3"/>
  <c r="J121" i="10"/>
  <c r="G121" i="10"/>
  <c r="H121" i="10"/>
  <c r="G109" i="4"/>
  <c r="J109" i="4"/>
  <c r="H109" i="4"/>
  <c r="J107" i="4"/>
  <c r="H107" i="4"/>
  <c r="G107" i="4"/>
  <c r="J119" i="8"/>
  <c r="H119" i="8"/>
  <c r="G119" i="8"/>
  <c r="H83" i="3"/>
  <c r="J83" i="3"/>
  <c r="G83" i="3"/>
  <c r="J133" i="10"/>
  <c r="G133" i="10"/>
  <c r="H133" i="10"/>
  <c r="J133" i="4"/>
  <c r="H133" i="4"/>
  <c r="G133" i="4"/>
  <c r="G127" i="4"/>
  <c r="J127" i="4"/>
  <c r="H127" i="4"/>
  <c r="H134" i="8"/>
  <c r="G134" i="8"/>
  <c r="J134" i="8"/>
  <c r="J135" i="8"/>
  <c r="H135" i="8"/>
  <c r="G135" i="8"/>
  <c r="H143" i="10"/>
  <c r="G143" i="10"/>
  <c r="J143" i="10"/>
  <c r="J99" i="3"/>
  <c r="G99" i="3"/>
  <c r="H99" i="3"/>
  <c r="J148" i="8"/>
  <c r="G148" i="8"/>
  <c r="H148" i="8"/>
  <c r="H169" i="4"/>
  <c r="G169" i="4"/>
  <c r="J169" i="4"/>
  <c r="H116" i="3"/>
  <c r="J116" i="3"/>
  <c r="G116" i="3"/>
  <c r="G182" i="4"/>
  <c r="J182" i="4"/>
  <c r="H182" i="4"/>
  <c r="J184" i="4"/>
  <c r="G184" i="4"/>
  <c r="H184" i="4"/>
  <c r="H203" i="4"/>
  <c r="G203" i="4"/>
  <c r="J203" i="4"/>
  <c r="G143" i="3"/>
  <c r="H143" i="3"/>
  <c r="J143" i="3"/>
  <c r="H222" i="4"/>
  <c r="G222" i="4"/>
  <c r="J222" i="4"/>
  <c r="H224" i="4"/>
  <c r="G224" i="4"/>
  <c r="J224" i="4"/>
  <c r="G241" i="4"/>
  <c r="J241" i="4"/>
  <c r="H241" i="4"/>
  <c r="G240" i="4"/>
  <c r="J240" i="4"/>
  <c r="H240" i="4"/>
  <c r="J160" i="3"/>
  <c r="G160" i="3"/>
  <c r="H160" i="3"/>
  <c r="H173" i="8"/>
  <c r="G173" i="8"/>
  <c r="J173" i="8"/>
  <c r="H277" i="4"/>
  <c r="J277" i="4"/>
  <c r="G277" i="4"/>
  <c r="G276" i="4"/>
  <c r="H276" i="4"/>
  <c r="J276" i="4"/>
  <c r="J176" i="3"/>
  <c r="H176" i="3"/>
  <c r="G176" i="3"/>
  <c r="G306" i="4"/>
  <c r="H306" i="4"/>
  <c r="J306" i="4"/>
  <c r="H300" i="4"/>
  <c r="G300" i="4"/>
  <c r="J300" i="4"/>
  <c r="J184" i="3"/>
  <c r="G184" i="3"/>
  <c r="H184" i="3"/>
  <c r="G207" i="3"/>
  <c r="H207" i="3"/>
  <c r="J207" i="3"/>
  <c r="H189" i="8"/>
  <c r="G189" i="8"/>
  <c r="J189" i="8"/>
  <c r="H5" i="3"/>
  <c r="G5" i="3"/>
  <c r="J5" i="3"/>
  <c r="H15" i="10"/>
  <c r="G15" i="10"/>
  <c r="J15" i="10"/>
  <c r="J16" i="8"/>
  <c r="G16" i="8"/>
  <c r="H16" i="8"/>
  <c r="J14" i="3"/>
  <c r="G14" i="3"/>
  <c r="H14" i="3"/>
  <c r="J26" i="10"/>
  <c r="G26" i="10"/>
  <c r="H26" i="10"/>
  <c r="J19" i="3"/>
  <c r="G19" i="3"/>
  <c r="H19" i="3"/>
  <c r="J45" i="10"/>
  <c r="G45" i="10"/>
  <c r="H45" i="10"/>
  <c r="H29" i="8"/>
  <c r="G29" i="8"/>
  <c r="J29" i="8"/>
  <c r="J30" i="3"/>
  <c r="H30" i="3"/>
  <c r="G30" i="3"/>
  <c r="J40" i="8"/>
  <c r="G40" i="8"/>
  <c r="H40" i="8"/>
  <c r="H75" i="10"/>
  <c r="J75" i="10"/>
  <c r="G75" i="10"/>
  <c r="H25" i="4"/>
  <c r="J25" i="4"/>
  <c r="G25" i="4"/>
  <c r="H83" i="10"/>
  <c r="J83" i="10"/>
  <c r="G83" i="10"/>
  <c r="G59" i="8"/>
  <c r="H59" i="8"/>
  <c r="J59" i="8"/>
  <c r="H99" i="10"/>
  <c r="J99" i="10"/>
  <c r="G99" i="10"/>
  <c r="H52" i="4"/>
  <c r="J52" i="4"/>
  <c r="G52" i="4"/>
  <c r="H50" i="4"/>
  <c r="J50" i="4"/>
  <c r="G50" i="4"/>
  <c r="H81" i="8"/>
  <c r="G81" i="8"/>
  <c r="J81" i="8"/>
  <c r="J79" i="8"/>
  <c r="G79" i="8"/>
  <c r="H79" i="8"/>
  <c r="H111" i="10"/>
  <c r="G111" i="10"/>
  <c r="J111" i="10"/>
  <c r="J88" i="4"/>
  <c r="H88" i="4"/>
  <c r="G88" i="4"/>
  <c r="H82" i="4"/>
  <c r="J82" i="4"/>
  <c r="G82" i="4"/>
  <c r="H102" i="8"/>
  <c r="J102" i="8"/>
  <c r="G102" i="8"/>
  <c r="J103" i="8"/>
  <c r="G103" i="8"/>
  <c r="H103" i="8"/>
  <c r="G76" i="3"/>
  <c r="J76" i="3"/>
  <c r="H76" i="3"/>
  <c r="J120" i="4"/>
  <c r="H120" i="4"/>
  <c r="G120" i="4"/>
  <c r="H114" i="4"/>
  <c r="J114" i="4"/>
  <c r="G114" i="4"/>
  <c r="G119" i="4"/>
  <c r="H119" i="4"/>
  <c r="J119" i="4"/>
  <c r="H126" i="8"/>
  <c r="G126" i="8"/>
  <c r="J126" i="8"/>
  <c r="H84" i="3"/>
  <c r="J84" i="3"/>
  <c r="G84" i="3"/>
  <c r="G134" i="10"/>
  <c r="J134" i="10"/>
  <c r="H134" i="10"/>
  <c r="H134" i="4"/>
  <c r="J134" i="4"/>
  <c r="G134" i="4"/>
  <c r="J136" i="4"/>
  <c r="H136" i="4"/>
  <c r="G136" i="4"/>
  <c r="J139" i="8"/>
  <c r="G139" i="8"/>
  <c r="H139" i="8"/>
  <c r="J92" i="3"/>
  <c r="H92" i="3"/>
  <c r="G92" i="3"/>
  <c r="J146" i="10"/>
  <c r="H146" i="10"/>
  <c r="G146" i="10"/>
  <c r="J109" i="3"/>
  <c r="G109" i="3"/>
  <c r="H109" i="3"/>
  <c r="J170" i="4"/>
  <c r="H170" i="4"/>
  <c r="G170" i="4"/>
  <c r="G172" i="4"/>
  <c r="J172" i="4"/>
  <c r="H172" i="4"/>
  <c r="G307" i="4"/>
  <c r="J307" i="4"/>
  <c r="H307" i="4"/>
  <c r="H202" i="3"/>
  <c r="J202" i="3"/>
  <c r="G202" i="3"/>
  <c r="H316" i="4"/>
  <c r="G316" i="4"/>
  <c r="J316" i="4"/>
  <c r="G152" i="10"/>
  <c r="J152" i="10"/>
  <c r="H152" i="10"/>
  <c r="G326" i="4"/>
  <c r="J326" i="4"/>
  <c r="H326" i="4"/>
  <c r="J324" i="4"/>
  <c r="G324" i="4"/>
  <c r="H324" i="4"/>
  <c r="H155" i="10"/>
  <c r="J155" i="10"/>
  <c r="G155" i="10"/>
  <c r="J6" i="3"/>
  <c r="G6" i="3"/>
  <c r="H6" i="3"/>
  <c r="G6" i="10"/>
  <c r="J6" i="10"/>
  <c r="H6" i="10"/>
  <c r="J192" i="8"/>
  <c r="G192" i="8"/>
  <c r="H192" i="8"/>
  <c r="G15" i="3"/>
  <c r="J15" i="3"/>
  <c r="H15" i="3"/>
  <c r="J30" i="10"/>
  <c r="H30" i="10"/>
  <c r="G30" i="10"/>
  <c r="J11" i="4"/>
  <c r="H11" i="4"/>
  <c r="G11" i="4"/>
  <c r="J21" i="3"/>
  <c r="G21" i="3"/>
  <c r="H21" i="3"/>
  <c r="J49" i="10"/>
  <c r="H49" i="10"/>
  <c r="G49" i="10"/>
  <c r="H59" i="10"/>
  <c r="J59" i="10"/>
  <c r="G59" i="10"/>
  <c r="J63" i="10"/>
  <c r="J157" i="10" s="1"/>
  <c r="H63" i="10"/>
  <c r="G63" i="10"/>
  <c r="G19" i="4"/>
  <c r="J19" i="4"/>
  <c r="H19" i="4"/>
  <c r="J38" i="3"/>
  <c r="H38" i="3"/>
  <c r="G38" i="3"/>
  <c r="H28" i="4"/>
  <c r="G28" i="4"/>
  <c r="J28" i="4"/>
  <c r="J45" i="3"/>
  <c r="G45" i="3"/>
  <c r="H45" i="3"/>
  <c r="G86" i="10"/>
  <c r="H86" i="10"/>
  <c r="J86" i="10"/>
  <c r="H33" i="4"/>
  <c r="J33" i="4"/>
  <c r="G33" i="4"/>
  <c r="J64" i="8"/>
  <c r="H64" i="8"/>
  <c r="G64" i="8"/>
  <c r="J101" i="10"/>
  <c r="G101" i="10"/>
  <c r="H101" i="10"/>
  <c r="J61" i="4"/>
  <c r="H61" i="4"/>
  <c r="G61" i="4"/>
  <c r="J59" i="4"/>
  <c r="H59" i="4"/>
  <c r="G59" i="4"/>
  <c r="J83" i="8"/>
  <c r="G83" i="8"/>
  <c r="H83" i="8"/>
  <c r="G71" i="3"/>
  <c r="H71" i="3"/>
  <c r="J71" i="3"/>
  <c r="J114" i="10"/>
  <c r="G114" i="10"/>
  <c r="H114" i="10"/>
  <c r="J93" i="4"/>
  <c r="H93" i="4"/>
  <c r="G93" i="4"/>
  <c r="J91" i="4"/>
  <c r="H91" i="4"/>
  <c r="G91" i="4"/>
  <c r="J107" i="8"/>
  <c r="G107" i="8"/>
  <c r="H107" i="8"/>
  <c r="G79" i="3"/>
  <c r="H79" i="3"/>
  <c r="J79" i="3"/>
  <c r="G126" i="10"/>
  <c r="J126" i="10"/>
  <c r="H126" i="10"/>
  <c r="G87" i="3"/>
  <c r="H87" i="3"/>
  <c r="J87" i="3"/>
  <c r="G145" i="4"/>
  <c r="J145" i="4"/>
  <c r="H145" i="4"/>
  <c r="G147" i="4"/>
  <c r="J147" i="4"/>
  <c r="H147" i="4"/>
  <c r="G95" i="3"/>
  <c r="J95" i="3"/>
  <c r="H95" i="3"/>
  <c r="J195" i="4"/>
  <c r="H195" i="4"/>
  <c r="G195" i="4"/>
  <c r="H139" i="3"/>
  <c r="J139" i="3"/>
  <c r="G139" i="3"/>
  <c r="G214" i="4"/>
  <c r="J214" i="4"/>
  <c r="H214" i="4"/>
  <c r="H216" i="4"/>
  <c r="J216" i="4"/>
  <c r="G216" i="4"/>
  <c r="H233" i="4"/>
  <c r="G233" i="4"/>
  <c r="J233" i="4"/>
  <c r="H232" i="4"/>
  <c r="J232" i="4"/>
  <c r="G232" i="4"/>
  <c r="G156" i="3"/>
  <c r="J156" i="3"/>
  <c r="H156" i="3"/>
  <c r="J251" i="4"/>
  <c r="H251" i="4"/>
  <c r="G251" i="4"/>
  <c r="J171" i="8"/>
  <c r="H171" i="8"/>
  <c r="G171" i="8"/>
  <c r="H265" i="4"/>
  <c r="G265" i="4"/>
  <c r="J265" i="4"/>
  <c r="J264" i="4"/>
  <c r="G264" i="4"/>
  <c r="H264" i="4"/>
  <c r="H172" i="3"/>
  <c r="J172" i="3"/>
  <c r="G172" i="3"/>
  <c r="J287" i="4"/>
  <c r="H287" i="4"/>
  <c r="G287" i="4"/>
  <c r="H179" i="8"/>
  <c r="G179" i="8"/>
  <c r="J179" i="8"/>
  <c r="G310" i="4"/>
  <c r="J310" i="4"/>
  <c r="H310" i="4"/>
  <c r="J204" i="3"/>
  <c r="G204" i="3"/>
  <c r="H204" i="3"/>
  <c r="J317" i="4"/>
  <c r="G317" i="4"/>
  <c r="H317" i="4"/>
  <c r="J153" i="10"/>
  <c r="G153" i="10"/>
  <c r="H153" i="10"/>
  <c r="G27" i="3"/>
  <c r="H27" i="3"/>
  <c r="J27" i="3"/>
  <c r="G39" i="3"/>
  <c r="H39" i="3"/>
  <c r="J39" i="3"/>
  <c r="H91" i="10"/>
  <c r="J91" i="10"/>
  <c r="G91" i="10"/>
  <c r="J95" i="10"/>
  <c r="H95" i="10"/>
  <c r="G95" i="10"/>
  <c r="H37" i="4"/>
  <c r="G37" i="4"/>
  <c r="J37" i="4"/>
  <c r="H35" i="4"/>
  <c r="G35" i="4"/>
  <c r="J35" i="4"/>
  <c r="J70" i="8"/>
  <c r="H70" i="8"/>
  <c r="G70" i="8"/>
  <c r="J64" i="3"/>
  <c r="G64" i="3"/>
  <c r="H64" i="3"/>
  <c r="J106" i="10"/>
  <c r="H106" i="10"/>
  <c r="G106" i="10"/>
  <c r="H69" i="4"/>
  <c r="G69" i="4"/>
  <c r="J69" i="4"/>
  <c r="G67" i="4"/>
  <c r="J67" i="4"/>
  <c r="H67" i="4"/>
  <c r="G94" i="8"/>
  <c r="H94" i="8"/>
  <c r="J94" i="8"/>
  <c r="J72" i="3"/>
  <c r="G72" i="3"/>
  <c r="H72" i="3"/>
  <c r="J118" i="10"/>
  <c r="H118" i="10"/>
  <c r="G118" i="10"/>
  <c r="H101" i="4"/>
  <c r="G101" i="4"/>
  <c r="J101" i="4"/>
  <c r="J99" i="4"/>
  <c r="H99" i="4"/>
  <c r="G99" i="4"/>
  <c r="H117" i="8"/>
  <c r="G117" i="8"/>
  <c r="J117" i="8"/>
  <c r="J80" i="3"/>
  <c r="H80" i="3"/>
  <c r="G80" i="3"/>
  <c r="J130" i="10"/>
  <c r="H130" i="10"/>
  <c r="G130" i="10"/>
  <c r="J89" i="3"/>
  <c r="H89" i="3"/>
  <c r="G89" i="3"/>
  <c r="J153" i="4"/>
  <c r="G153" i="4"/>
  <c r="H153" i="4"/>
  <c r="J155" i="4"/>
  <c r="H155" i="4"/>
  <c r="G155" i="4"/>
  <c r="J96" i="3"/>
  <c r="G96" i="3"/>
  <c r="H96" i="3"/>
  <c r="H167" i="4"/>
  <c r="G167" i="4"/>
  <c r="J167" i="4"/>
  <c r="J189" i="4"/>
  <c r="G189" i="4"/>
  <c r="H189" i="4"/>
  <c r="H188" i="4"/>
  <c r="G188" i="4"/>
  <c r="J188" i="4"/>
  <c r="G210" i="4"/>
  <c r="H210" i="4"/>
  <c r="J210" i="4"/>
  <c r="H145" i="3"/>
  <c r="J145" i="3"/>
  <c r="G145" i="3"/>
  <c r="J225" i="4"/>
  <c r="G225" i="4"/>
  <c r="H225" i="4"/>
  <c r="H228" i="4"/>
  <c r="J228" i="4"/>
  <c r="G228" i="4"/>
  <c r="H250" i="4"/>
  <c r="J250" i="4"/>
  <c r="G250" i="4"/>
  <c r="J161" i="3"/>
  <c r="H161" i="3"/>
  <c r="G161" i="3"/>
  <c r="J262" i="4"/>
  <c r="H262" i="4"/>
  <c r="G262" i="4"/>
  <c r="H286" i="4"/>
  <c r="J286" i="4"/>
  <c r="G286" i="4"/>
  <c r="J177" i="3"/>
  <c r="G177" i="3"/>
  <c r="H177" i="3"/>
  <c r="G150" i="8"/>
  <c r="J150" i="8"/>
  <c r="H150" i="8"/>
  <c r="J176" i="4"/>
  <c r="H176" i="4"/>
  <c r="G176" i="4"/>
  <c r="J120" i="3"/>
  <c r="G120" i="3"/>
  <c r="H120" i="3"/>
  <c r="G7" i="3"/>
  <c r="H7" i="3"/>
  <c r="J7" i="3"/>
  <c r="H193" i="8"/>
  <c r="G193" i="8"/>
  <c r="J193" i="8"/>
  <c r="G7" i="4"/>
  <c r="J7" i="4"/>
  <c r="H7" i="4"/>
  <c r="H35" i="10"/>
  <c r="J35" i="10"/>
  <c r="G35" i="10"/>
  <c r="J34" i="10"/>
  <c r="H34" i="10"/>
  <c r="G34" i="10"/>
  <c r="G52" i="10"/>
  <c r="H52" i="10"/>
  <c r="J52" i="10"/>
  <c r="H67" i="10"/>
  <c r="J67" i="10"/>
  <c r="G67" i="10"/>
  <c r="G50" i="8"/>
  <c r="J50" i="8"/>
  <c r="H50" i="8"/>
  <c r="H177" i="4"/>
  <c r="J177" i="4"/>
  <c r="G177" i="4"/>
  <c r="J134" i="3"/>
  <c r="H134" i="3"/>
  <c r="G134" i="3"/>
  <c r="J160" i="8"/>
  <c r="H160" i="8"/>
  <c r="G160" i="8"/>
  <c r="J217" i="4"/>
  <c r="G217" i="4"/>
  <c r="H217" i="4"/>
  <c r="J150" i="3"/>
  <c r="H150" i="3"/>
  <c r="G150" i="3"/>
  <c r="J157" i="3"/>
  <c r="H157" i="3"/>
  <c r="G157" i="3"/>
  <c r="H172" i="8"/>
  <c r="G172" i="8"/>
  <c r="J172" i="8"/>
  <c r="H269" i="4"/>
  <c r="G269" i="4"/>
  <c r="J269" i="4"/>
  <c r="H271" i="4"/>
  <c r="G271" i="4"/>
  <c r="J271" i="4"/>
  <c r="J173" i="3"/>
  <c r="G173" i="3"/>
  <c r="H173" i="3"/>
  <c r="J298" i="4"/>
  <c r="H298" i="4"/>
  <c r="G298" i="4"/>
  <c r="J180" i="8"/>
  <c r="G180" i="8"/>
  <c r="H180" i="8"/>
  <c r="H312" i="4"/>
  <c r="J312" i="4"/>
  <c r="G312" i="4"/>
  <c r="J213" i="3"/>
  <c r="G213" i="3"/>
  <c r="H213" i="3"/>
  <c r="J4" i="3"/>
  <c r="G4" i="3"/>
  <c r="H4" i="3"/>
  <c r="AB71" i="11"/>
  <c r="AC71" i="11" s="1"/>
  <c r="AD71" i="11" s="1"/>
  <c r="AB70" i="11"/>
  <c r="AB69" i="11"/>
  <c r="AB68" i="11"/>
  <c r="AB67" i="11"/>
  <c r="AC67" i="11" s="1"/>
  <c r="AD67" i="11" s="1"/>
  <c r="AB66" i="11"/>
  <c r="AB65" i="11"/>
  <c r="AC65" i="11" s="1"/>
  <c r="AD65" i="11" s="1"/>
  <c r="AB64" i="11"/>
  <c r="AB63" i="11"/>
  <c r="Y62" i="11"/>
  <c r="Z62" i="11" s="1"/>
  <c r="AA62" i="11" s="1"/>
  <c r="Y61" i="11"/>
  <c r="Y60" i="11"/>
  <c r="Z60" i="11" s="1"/>
  <c r="AB59" i="11"/>
  <c r="AB58" i="11"/>
  <c r="AB57" i="11"/>
  <c r="AC57" i="11" s="1"/>
  <c r="AD57" i="11" s="1"/>
  <c r="AB56" i="11"/>
  <c r="AC56" i="11" s="1"/>
  <c r="AD56" i="11" s="1"/>
  <c r="AB55" i="11"/>
  <c r="Y54" i="11"/>
  <c r="AB53" i="11"/>
  <c r="AC53" i="11" s="1"/>
  <c r="AD53" i="11" s="1"/>
  <c r="AB52" i="11"/>
  <c r="AB51" i="11"/>
  <c r="AB50" i="11"/>
  <c r="AC50" i="11" s="1"/>
  <c r="AD50" i="11" s="1"/>
  <c r="AB49" i="11"/>
  <c r="AC49" i="11" s="1"/>
  <c r="AD49" i="11" s="1"/>
  <c r="AB48" i="11"/>
  <c r="AC48" i="11" s="1"/>
  <c r="AD48" i="11" s="1"/>
  <c r="AB47" i="11"/>
  <c r="AB46" i="11"/>
  <c r="AC46" i="11" s="1"/>
  <c r="AD46" i="11" s="1"/>
  <c r="AB45" i="11"/>
  <c r="AB44" i="11"/>
  <c r="Y43" i="11"/>
  <c r="Z43" i="11" s="1"/>
  <c r="AA43" i="11" s="1"/>
  <c r="Y42" i="11"/>
  <c r="AB41" i="11"/>
  <c r="AC41" i="11" s="1"/>
  <c r="AD41" i="11" s="1"/>
  <c r="AB40" i="11"/>
  <c r="Y39" i="11"/>
  <c r="AB38" i="11"/>
  <c r="AB37" i="11"/>
  <c r="AB36" i="11"/>
  <c r="AB35" i="11"/>
  <c r="AC35" i="11" s="1"/>
  <c r="AD35" i="11" s="1"/>
  <c r="AB34" i="11"/>
  <c r="Y33" i="11"/>
  <c r="Z33" i="11" s="1"/>
  <c r="AA33" i="11" s="1"/>
  <c r="Y32" i="11"/>
  <c r="Y31" i="11"/>
  <c r="Z31" i="11" s="1"/>
  <c r="AA31" i="11" s="1"/>
  <c r="Y30" i="11"/>
  <c r="Z30" i="11" s="1"/>
  <c r="AA30" i="11" s="1"/>
  <c r="Y29" i="11"/>
  <c r="AB28" i="11"/>
  <c r="AC28" i="11" s="1"/>
  <c r="AD28" i="11" s="1"/>
  <c r="AB27" i="11"/>
  <c r="AB26" i="11"/>
  <c r="AC26" i="11" s="1"/>
  <c r="AD26" i="11" s="1"/>
  <c r="AB25" i="11"/>
  <c r="AC25" i="11" s="1"/>
  <c r="AD25" i="11" s="1"/>
  <c r="AB24" i="11"/>
  <c r="W17" i="16" s="1"/>
  <c r="AB23" i="11"/>
  <c r="AC23" i="11" s="1"/>
  <c r="AD23" i="11" s="1"/>
  <c r="AB22" i="11"/>
  <c r="AB21" i="11"/>
  <c r="W24" i="16" s="1"/>
  <c r="AB20" i="11"/>
  <c r="AC20" i="11" s="1"/>
  <c r="AD20" i="11" s="1"/>
  <c r="AB19" i="11"/>
  <c r="AC19" i="11" s="1"/>
  <c r="AD19" i="11" s="1"/>
  <c r="AB18" i="11"/>
  <c r="AC18" i="11" s="1"/>
  <c r="AD18" i="11" s="1"/>
  <c r="AB17" i="11"/>
  <c r="AC17" i="11" s="1"/>
  <c r="AD17" i="11" s="1"/>
  <c r="AB16" i="11"/>
  <c r="AB15" i="11"/>
  <c r="AC15" i="11" s="1"/>
  <c r="AD15" i="11" s="1"/>
  <c r="AB14" i="11"/>
  <c r="AC14" i="11" s="1"/>
  <c r="AD14" i="11" s="1"/>
  <c r="AB13" i="11"/>
  <c r="AB12" i="11"/>
  <c r="W15" i="16" s="1"/>
  <c r="AB11" i="11"/>
  <c r="AC11" i="11" s="1"/>
  <c r="AD11" i="11" s="1"/>
  <c r="AB10" i="11"/>
  <c r="AB9" i="11"/>
  <c r="W18" i="16" s="1"/>
  <c r="AB8" i="11"/>
  <c r="AC8" i="11" s="1"/>
  <c r="AD8" i="11" s="1"/>
  <c r="AB7" i="11"/>
  <c r="AC7" i="11" s="1"/>
  <c r="AD7" i="11" s="1"/>
  <c r="AB6" i="11"/>
  <c r="AH69" i="11"/>
  <c r="AG69" i="11"/>
  <c r="AF69" i="11"/>
  <c r="AE69" i="11"/>
  <c r="V69" i="11"/>
  <c r="T69" i="11"/>
  <c r="S69" i="11"/>
  <c r="Q69" i="11"/>
  <c r="N69" i="11"/>
  <c r="O69" i="11" s="1"/>
  <c r="G69" i="11"/>
  <c r="I69" i="11" s="1"/>
  <c r="AH71" i="11"/>
  <c r="AG71" i="11"/>
  <c r="AF71" i="11"/>
  <c r="AE71" i="11"/>
  <c r="AH70" i="11"/>
  <c r="AG70" i="11"/>
  <c r="AF70" i="11"/>
  <c r="AE70" i="11"/>
  <c r="AH68" i="11"/>
  <c r="AG68" i="11"/>
  <c r="AF68" i="11"/>
  <c r="AE68" i="11"/>
  <c r="AH67" i="11"/>
  <c r="AG67" i="11"/>
  <c r="AF67" i="11"/>
  <c r="AE67" i="11"/>
  <c r="AH66" i="11"/>
  <c r="AG66" i="11"/>
  <c r="AF66" i="11"/>
  <c r="AE66" i="11"/>
  <c r="AH65" i="11"/>
  <c r="AG65" i="11"/>
  <c r="AF65" i="11"/>
  <c r="AE65" i="11"/>
  <c r="AH64" i="11"/>
  <c r="AG64" i="11"/>
  <c r="AF64" i="11"/>
  <c r="AE64" i="11"/>
  <c r="AH63" i="11"/>
  <c r="AG63" i="11"/>
  <c r="AF63" i="11"/>
  <c r="AE63" i="11"/>
  <c r="AH62" i="11"/>
  <c r="AG62" i="11"/>
  <c r="AF62" i="11"/>
  <c r="AE62" i="11"/>
  <c r="AH61" i="11"/>
  <c r="AG61" i="11"/>
  <c r="AF61" i="11"/>
  <c r="AE61" i="11"/>
  <c r="AH60" i="11"/>
  <c r="AB20" i="16" s="1"/>
  <c r="AG60" i="11"/>
  <c r="AA20" i="16" s="1"/>
  <c r="AF60" i="11"/>
  <c r="Z20" i="16" s="1"/>
  <c r="AE60" i="11"/>
  <c r="Y20" i="16" s="1"/>
  <c r="AH59" i="11"/>
  <c r="AG59" i="11"/>
  <c r="AF59" i="11"/>
  <c r="AE59" i="11"/>
  <c r="AH57" i="11"/>
  <c r="AG57" i="11"/>
  <c r="AF57" i="11"/>
  <c r="AE57" i="11"/>
  <c r="AH56" i="11"/>
  <c r="AG56" i="11"/>
  <c r="AF56" i="11"/>
  <c r="AE56" i="11"/>
  <c r="AH55" i="11"/>
  <c r="AG55" i="11"/>
  <c r="AF55" i="11"/>
  <c r="AE55" i="11"/>
  <c r="AH54" i="11"/>
  <c r="AG54" i="11"/>
  <c r="AF54" i="11"/>
  <c r="AE54" i="11"/>
  <c r="AH53" i="11"/>
  <c r="AG53" i="11"/>
  <c r="AF53" i="11"/>
  <c r="AE53" i="11"/>
  <c r="AH52" i="11"/>
  <c r="AG52" i="11"/>
  <c r="AF52" i="11"/>
  <c r="AE52" i="11"/>
  <c r="AH51" i="11"/>
  <c r="AG51" i="11"/>
  <c r="AF51" i="11"/>
  <c r="AE51" i="11"/>
  <c r="AH50" i="11"/>
  <c r="AG50" i="11"/>
  <c r="AF50" i="11"/>
  <c r="AE50" i="11"/>
  <c r="AH49" i="11"/>
  <c r="AG49" i="11"/>
  <c r="AF49" i="11"/>
  <c r="AE49" i="11"/>
  <c r="AH48" i="11"/>
  <c r="AG48" i="11"/>
  <c r="AF48" i="11"/>
  <c r="AE48" i="11"/>
  <c r="AH47" i="11"/>
  <c r="AG47" i="11"/>
  <c r="AF47" i="11"/>
  <c r="AE47" i="11"/>
  <c r="AH46" i="11"/>
  <c r="AG46" i="11"/>
  <c r="AF46" i="11"/>
  <c r="AE46" i="11"/>
  <c r="AH45" i="11"/>
  <c r="AG45" i="11"/>
  <c r="AF45" i="11"/>
  <c r="AE45" i="11"/>
  <c r="AH44" i="11"/>
  <c r="AG44" i="11"/>
  <c r="AF44" i="11"/>
  <c r="AE44" i="11"/>
  <c r="AH43" i="11"/>
  <c r="AG43" i="11"/>
  <c r="AF43" i="11"/>
  <c r="AE43" i="11"/>
  <c r="AH42" i="11"/>
  <c r="AG42" i="11"/>
  <c r="AF42" i="11"/>
  <c r="AE42" i="11"/>
  <c r="AH41" i="11"/>
  <c r="AG41" i="11"/>
  <c r="AF41" i="11"/>
  <c r="AE41" i="11"/>
  <c r="AH40" i="11"/>
  <c r="AG40" i="11"/>
  <c r="AF40" i="11"/>
  <c r="AE40" i="11"/>
  <c r="AH38" i="11"/>
  <c r="AG38" i="11"/>
  <c r="AF38" i="11"/>
  <c r="AE38" i="11"/>
  <c r="AH37" i="11"/>
  <c r="AG37" i="11"/>
  <c r="AF37" i="11"/>
  <c r="AE37" i="11"/>
  <c r="AH36" i="11"/>
  <c r="AG36" i="11"/>
  <c r="AF36" i="11"/>
  <c r="AE36" i="11"/>
  <c r="AH35" i="11"/>
  <c r="AG35" i="11"/>
  <c r="AF35" i="11"/>
  <c r="AE35" i="11"/>
  <c r="AH34" i="11"/>
  <c r="AG34" i="11"/>
  <c r="AF34" i="11"/>
  <c r="AE34" i="11"/>
  <c r="AH33" i="11"/>
  <c r="AG33" i="11"/>
  <c r="AF33" i="11"/>
  <c r="AE33" i="11"/>
  <c r="AH32" i="11"/>
  <c r="AG32" i="11"/>
  <c r="AF32" i="11"/>
  <c r="AE32" i="11"/>
  <c r="AH31" i="11"/>
  <c r="AG31" i="11"/>
  <c r="AF31" i="11"/>
  <c r="AE31" i="11"/>
  <c r="AH30" i="11"/>
  <c r="AG30" i="11"/>
  <c r="AF30" i="11"/>
  <c r="AE30" i="11"/>
  <c r="AH29" i="11"/>
  <c r="AG29" i="11"/>
  <c r="AF29" i="11"/>
  <c r="AE29" i="11"/>
  <c r="AH28" i="11"/>
  <c r="AG28" i="11"/>
  <c r="AF28" i="11"/>
  <c r="AE28" i="11"/>
  <c r="AH27" i="11"/>
  <c r="AG27" i="11"/>
  <c r="AF27" i="11"/>
  <c r="AE27" i="11"/>
  <c r="AH26" i="11"/>
  <c r="AG26" i="11"/>
  <c r="AF26" i="11"/>
  <c r="AE26" i="11"/>
  <c r="AH25" i="11"/>
  <c r="AG25" i="11"/>
  <c r="AF25" i="11"/>
  <c r="AE25" i="11"/>
  <c r="AH24" i="11"/>
  <c r="AG24" i="11"/>
  <c r="AF24" i="11"/>
  <c r="AE24" i="11"/>
  <c r="AH23" i="11"/>
  <c r="AG23" i="11"/>
  <c r="AF23" i="11"/>
  <c r="AE23" i="11"/>
  <c r="AH22" i="11"/>
  <c r="AG22" i="11"/>
  <c r="AF22" i="11"/>
  <c r="AE22" i="11"/>
  <c r="AH21" i="11"/>
  <c r="AG21" i="11"/>
  <c r="AF21" i="11"/>
  <c r="AE21" i="11"/>
  <c r="AH20" i="11"/>
  <c r="AG20" i="11"/>
  <c r="AF20" i="11"/>
  <c r="AE20" i="11"/>
  <c r="AH19" i="11"/>
  <c r="AG19" i="11"/>
  <c r="AF19" i="11"/>
  <c r="AE19" i="11"/>
  <c r="AH18" i="11"/>
  <c r="AG18" i="11"/>
  <c r="AF18" i="11"/>
  <c r="AE18" i="11"/>
  <c r="AH17" i="11"/>
  <c r="AG17" i="11"/>
  <c r="AF17" i="11"/>
  <c r="AE17" i="11"/>
  <c r="AH16" i="11"/>
  <c r="AG16" i="11"/>
  <c r="AF16" i="11"/>
  <c r="AE16" i="11"/>
  <c r="AH12" i="11"/>
  <c r="AG12" i="11"/>
  <c r="AF12" i="11"/>
  <c r="AE12" i="11"/>
  <c r="AH11" i="11"/>
  <c r="AG11" i="11"/>
  <c r="AF11" i="11"/>
  <c r="AE11" i="11"/>
  <c r="AH10" i="11"/>
  <c r="AG10" i="11"/>
  <c r="AF10" i="11"/>
  <c r="AE10" i="11"/>
  <c r="AH9" i="11"/>
  <c r="AG9" i="11"/>
  <c r="AF9" i="11"/>
  <c r="AE9" i="11"/>
  <c r="AH8" i="11"/>
  <c r="AG8" i="11"/>
  <c r="AF8" i="11"/>
  <c r="AE8" i="11"/>
  <c r="AH7" i="11"/>
  <c r="AG7" i="11"/>
  <c r="AF7" i="11"/>
  <c r="AE7" i="11"/>
  <c r="AH6" i="11"/>
  <c r="AG6" i="11"/>
  <c r="AF6" i="11"/>
  <c r="AE6" i="11"/>
  <c r="AL15" i="11"/>
  <c r="AM15" i="11" s="1"/>
  <c r="AL14" i="11"/>
  <c r="AM14" i="11" s="1"/>
  <c r="V71" i="11"/>
  <c r="V70" i="11"/>
  <c r="V68" i="11"/>
  <c r="V67" i="11"/>
  <c r="V66" i="11"/>
  <c r="V65" i="11"/>
  <c r="V64" i="11"/>
  <c r="V63" i="11"/>
  <c r="V59" i="11"/>
  <c r="V58" i="11"/>
  <c r="V57" i="11"/>
  <c r="V56" i="11"/>
  <c r="V55" i="11"/>
  <c r="V53" i="11"/>
  <c r="V52" i="11"/>
  <c r="V51" i="11"/>
  <c r="V50" i="11"/>
  <c r="V49" i="11"/>
  <c r="V48" i="11"/>
  <c r="V47" i="11"/>
  <c r="V46" i="11"/>
  <c r="V45" i="11"/>
  <c r="V44" i="11"/>
  <c r="V41" i="11"/>
  <c r="V40" i="11"/>
  <c r="V38" i="11"/>
  <c r="V37" i="11"/>
  <c r="V36" i="11"/>
  <c r="V35" i="11"/>
  <c r="V34" i="11"/>
  <c r="V28" i="11"/>
  <c r="V27" i="11"/>
  <c r="V26" i="11"/>
  <c r="V25" i="11"/>
  <c r="V24" i="11"/>
  <c r="V23" i="11"/>
  <c r="V22" i="11"/>
  <c r="V21" i="11"/>
  <c r="V20" i="11"/>
  <c r="V19" i="11"/>
  <c r="V18" i="11"/>
  <c r="V17" i="11"/>
  <c r="V16" i="11"/>
  <c r="V15" i="11"/>
  <c r="V14" i="11"/>
  <c r="V13" i="11"/>
  <c r="V12" i="11"/>
  <c r="V11" i="11"/>
  <c r="V10" i="11"/>
  <c r="V9" i="11"/>
  <c r="V8" i="11"/>
  <c r="V7" i="11"/>
  <c r="V6" i="11"/>
  <c r="U62" i="11"/>
  <c r="U61" i="11"/>
  <c r="U60" i="11"/>
  <c r="U54" i="11"/>
  <c r="U43" i="11"/>
  <c r="U42" i="11"/>
  <c r="U39" i="11"/>
  <c r="U33" i="11"/>
  <c r="U32" i="11"/>
  <c r="U31" i="11"/>
  <c r="U30" i="11"/>
  <c r="U29" i="11"/>
  <c r="U15" i="11"/>
  <c r="Y15" i="11" s="1"/>
  <c r="Z15" i="11" s="1"/>
  <c r="AA15" i="11" s="1"/>
  <c r="U14" i="11"/>
  <c r="Y14" i="11" s="1"/>
  <c r="Z14" i="11" s="1"/>
  <c r="AA14" i="11" s="1"/>
  <c r="U13" i="11"/>
  <c r="Y13" i="11" s="1"/>
  <c r="T71" i="11"/>
  <c r="T70" i="11"/>
  <c r="T68" i="11"/>
  <c r="T67" i="11"/>
  <c r="T66" i="11"/>
  <c r="T65" i="11"/>
  <c r="T64" i="11"/>
  <c r="T63" i="11"/>
  <c r="T62" i="11"/>
  <c r="T61" i="11"/>
  <c r="T60" i="11"/>
  <c r="T59" i="11"/>
  <c r="T58" i="11"/>
  <c r="T57" i="11"/>
  <c r="T56" i="11"/>
  <c r="T55" i="11"/>
  <c r="T54" i="11"/>
  <c r="T53" i="11"/>
  <c r="T52" i="11"/>
  <c r="T51" i="11"/>
  <c r="T50" i="11"/>
  <c r="T49" i="11"/>
  <c r="T48" i="11"/>
  <c r="T47" i="11"/>
  <c r="T46" i="11"/>
  <c r="T45" i="11"/>
  <c r="T44" i="11"/>
  <c r="T43" i="11"/>
  <c r="T42" i="11"/>
  <c r="T41" i="11"/>
  <c r="T40" i="11"/>
  <c r="T39" i="11"/>
  <c r="T38" i="11"/>
  <c r="T37" i="11"/>
  <c r="T36" i="11"/>
  <c r="T35" i="11"/>
  <c r="T34" i="11"/>
  <c r="T33" i="11"/>
  <c r="T32" i="11"/>
  <c r="T31" i="11"/>
  <c r="T30" i="11"/>
  <c r="T29" i="11"/>
  <c r="T28" i="11"/>
  <c r="T27" i="11"/>
  <c r="T26" i="11"/>
  <c r="T25" i="11"/>
  <c r="T24" i="11"/>
  <c r="T23" i="11"/>
  <c r="T22" i="11"/>
  <c r="T21" i="11"/>
  <c r="T20" i="11"/>
  <c r="T19" i="11"/>
  <c r="T18" i="11"/>
  <c r="T17" i="11"/>
  <c r="T16" i="11"/>
  <c r="T12" i="11"/>
  <c r="T11" i="11"/>
  <c r="T10" i="11"/>
  <c r="T9" i="11"/>
  <c r="T8" i="11"/>
  <c r="T7" i="11"/>
  <c r="T6" i="11"/>
  <c r="S71" i="11"/>
  <c r="S70" i="11"/>
  <c r="S68" i="11"/>
  <c r="S67" i="11"/>
  <c r="S66" i="11"/>
  <c r="S65" i="11"/>
  <c r="S64" i="11"/>
  <c r="S63" i="11"/>
  <c r="S62" i="11"/>
  <c r="S61" i="11"/>
  <c r="S60" i="11"/>
  <c r="S59" i="11"/>
  <c r="S58" i="11"/>
  <c r="S57" i="11"/>
  <c r="S56" i="11"/>
  <c r="S55" i="11"/>
  <c r="S54" i="11"/>
  <c r="S53" i="11"/>
  <c r="S52" i="11"/>
  <c r="S51" i="11"/>
  <c r="S50" i="11"/>
  <c r="S49" i="11"/>
  <c r="S48" i="11"/>
  <c r="S47" i="11"/>
  <c r="S46" i="11"/>
  <c r="S45" i="11"/>
  <c r="S44" i="11"/>
  <c r="S43" i="11"/>
  <c r="S42" i="11"/>
  <c r="S41" i="11"/>
  <c r="S40" i="11"/>
  <c r="S39" i="11"/>
  <c r="S38" i="11"/>
  <c r="S37" i="11"/>
  <c r="S36" i="11"/>
  <c r="S35" i="11"/>
  <c r="S34" i="11"/>
  <c r="S33" i="11"/>
  <c r="S32" i="11"/>
  <c r="S31" i="11"/>
  <c r="S30" i="11"/>
  <c r="S29" i="11"/>
  <c r="S28" i="11"/>
  <c r="S27" i="11"/>
  <c r="S26" i="11"/>
  <c r="S25" i="11"/>
  <c r="S24" i="11"/>
  <c r="S23" i="11"/>
  <c r="S22" i="11"/>
  <c r="S21" i="11"/>
  <c r="S20" i="11"/>
  <c r="S19" i="11"/>
  <c r="S18" i="11"/>
  <c r="S17" i="11"/>
  <c r="S16" i="11"/>
  <c r="S12" i="11"/>
  <c r="S11" i="11"/>
  <c r="S10" i="11"/>
  <c r="S9" i="11"/>
  <c r="S8" i="11"/>
  <c r="S7" i="11"/>
  <c r="S6" i="11"/>
  <c r="Q71" i="11"/>
  <c r="Q70" i="11"/>
  <c r="Q68" i="11"/>
  <c r="Q67" i="11"/>
  <c r="Q66" i="11"/>
  <c r="Q65" i="11"/>
  <c r="Q64" i="11"/>
  <c r="Q63" i="11"/>
  <c r="Q62" i="11"/>
  <c r="AB62" i="11" s="1"/>
  <c r="AC62" i="11" s="1"/>
  <c r="AD62" i="11" s="1"/>
  <c r="Q61" i="11"/>
  <c r="Q60" i="11"/>
  <c r="Q59" i="11"/>
  <c r="Q58" i="11"/>
  <c r="Q57" i="11"/>
  <c r="Q56" i="11"/>
  <c r="Q55" i="11"/>
  <c r="Q54" i="11"/>
  <c r="AB54" i="11" s="1"/>
  <c r="Q53" i="11"/>
  <c r="Q52" i="11"/>
  <c r="Q51" i="11"/>
  <c r="Q50" i="11"/>
  <c r="Q49" i="11"/>
  <c r="Q48" i="11"/>
  <c r="Q47" i="11"/>
  <c r="Q46" i="11"/>
  <c r="Q45" i="11"/>
  <c r="Q44" i="11"/>
  <c r="Q43" i="11"/>
  <c r="Q42" i="11"/>
  <c r="Q41" i="11"/>
  <c r="Q40" i="11"/>
  <c r="Q39" i="11"/>
  <c r="AB39" i="11" s="1"/>
  <c r="Q38" i="11"/>
  <c r="Q37" i="11"/>
  <c r="Q36" i="11"/>
  <c r="Q35" i="11"/>
  <c r="Q34" i="11"/>
  <c r="Q33" i="11"/>
  <c r="AB33" i="11" s="1"/>
  <c r="AC33" i="11" s="1"/>
  <c r="AD33" i="11" s="1"/>
  <c r="Q32" i="11"/>
  <c r="AB32" i="11" s="1"/>
  <c r="Q31" i="11"/>
  <c r="Q30" i="11"/>
  <c r="AB30" i="11" s="1"/>
  <c r="AC30" i="11" s="1"/>
  <c r="AD30" i="11" s="1"/>
  <c r="Q29" i="11"/>
  <c r="Q28" i="11"/>
  <c r="Q27" i="11"/>
  <c r="Q26" i="11"/>
  <c r="Q25" i="11"/>
  <c r="Q24" i="11"/>
  <c r="Q23" i="11"/>
  <c r="Q22" i="11"/>
  <c r="Q21" i="11"/>
  <c r="Q20" i="11"/>
  <c r="Q19" i="11"/>
  <c r="Q18" i="11"/>
  <c r="Q17" i="11"/>
  <c r="Q16" i="11"/>
  <c r="Q12" i="11"/>
  <c r="Q11" i="11"/>
  <c r="Q10" i="11"/>
  <c r="Q9" i="11"/>
  <c r="Q8" i="11"/>
  <c r="Q7" i="11"/>
  <c r="Q6" i="11"/>
  <c r="R39" i="11"/>
  <c r="AG39" i="11" s="1"/>
  <c r="R58" i="11"/>
  <c r="AH58" i="11" s="1"/>
  <c r="G71" i="11"/>
  <c r="I71" i="11" s="1"/>
  <c r="G70" i="11"/>
  <c r="I70" i="11" s="1"/>
  <c r="G68" i="11"/>
  <c r="I68" i="11" s="1"/>
  <c r="G67" i="11"/>
  <c r="I67" i="11" s="1"/>
  <c r="G66" i="11"/>
  <c r="I66" i="11" s="1"/>
  <c r="G65" i="11"/>
  <c r="I65" i="11" s="1"/>
  <c r="G64" i="11"/>
  <c r="I64" i="11" s="1"/>
  <c r="G62" i="11"/>
  <c r="I62" i="11" s="1"/>
  <c r="G61" i="11"/>
  <c r="I61" i="11" s="1"/>
  <c r="G60" i="11"/>
  <c r="I60" i="11" s="1"/>
  <c r="G59" i="11"/>
  <c r="I59" i="11" s="1"/>
  <c r="G58" i="11"/>
  <c r="I58" i="11" s="1"/>
  <c r="G57" i="11"/>
  <c r="I57" i="11" s="1"/>
  <c r="G56" i="11"/>
  <c r="I56" i="11" s="1"/>
  <c r="G55" i="11"/>
  <c r="I55" i="11" s="1"/>
  <c r="G54" i="11"/>
  <c r="I54" i="11" s="1"/>
  <c r="G53" i="11"/>
  <c r="I53" i="11" s="1"/>
  <c r="G52" i="11"/>
  <c r="I52" i="11" s="1"/>
  <c r="G51" i="11"/>
  <c r="I51" i="11" s="1"/>
  <c r="G50" i="11"/>
  <c r="I50" i="11" s="1"/>
  <c r="G49" i="11"/>
  <c r="I49" i="11" s="1"/>
  <c r="AO49" i="11" s="1"/>
  <c r="AP49" i="11" s="1"/>
  <c r="AQ49" i="11" s="1"/>
  <c r="G48" i="11"/>
  <c r="I48" i="11" s="1"/>
  <c r="G47" i="11"/>
  <c r="I47" i="11" s="1"/>
  <c r="G46" i="11"/>
  <c r="I46" i="11" s="1"/>
  <c r="G44" i="11"/>
  <c r="I44" i="11" s="1"/>
  <c r="G43" i="11"/>
  <c r="I43" i="11" s="1"/>
  <c r="G42" i="11"/>
  <c r="I42" i="11" s="1"/>
  <c r="G41" i="11"/>
  <c r="I41" i="11" s="1"/>
  <c r="G40" i="11"/>
  <c r="I40" i="11" s="1"/>
  <c r="G39" i="11"/>
  <c r="I39" i="11" s="1"/>
  <c r="G38" i="11"/>
  <c r="I38" i="11" s="1"/>
  <c r="G37" i="11"/>
  <c r="I37" i="11" s="1"/>
  <c r="G36" i="11"/>
  <c r="I36" i="11" s="1"/>
  <c r="AO36" i="11" s="1"/>
  <c r="G35" i="11"/>
  <c r="I35" i="11" s="1"/>
  <c r="G34" i="11"/>
  <c r="I34" i="11" s="1"/>
  <c r="G33" i="11"/>
  <c r="I33" i="11" s="1"/>
  <c r="G32" i="11"/>
  <c r="I32" i="11" s="1"/>
  <c r="G31" i="11"/>
  <c r="I31" i="11" s="1"/>
  <c r="G30" i="11"/>
  <c r="I30" i="11" s="1"/>
  <c r="G29" i="11"/>
  <c r="I29" i="11" s="1"/>
  <c r="G28" i="11"/>
  <c r="I28" i="11" s="1"/>
  <c r="G27" i="11"/>
  <c r="I27" i="11" s="1"/>
  <c r="G26" i="11"/>
  <c r="I26" i="11" s="1"/>
  <c r="G25" i="11"/>
  <c r="I25" i="11" s="1"/>
  <c r="AR25" i="11" s="1"/>
  <c r="AS25" i="11" s="1"/>
  <c r="AT25" i="11" s="1"/>
  <c r="G24" i="11"/>
  <c r="I24" i="11" s="1"/>
  <c r="AO24" i="11" s="1"/>
  <c r="AC17" i="16" s="1"/>
  <c r="G23" i="11"/>
  <c r="I23" i="11" s="1"/>
  <c r="G22" i="11"/>
  <c r="I22" i="11" s="1"/>
  <c r="G21" i="11"/>
  <c r="I21" i="11" s="1"/>
  <c r="G20" i="11"/>
  <c r="I20" i="11" s="1"/>
  <c r="G19" i="11"/>
  <c r="I19" i="11" s="1"/>
  <c r="G18" i="11"/>
  <c r="I18" i="11" s="1"/>
  <c r="G17" i="11"/>
  <c r="I17" i="11" s="1"/>
  <c r="G16" i="11"/>
  <c r="I16" i="11" s="1"/>
  <c r="G15" i="11"/>
  <c r="I15" i="11" s="1"/>
  <c r="G14" i="11"/>
  <c r="I14" i="11" s="1"/>
  <c r="G13" i="11"/>
  <c r="G11" i="11"/>
  <c r="I11" i="11" s="1"/>
  <c r="G10" i="11"/>
  <c r="I10" i="11" s="1"/>
  <c r="G9" i="11"/>
  <c r="I9" i="11" s="1"/>
  <c r="G8" i="11"/>
  <c r="I8" i="11" s="1"/>
  <c r="G7" i="11"/>
  <c r="I7" i="11" s="1"/>
  <c r="G6" i="11"/>
  <c r="I6" i="11" s="1"/>
  <c r="N71" i="11"/>
  <c r="O71" i="11" s="1"/>
  <c r="N70" i="11"/>
  <c r="O70" i="11" s="1"/>
  <c r="N68" i="11"/>
  <c r="O68" i="11" s="1"/>
  <c r="N67" i="11"/>
  <c r="O67" i="11" s="1"/>
  <c r="N66" i="11"/>
  <c r="O66" i="11" s="1"/>
  <c r="N65" i="11"/>
  <c r="O65" i="11" s="1"/>
  <c r="N64" i="11"/>
  <c r="O64" i="11" s="1"/>
  <c r="N63" i="11"/>
  <c r="O63" i="11" s="1"/>
  <c r="N62" i="11"/>
  <c r="O62" i="11" s="1"/>
  <c r="N61" i="11"/>
  <c r="O61" i="11" s="1"/>
  <c r="N60" i="11"/>
  <c r="O60" i="11" s="1"/>
  <c r="N59" i="11"/>
  <c r="O59" i="11" s="1"/>
  <c r="N58" i="11"/>
  <c r="O58" i="11" s="1"/>
  <c r="N57" i="11"/>
  <c r="O57" i="11" s="1"/>
  <c r="N56" i="11"/>
  <c r="O56" i="11" s="1"/>
  <c r="N55" i="11"/>
  <c r="O55" i="11" s="1"/>
  <c r="N54" i="11"/>
  <c r="O54" i="11" s="1"/>
  <c r="N53" i="11"/>
  <c r="O53" i="11" s="1"/>
  <c r="N52" i="11"/>
  <c r="O52" i="11" s="1"/>
  <c r="N51" i="11"/>
  <c r="O51" i="11" s="1"/>
  <c r="N50" i="11"/>
  <c r="O50" i="11" s="1"/>
  <c r="N49" i="11"/>
  <c r="O49" i="11" s="1"/>
  <c r="N48" i="11"/>
  <c r="O48" i="11" s="1"/>
  <c r="N47" i="11"/>
  <c r="O47" i="11" s="1"/>
  <c r="N46" i="11"/>
  <c r="O46" i="11" s="1"/>
  <c r="N45" i="11"/>
  <c r="O45" i="11" s="1"/>
  <c r="N44" i="11"/>
  <c r="O44" i="11" s="1"/>
  <c r="N43" i="11"/>
  <c r="O43" i="11" s="1"/>
  <c r="N42" i="11"/>
  <c r="O42" i="11" s="1"/>
  <c r="N41" i="11"/>
  <c r="O41" i="11" s="1"/>
  <c r="N40" i="11"/>
  <c r="O40" i="11" s="1"/>
  <c r="N39" i="11"/>
  <c r="O39" i="11" s="1"/>
  <c r="N38" i="11"/>
  <c r="O38" i="11" s="1"/>
  <c r="N37" i="11"/>
  <c r="O37" i="11" s="1"/>
  <c r="N36" i="11"/>
  <c r="O36" i="11" s="1"/>
  <c r="N35" i="11"/>
  <c r="O35" i="11" s="1"/>
  <c r="N34" i="11"/>
  <c r="O34" i="11" s="1"/>
  <c r="N33" i="11"/>
  <c r="O33" i="11" s="1"/>
  <c r="N32" i="11"/>
  <c r="O32" i="11" s="1"/>
  <c r="N31" i="11"/>
  <c r="O31" i="11" s="1"/>
  <c r="N30" i="11"/>
  <c r="O30" i="11" s="1"/>
  <c r="N29" i="11"/>
  <c r="O29" i="11" s="1"/>
  <c r="N28" i="11"/>
  <c r="O28" i="11" s="1"/>
  <c r="N27" i="11"/>
  <c r="O27" i="11" s="1"/>
  <c r="N26" i="11"/>
  <c r="O26" i="11" s="1"/>
  <c r="N25" i="11"/>
  <c r="O25" i="11" s="1"/>
  <c r="N24" i="11"/>
  <c r="O24" i="11" s="1"/>
  <c r="N23" i="11"/>
  <c r="O23" i="11" s="1"/>
  <c r="N22" i="11"/>
  <c r="O22" i="11" s="1"/>
  <c r="N21" i="11"/>
  <c r="O21" i="11" s="1"/>
  <c r="N20" i="11"/>
  <c r="O20" i="11" s="1"/>
  <c r="N19" i="11"/>
  <c r="O19" i="11" s="1"/>
  <c r="N18" i="11"/>
  <c r="O18" i="11" s="1"/>
  <c r="N17" i="11"/>
  <c r="O17" i="11" s="1"/>
  <c r="N16" i="11"/>
  <c r="O16" i="11" s="1"/>
  <c r="N15" i="11"/>
  <c r="O15" i="11" s="1"/>
  <c r="N14" i="11"/>
  <c r="O14" i="11" s="1"/>
  <c r="N13" i="11"/>
  <c r="O13" i="11" s="1"/>
  <c r="N12" i="11"/>
  <c r="O12" i="11" s="1"/>
  <c r="N11" i="11"/>
  <c r="O11" i="11" s="1"/>
  <c r="N10" i="11"/>
  <c r="O10" i="11" s="1"/>
  <c r="N9" i="11"/>
  <c r="O9" i="11" s="1"/>
  <c r="N8" i="11"/>
  <c r="O8" i="11" s="1"/>
  <c r="N7" i="11"/>
  <c r="O7" i="11" s="1"/>
  <c r="N6" i="11"/>
  <c r="O6" i="11" s="1"/>
  <c r="J159" i="10" l="1"/>
  <c r="J158" i="10"/>
  <c r="H194" i="8"/>
  <c r="H341" i="4"/>
  <c r="H339" i="4"/>
  <c r="H330" i="4"/>
  <c r="H328" i="4"/>
  <c r="H334" i="4"/>
  <c r="H333" i="4"/>
  <c r="H331" i="4"/>
  <c r="H336" i="4"/>
  <c r="H338" i="4"/>
  <c r="H332" i="4"/>
  <c r="H337" i="4"/>
  <c r="H329" i="4"/>
  <c r="H340" i="4"/>
  <c r="H335" i="4"/>
  <c r="H159" i="10"/>
  <c r="H157" i="10"/>
  <c r="H158" i="10"/>
  <c r="H222" i="3"/>
  <c r="H223" i="3"/>
  <c r="H221" i="3"/>
  <c r="H220" i="3"/>
  <c r="AP36" i="11"/>
  <c r="AC22" i="16"/>
  <c r="W14" i="16"/>
  <c r="AC39" i="11"/>
  <c r="W4" i="16"/>
  <c r="Z42" i="11"/>
  <c r="T27" i="16"/>
  <c r="AC66" i="11"/>
  <c r="W6" i="16"/>
  <c r="Z39" i="11"/>
  <c r="T4" i="16"/>
  <c r="W25" i="16"/>
  <c r="Z32" i="11"/>
  <c r="T36" i="16"/>
  <c r="AC40" i="11"/>
  <c r="W5" i="16"/>
  <c r="AC64" i="11"/>
  <c r="W7" i="16"/>
  <c r="AC54" i="11"/>
  <c r="W33" i="16"/>
  <c r="AC59" i="11"/>
  <c r="W30" i="16"/>
  <c r="AC36" i="11"/>
  <c r="W22" i="16"/>
  <c r="AC52" i="11"/>
  <c r="W32" i="16"/>
  <c r="AC68" i="11"/>
  <c r="W10" i="16"/>
  <c r="W35" i="16"/>
  <c r="AC37" i="11"/>
  <c r="W26" i="16"/>
  <c r="AC45" i="11"/>
  <c r="W11" i="16"/>
  <c r="Z61" i="11"/>
  <c r="T8" i="16"/>
  <c r="AC69" i="11"/>
  <c r="W9" i="16"/>
  <c r="AC34" i="11"/>
  <c r="W21" i="16"/>
  <c r="AC58" i="11"/>
  <c r="W29" i="16"/>
  <c r="AC32" i="11"/>
  <c r="W36" i="16"/>
  <c r="AC27" i="11"/>
  <c r="W39" i="16"/>
  <c r="AC51" i="11"/>
  <c r="W31" i="16"/>
  <c r="AC44" i="11"/>
  <c r="W37" i="16"/>
  <c r="AA60" i="11"/>
  <c r="U20" i="16" s="1"/>
  <c r="T20" i="16"/>
  <c r="W19" i="16"/>
  <c r="W16" i="16"/>
  <c r="AC38" i="11"/>
  <c r="W28" i="16"/>
  <c r="Z54" i="11"/>
  <c r="T33" i="16"/>
  <c r="AC70" i="11"/>
  <c r="W23" i="16"/>
  <c r="AC47" i="11"/>
  <c r="W12" i="16"/>
  <c r="AC55" i="11"/>
  <c r="W34" i="16"/>
  <c r="AC63" i="11"/>
  <c r="W38" i="16"/>
  <c r="AC24" i="11"/>
  <c r="X17" i="16" s="1"/>
  <c r="AP24" i="11"/>
  <c r="AD17" i="16" s="1"/>
  <c r="AC22" i="11"/>
  <c r="X16" i="16" s="1"/>
  <c r="AC16" i="11"/>
  <c r="X25" i="16" s="1"/>
  <c r="AC21" i="11"/>
  <c r="X24" i="16" s="1"/>
  <c r="AC13" i="11"/>
  <c r="X35" i="16" s="1"/>
  <c r="U25" i="11"/>
  <c r="Y25" i="11" s="1"/>
  <c r="Z25" i="11" s="1"/>
  <c r="AA25" i="11" s="1"/>
  <c r="Z13" i="11"/>
  <c r="U35" i="16" s="1"/>
  <c r="T35" i="16"/>
  <c r="U49" i="11"/>
  <c r="Y49" i="11" s="1"/>
  <c r="Z49" i="11" s="1"/>
  <c r="AA49" i="11" s="1"/>
  <c r="AL13" i="11"/>
  <c r="AA35" i="16" s="1"/>
  <c r="I13" i="11"/>
  <c r="AR13" i="11" s="1"/>
  <c r="AC9" i="11"/>
  <c r="X18" i="16" s="1"/>
  <c r="Z29" i="11"/>
  <c r="U13" i="16" s="1"/>
  <c r="T13" i="16"/>
  <c r="AC12" i="11"/>
  <c r="X15" i="16" s="1"/>
  <c r="AC6" i="11"/>
  <c r="X19" i="16" s="1"/>
  <c r="AC10" i="11"/>
  <c r="X14" i="16" s="1"/>
  <c r="U9" i="11"/>
  <c r="Y9" i="11" s="1"/>
  <c r="U20" i="11"/>
  <c r="Y20" i="11" s="1"/>
  <c r="Z20" i="11" s="1"/>
  <c r="AA20" i="11" s="1"/>
  <c r="U28" i="11"/>
  <c r="Y28" i="11" s="1"/>
  <c r="Z28" i="11" s="1"/>
  <c r="AA28" i="11" s="1"/>
  <c r="U36" i="11"/>
  <c r="Y36" i="11" s="1"/>
  <c r="U44" i="11"/>
  <c r="Y44" i="11" s="1"/>
  <c r="U52" i="11"/>
  <c r="Y52" i="11" s="1"/>
  <c r="U68" i="11"/>
  <c r="Y68" i="11" s="1"/>
  <c r="U57" i="11"/>
  <c r="Y57" i="11" s="1"/>
  <c r="Z57" i="11" s="1"/>
  <c r="AA57" i="11" s="1"/>
  <c r="U21" i="11"/>
  <c r="Y21" i="11" s="1"/>
  <c r="U70" i="11"/>
  <c r="Y70" i="11" s="1"/>
  <c r="U10" i="11"/>
  <c r="Y10" i="11" s="1"/>
  <c r="U53" i="11"/>
  <c r="Y53" i="11" s="1"/>
  <c r="Z53" i="11" s="1"/>
  <c r="AA53" i="11" s="1"/>
  <c r="V62" i="11"/>
  <c r="U11" i="11"/>
  <c r="Y11" i="11" s="1"/>
  <c r="Z11" i="11" s="1"/>
  <c r="AA11" i="11" s="1"/>
  <c r="U24" i="11"/>
  <c r="Y24" i="11" s="1"/>
  <c r="U48" i="11"/>
  <c r="Y48" i="11" s="1"/>
  <c r="Z48" i="11" s="1"/>
  <c r="AA48" i="11" s="1"/>
  <c r="U56" i="11"/>
  <c r="Y56" i="11" s="1"/>
  <c r="Z56" i="11" s="1"/>
  <c r="AA56" i="11" s="1"/>
  <c r="U64" i="11"/>
  <c r="Y64" i="11" s="1"/>
  <c r="U37" i="11"/>
  <c r="Y37" i="11" s="1"/>
  <c r="U45" i="11"/>
  <c r="Y45" i="11" s="1"/>
  <c r="U16" i="11"/>
  <c r="Y16" i="11" s="1"/>
  <c r="U40" i="11"/>
  <c r="Y40" i="11" s="1"/>
  <c r="AI44" i="11"/>
  <c r="AI50" i="11"/>
  <c r="U23" i="11"/>
  <c r="Y23" i="11" s="1"/>
  <c r="Z23" i="11" s="1"/>
  <c r="AA23" i="11" s="1"/>
  <c r="U63" i="11"/>
  <c r="Y63" i="11" s="1"/>
  <c r="AI9" i="11"/>
  <c r="AK9" i="11" s="1"/>
  <c r="Z18" i="16" s="1"/>
  <c r="AI16" i="11"/>
  <c r="AI24" i="11"/>
  <c r="AI26" i="11"/>
  <c r="AI28" i="11"/>
  <c r="AI32" i="11"/>
  <c r="J55" i="11"/>
  <c r="AO55" i="11"/>
  <c r="AO53" i="11"/>
  <c r="AP53" i="11" s="1"/>
  <c r="AQ53" i="11" s="1"/>
  <c r="AR18" i="11"/>
  <c r="AS18" i="11" s="1"/>
  <c r="AT18" i="11" s="1"/>
  <c r="U22" i="11"/>
  <c r="Y22" i="11" s="1"/>
  <c r="U38" i="11"/>
  <c r="Y38" i="11" s="1"/>
  <c r="U46" i="11"/>
  <c r="Y46" i="11" s="1"/>
  <c r="Z46" i="11" s="1"/>
  <c r="AA46" i="11" s="1"/>
  <c r="U71" i="11"/>
  <c r="Y71" i="11" s="1"/>
  <c r="Z71" i="11" s="1"/>
  <c r="AA71" i="11" s="1"/>
  <c r="AI69" i="11"/>
  <c r="U12" i="11"/>
  <c r="Y12" i="11" s="1"/>
  <c r="V31" i="11"/>
  <c r="U47" i="11"/>
  <c r="Y47" i="11" s="1"/>
  <c r="U55" i="11"/>
  <c r="Y55" i="11" s="1"/>
  <c r="AH39" i="11"/>
  <c r="AO20" i="11"/>
  <c r="AP20" i="11" s="1"/>
  <c r="AQ20" i="11" s="1"/>
  <c r="AR26" i="11"/>
  <c r="AS26" i="11" s="1"/>
  <c r="AT26" i="11" s="1"/>
  <c r="U17" i="11"/>
  <c r="Y17" i="11" s="1"/>
  <c r="Z17" i="11" s="1"/>
  <c r="AA17" i="11" s="1"/>
  <c r="U41" i="11"/>
  <c r="Y41" i="11" s="1"/>
  <c r="Z41" i="11" s="1"/>
  <c r="AA41" i="11" s="1"/>
  <c r="AI54" i="11"/>
  <c r="U7" i="11"/>
  <c r="Y7" i="11" s="1"/>
  <c r="Z7" i="11" s="1"/>
  <c r="AA7" i="11" s="1"/>
  <c r="U18" i="11"/>
  <c r="Y18" i="11" s="1"/>
  <c r="Z18" i="11" s="1"/>
  <c r="AA18" i="11" s="1"/>
  <c r="U26" i="11"/>
  <c r="Y26" i="11" s="1"/>
  <c r="Z26" i="11" s="1"/>
  <c r="AA26" i="11" s="1"/>
  <c r="U34" i="11"/>
  <c r="Y34" i="11" s="1"/>
  <c r="V42" i="11"/>
  <c r="U50" i="11"/>
  <c r="Y50" i="11" s="1"/>
  <c r="Z50" i="11" s="1"/>
  <c r="AA50" i="11" s="1"/>
  <c r="U58" i="11"/>
  <c r="Y58" i="11" s="1"/>
  <c r="U66" i="11"/>
  <c r="Y66" i="11" s="1"/>
  <c r="U6" i="11"/>
  <c r="Y6" i="11" s="1"/>
  <c r="U65" i="11"/>
  <c r="Y65" i="11" s="1"/>
  <c r="Z65" i="11" s="1"/>
  <c r="AA65" i="11" s="1"/>
  <c r="AO16" i="11"/>
  <c r="AO57" i="11"/>
  <c r="AP57" i="11" s="1"/>
  <c r="AQ57" i="11" s="1"/>
  <c r="U8" i="11"/>
  <c r="Y8" i="11" s="1"/>
  <c r="Z8" i="11" s="1"/>
  <c r="AA8" i="11" s="1"/>
  <c r="U19" i="11"/>
  <c r="Y19" i="11" s="1"/>
  <c r="Z19" i="11" s="1"/>
  <c r="AA19" i="11" s="1"/>
  <c r="U27" i="11"/>
  <c r="Y27" i="11" s="1"/>
  <c r="U35" i="11"/>
  <c r="Y35" i="11" s="1"/>
  <c r="Z35" i="11" s="1"/>
  <c r="AA35" i="11" s="1"/>
  <c r="V43" i="11"/>
  <c r="U51" i="11"/>
  <c r="Y51" i="11" s="1"/>
  <c r="U59" i="11"/>
  <c r="Y59" i="11" s="1"/>
  <c r="U67" i="11"/>
  <c r="Y67" i="11" s="1"/>
  <c r="Z67" i="11" s="1"/>
  <c r="AA67" i="11" s="1"/>
  <c r="AI46" i="11"/>
  <c r="AO66" i="11"/>
  <c r="J67" i="11"/>
  <c r="AR27" i="11"/>
  <c r="AO21" i="11"/>
  <c r="AC24" i="16" s="1"/>
  <c r="AO54" i="11"/>
  <c r="J34" i="11"/>
  <c r="AB42" i="11"/>
  <c r="J52" i="11"/>
  <c r="J20" i="11"/>
  <c r="J28" i="11"/>
  <c r="J36" i="11"/>
  <c r="J44" i="11"/>
  <c r="V54" i="11"/>
  <c r="AI60" i="11"/>
  <c r="AC20" i="16" s="1"/>
  <c r="AI62" i="11"/>
  <c r="AI66" i="11"/>
  <c r="AI67" i="11"/>
  <c r="AI70" i="11"/>
  <c r="AR57" i="11"/>
  <c r="AS57" i="11" s="1"/>
  <c r="AT57" i="11" s="1"/>
  <c r="AB43" i="11"/>
  <c r="AC43" i="11" s="1"/>
  <c r="AD43" i="11" s="1"/>
  <c r="J18" i="11"/>
  <c r="J42" i="11"/>
  <c r="AO62" i="11"/>
  <c r="AP62" i="11" s="1"/>
  <c r="AQ62" i="11" s="1"/>
  <c r="AB31" i="11"/>
  <c r="AC31" i="11" s="1"/>
  <c r="AD31" i="11" s="1"/>
  <c r="AO47" i="11"/>
  <c r="AE58" i="11"/>
  <c r="AO22" i="11"/>
  <c r="J9" i="11"/>
  <c r="J61" i="11"/>
  <c r="AO70" i="11"/>
  <c r="AO11" i="11"/>
  <c r="AP11" i="11" s="1"/>
  <c r="AQ11" i="11" s="1"/>
  <c r="AG58" i="11"/>
  <c r="J24" i="11"/>
  <c r="J32" i="11"/>
  <c r="J40" i="11"/>
  <c r="J49" i="11"/>
  <c r="J57" i="11"/>
  <c r="J66" i="11"/>
  <c r="AR55" i="11"/>
  <c r="V39" i="11"/>
  <c r="AI22" i="11"/>
  <c r="AI34" i="11"/>
  <c r="AI40" i="11"/>
  <c r="AI48" i="11"/>
  <c r="AI56" i="11"/>
  <c r="AR69" i="11"/>
  <c r="AO28" i="11"/>
  <c r="AP28" i="11" s="1"/>
  <c r="AQ28" i="11" s="1"/>
  <c r="AR34" i="11"/>
  <c r="J26" i="11"/>
  <c r="J10" i="11"/>
  <c r="AO71" i="11"/>
  <c r="AP71" i="11" s="1"/>
  <c r="AQ71" i="11" s="1"/>
  <c r="J16" i="11"/>
  <c r="J41" i="11"/>
  <c r="AO32" i="11"/>
  <c r="J38" i="11"/>
  <c r="AR38" i="11"/>
  <c r="AO38" i="11"/>
  <c r="J6" i="11"/>
  <c r="AO6" i="11"/>
  <c r="J37" i="11"/>
  <c r="AR37" i="11"/>
  <c r="AO37" i="11"/>
  <c r="J8" i="11"/>
  <c r="J17" i="11"/>
  <c r="AO17" i="11"/>
  <c r="AP17" i="11" s="1"/>
  <c r="AQ17" i="11" s="1"/>
  <c r="J25" i="11"/>
  <c r="AO25" i="11"/>
  <c r="AP25" i="11" s="1"/>
  <c r="AQ25" i="11" s="1"/>
  <c r="J33" i="11"/>
  <c r="AO33" i="11"/>
  <c r="AP33" i="11" s="1"/>
  <c r="AQ33" i="11" s="1"/>
  <c r="J50" i="11"/>
  <c r="AO50" i="11"/>
  <c r="AP50" i="11" s="1"/>
  <c r="AQ50" i="11" s="1"/>
  <c r="J58" i="11"/>
  <c r="AO58" i="11"/>
  <c r="J19" i="11"/>
  <c r="AO19" i="11"/>
  <c r="AP19" i="11" s="1"/>
  <c r="AQ19" i="11" s="1"/>
  <c r="J53" i="11"/>
  <c r="J11" i="11"/>
  <c r="J7" i="11"/>
  <c r="AO7" i="11"/>
  <c r="AP7" i="11" s="1"/>
  <c r="AQ7" i="11" s="1"/>
  <c r="J70" i="11"/>
  <c r="AR70" i="11"/>
  <c r="J59" i="11"/>
  <c r="AO59" i="11"/>
  <c r="J54" i="11"/>
  <c r="J22" i="11"/>
  <c r="AR22" i="11"/>
  <c r="AB29" i="11"/>
  <c r="W13" i="16" s="1"/>
  <c r="V29" i="11"/>
  <c r="AB61" i="11"/>
  <c r="V61" i="11"/>
  <c r="AO8" i="11"/>
  <c r="AP8" i="11" s="1"/>
  <c r="AQ8" i="11" s="1"/>
  <c r="AO41" i="11"/>
  <c r="AP41" i="11" s="1"/>
  <c r="AQ41" i="11" s="1"/>
  <c r="J27" i="11"/>
  <c r="AO27" i="11"/>
  <c r="J60" i="11"/>
  <c r="V30" i="11"/>
  <c r="AI42" i="11"/>
  <c r="AI52" i="11"/>
  <c r="AI64" i="11"/>
  <c r="J21" i="11"/>
  <c r="AR21" i="11"/>
  <c r="AF24" i="16" s="1"/>
  <c r="AB60" i="11"/>
  <c r="V60" i="11"/>
  <c r="J46" i="11"/>
  <c r="J62" i="11"/>
  <c r="J35" i="11"/>
  <c r="AO35" i="11"/>
  <c r="AP35" i="11" s="1"/>
  <c r="AQ35" i="11" s="1"/>
  <c r="AO46" i="11"/>
  <c r="AP46" i="11" s="1"/>
  <c r="AQ46" i="11" s="1"/>
  <c r="AR17" i="11"/>
  <c r="AS17" i="11" s="1"/>
  <c r="AT17" i="11" s="1"/>
  <c r="AR58" i="11"/>
  <c r="J14" i="11"/>
  <c r="AR14" i="11"/>
  <c r="AS14" i="11" s="1"/>
  <c r="AT14" i="11" s="1"/>
  <c r="J30" i="11"/>
  <c r="J64" i="11"/>
  <c r="AO67" i="11"/>
  <c r="AP67" i="11" s="1"/>
  <c r="AQ67" i="11" s="1"/>
  <c r="AR67" i="11"/>
  <c r="V32" i="11"/>
  <c r="AI7" i="11"/>
  <c r="AI11" i="11"/>
  <c r="AI18" i="11"/>
  <c r="AI20" i="11"/>
  <c r="AI30" i="11"/>
  <c r="AI36" i="11"/>
  <c r="AI38" i="11"/>
  <c r="AO14" i="11"/>
  <c r="AP14" i="11" s="1"/>
  <c r="AQ14" i="11" s="1"/>
  <c r="AO30" i="11"/>
  <c r="AP30" i="11" s="1"/>
  <c r="AQ30" i="11" s="1"/>
  <c r="AO64" i="11"/>
  <c r="AR59" i="11"/>
  <c r="AO43" i="11"/>
  <c r="AP43" i="11" s="1"/>
  <c r="AQ43" i="11" s="1"/>
  <c r="J43" i="11"/>
  <c r="J51" i="11"/>
  <c r="AO51" i="11"/>
  <c r="J29" i="11"/>
  <c r="J71" i="11"/>
  <c r="AR71" i="11"/>
  <c r="AS71" i="11" s="1"/>
  <c r="AT71" i="11" s="1"/>
  <c r="AO29" i="11"/>
  <c r="AC13" i="16" s="1"/>
  <c r="AR35" i="11"/>
  <c r="AS35" i="11" s="1"/>
  <c r="AT35" i="11" s="1"/>
  <c r="J47" i="11"/>
  <c r="AE39" i="11"/>
  <c r="AF39" i="11"/>
  <c r="J15" i="11"/>
  <c r="AR15" i="11"/>
  <c r="AS15" i="11" s="1"/>
  <c r="AT15" i="11" s="1"/>
  <c r="AO15" i="11"/>
  <c r="AP15" i="11" s="1"/>
  <c r="AQ15" i="11" s="1"/>
  <c r="AR23" i="11"/>
  <c r="AS23" i="11" s="1"/>
  <c r="AT23" i="11" s="1"/>
  <c r="J23" i="11"/>
  <c r="AO23" i="11"/>
  <c r="AP23" i="11" s="1"/>
  <c r="AQ23" i="11" s="1"/>
  <c r="J31" i="11"/>
  <c r="AO31" i="11"/>
  <c r="AP31" i="11" s="1"/>
  <c r="AQ31" i="11" s="1"/>
  <c r="J39" i="11"/>
  <c r="AO39" i="11"/>
  <c r="J48" i="11"/>
  <c r="AO48" i="11"/>
  <c r="AP48" i="11" s="1"/>
  <c r="AQ48" i="11" s="1"/>
  <c r="J56" i="11"/>
  <c r="AO56" i="11"/>
  <c r="AP56" i="11" s="1"/>
  <c r="AQ56" i="11" s="1"/>
  <c r="AR56" i="11"/>
  <c r="AS56" i="11" s="1"/>
  <c r="AT56" i="11" s="1"/>
  <c r="J65" i="11"/>
  <c r="AO65" i="11"/>
  <c r="AP65" i="11" s="1"/>
  <c r="AQ65" i="11" s="1"/>
  <c r="J68" i="11"/>
  <c r="AR68" i="11"/>
  <c r="AO68" i="11"/>
  <c r="AR19" i="11"/>
  <c r="AS19" i="11" s="1"/>
  <c r="AT19" i="11" s="1"/>
  <c r="AO44" i="11"/>
  <c r="AO52" i="11"/>
  <c r="AO61" i="11"/>
  <c r="AR16" i="11"/>
  <c r="AR24" i="11"/>
  <c r="AF17" i="16" s="1"/>
  <c r="V33" i="11"/>
  <c r="AF58" i="11"/>
  <c r="U69" i="11"/>
  <c r="Y69" i="11" s="1"/>
  <c r="AR20" i="11"/>
  <c r="AS20" i="11" s="1"/>
  <c r="AT20" i="11" s="1"/>
  <c r="AR28" i="11"/>
  <c r="AS28" i="11" s="1"/>
  <c r="AT28" i="11" s="1"/>
  <c r="AR36" i="11"/>
  <c r="AO9" i="11"/>
  <c r="AC18" i="16" s="1"/>
  <c r="AO42" i="11"/>
  <c r="AI6" i="11"/>
  <c r="AK6" i="11" s="1"/>
  <c r="AI8" i="11"/>
  <c r="AI10" i="11"/>
  <c r="AK10" i="11" s="1"/>
  <c r="AI12" i="11"/>
  <c r="AK12" i="11" s="1"/>
  <c r="Z15" i="16" s="1"/>
  <c r="AI17" i="11"/>
  <c r="AI19" i="11"/>
  <c r="AI21" i="11"/>
  <c r="AI23" i="11"/>
  <c r="AI25" i="11"/>
  <c r="AI27" i="11"/>
  <c r="AI29" i="11"/>
  <c r="AK29" i="11" s="1"/>
  <c r="Z13" i="16" s="1"/>
  <c r="AI31" i="11"/>
  <c r="AI33" i="11"/>
  <c r="AI35" i="11"/>
  <c r="AI37" i="11"/>
  <c r="AI41" i="11"/>
  <c r="AI43" i="11"/>
  <c r="AI45" i="11"/>
  <c r="AI47" i="11"/>
  <c r="AI49" i="11"/>
  <c r="AI51" i="11"/>
  <c r="AI53" i="11"/>
  <c r="AI55" i="11"/>
  <c r="AI57" i="11"/>
  <c r="AI59" i="11"/>
  <c r="AI61" i="11"/>
  <c r="AI63" i="11"/>
  <c r="AI65" i="11"/>
  <c r="AI68" i="11"/>
  <c r="AI71" i="11"/>
  <c r="AO10" i="11"/>
  <c r="AO18" i="11"/>
  <c r="AP18" i="11" s="1"/>
  <c r="AQ18" i="11" s="1"/>
  <c r="AO26" i="11"/>
  <c r="AP26" i="11" s="1"/>
  <c r="AQ26" i="11" s="1"/>
  <c r="AO34" i="11"/>
  <c r="AO40" i="11"/>
  <c r="AO60" i="11"/>
  <c r="AP60" i="11" s="1"/>
  <c r="AQ60" i="11" s="1"/>
  <c r="J69" i="11"/>
  <c r="AO69" i="11"/>
  <c r="AC14" i="16" l="1"/>
  <c r="AC19" i="16"/>
  <c r="AP58" i="11"/>
  <c r="AC29" i="16"/>
  <c r="AP55" i="11"/>
  <c r="AC34" i="16"/>
  <c r="AS38" i="11"/>
  <c r="AF28" i="16"/>
  <c r="AP47" i="11"/>
  <c r="AC12" i="16"/>
  <c r="AP39" i="11"/>
  <c r="AC4" i="16"/>
  <c r="AP64" i="11"/>
  <c r="AC7" i="16"/>
  <c r="AP52" i="11"/>
  <c r="AC32" i="16"/>
  <c r="AP51" i="11"/>
  <c r="AC31" i="16"/>
  <c r="AS67" i="11"/>
  <c r="AF7" i="16"/>
  <c r="AP54" i="11"/>
  <c r="AC33" i="16"/>
  <c r="AP44" i="11"/>
  <c r="AC37" i="16"/>
  <c r="AP59" i="11"/>
  <c r="AC30" i="16"/>
  <c r="AC16" i="16"/>
  <c r="AP34" i="11"/>
  <c r="AC21" i="16"/>
  <c r="AS13" i="11"/>
  <c r="AF35" i="16"/>
  <c r="AS68" i="11"/>
  <c r="AF10" i="16"/>
  <c r="AS55" i="11"/>
  <c r="AF34" i="16"/>
  <c r="AS27" i="11"/>
  <c r="AF39" i="16"/>
  <c r="AS34" i="11"/>
  <c r="AF21" i="16"/>
  <c r="AP66" i="11"/>
  <c r="AC6" i="16"/>
  <c r="AP42" i="11"/>
  <c r="AC27" i="16"/>
  <c r="AS58" i="11"/>
  <c r="AF29" i="16"/>
  <c r="AP27" i="11"/>
  <c r="AC39" i="16"/>
  <c r="AP32" i="11"/>
  <c r="AC36" i="16"/>
  <c r="AP70" i="11"/>
  <c r="AC23" i="16"/>
  <c r="AP40" i="11"/>
  <c r="AC5" i="16"/>
  <c r="AP68" i="11"/>
  <c r="AC10" i="16"/>
  <c r="AS70" i="11"/>
  <c r="AF23" i="16"/>
  <c r="AP38" i="11"/>
  <c r="AC28" i="16"/>
  <c r="AS59" i="11"/>
  <c r="AF30" i="16"/>
  <c r="AF25" i="16"/>
  <c r="AF16" i="16"/>
  <c r="AP37" i="11"/>
  <c r="AC26" i="16"/>
  <c r="AS69" i="11"/>
  <c r="AF9" i="16"/>
  <c r="AP69" i="11"/>
  <c r="AC9" i="16"/>
  <c r="AS36" i="11"/>
  <c r="AF22" i="16"/>
  <c r="AP61" i="11"/>
  <c r="AC8" i="16"/>
  <c r="J13" i="11"/>
  <c r="AS37" i="11"/>
  <c r="AF26" i="16"/>
  <c r="AO13" i="11"/>
  <c r="AC25" i="16"/>
  <c r="AQ36" i="11"/>
  <c r="AE22" i="16" s="1"/>
  <c r="AD22" i="16"/>
  <c r="Z59" i="11"/>
  <c r="T30" i="16"/>
  <c r="Z52" i="11"/>
  <c r="T32" i="16"/>
  <c r="AA39" i="11"/>
  <c r="V4" i="16" s="1"/>
  <c r="U4" i="16"/>
  <c r="AD47" i="11"/>
  <c r="Y12" i="16" s="1"/>
  <c r="X12" i="16"/>
  <c r="AD27" i="11"/>
  <c r="Y39" i="16" s="1"/>
  <c r="X39" i="16"/>
  <c r="AD69" i="11"/>
  <c r="Y9" i="16" s="1"/>
  <c r="X9" i="16"/>
  <c r="AC60" i="11"/>
  <c r="V20" i="16"/>
  <c r="AC42" i="11"/>
  <c r="W27" i="16"/>
  <c r="Z34" i="11"/>
  <c r="T21" i="16"/>
  <c r="Z68" i="11"/>
  <c r="T10" i="16"/>
  <c r="AD68" i="11"/>
  <c r="Y10" i="16" s="1"/>
  <c r="X10" i="16"/>
  <c r="AD54" i="11"/>
  <c r="Y33" i="16" s="1"/>
  <c r="X33" i="16"/>
  <c r="Z40" i="11"/>
  <c r="T5" i="16"/>
  <c r="AD70" i="11"/>
  <c r="Y23" i="16" s="1"/>
  <c r="X23" i="16"/>
  <c r="Z51" i="11"/>
  <c r="T31" i="16"/>
  <c r="Z55" i="11"/>
  <c r="T34" i="16"/>
  <c r="Z44" i="11"/>
  <c r="T37" i="16"/>
  <c r="AD52" i="11"/>
  <c r="Y32" i="16" s="1"/>
  <c r="X32" i="16"/>
  <c r="AA54" i="11"/>
  <c r="V33" i="16" s="1"/>
  <c r="U33" i="16"/>
  <c r="AD44" i="11"/>
  <c r="Y37" i="16" s="1"/>
  <c r="X37" i="16"/>
  <c r="AD45" i="11"/>
  <c r="Y11" i="16" s="1"/>
  <c r="X11" i="16"/>
  <c r="Z69" i="11"/>
  <c r="T9" i="16"/>
  <c r="Z66" i="11"/>
  <c r="T6" i="16"/>
  <c r="Z37" i="11"/>
  <c r="T26" i="16"/>
  <c r="AD36" i="11"/>
  <c r="Y22" i="16" s="1"/>
  <c r="X22" i="16"/>
  <c r="AD40" i="11"/>
  <c r="Y5" i="16" s="1"/>
  <c r="X5" i="16"/>
  <c r="Z47" i="11"/>
  <c r="T12" i="16"/>
  <c r="Z45" i="11"/>
  <c r="T11" i="16"/>
  <c r="Z36" i="11"/>
  <c r="T22" i="16"/>
  <c r="AD63" i="11"/>
  <c r="Y38" i="16" s="1"/>
  <c r="X38" i="16"/>
  <c r="AD58" i="11"/>
  <c r="Y29" i="16" s="1"/>
  <c r="X29" i="16"/>
  <c r="AD66" i="11"/>
  <c r="Y6" i="16" s="1"/>
  <c r="X6" i="16"/>
  <c r="AC61" i="11"/>
  <c r="W8" i="16"/>
  <c r="Z27" i="11"/>
  <c r="T39" i="16"/>
  <c r="Z58" i="11"/>
  <c r="T29" i="16"/>
  <c r="Z63" i="11"/>
  <c r="T38" i="16"/>
  <c r="Z64" i="11"/>
  <c r="T7" i="16"/>
  <c r="Z70" i="11"/>
  <c r="T23" i="16"/>
  <c r="AD55" i="11"/>
  <c r="Y34" i="16" s="1"/>
  <c r="X34" i="16"/>
  <c r="AD38" i="11"/>
  <c r="Y28" i="16" s="1"/>
  <c r="X28" i="16"/>
  <c r="AD51" i="11"/>
  <c r="Y31" i="16" s="1"/>
  <c r="X31" i="16"/>
  <c r="AD34" i="11"/>
  <c r="Y21" i="16" s="1"/>
  <c r="X21" i="16"/>
  <c r="AD37" i="11"/>
  <c r="Y26" i="16" s="1"/>
  <c r="X26" i="16"/>
  <c r="AA42" i="11"/>
  <c r="V27" i="16" s="1"/>
  <c r="U27" i="16"/>
  <c r="Z38" i="11"/>
  <c r="T28" i="16"/>
  <c r="AD32" i="11"/>
  <c r="Y36" i="16" s="1"/>
  <c r="X36" i="16"/>
  <c r="AA61" i="11"/>
  <c r="V8" i="16" s="1"/>
  <c r="U8" i="16"/>
  <c r="AD64" i="11"/>
  <c r="Y7" i="16" s="1"/>
  <c r="X7" i="16"/>
  <c r="AD59" i="11"/>
  <c r="Y30" i="16" s="1"/>
  <c r="X30" i="16"/>
  <c r="AA32" i="11"/>
  <c r="V36" i="16" s="1"/>
  <c r="U36" i="16"/>
  <c r="AD39" i="11"/>
  <c r="Y4" i="16" s="1"/>
  <c r="X4" i="16"/>
  <c r="AS24" i="11"/>
  <c r="AG17" i="16" s="1"/>
  <c r="AD22" i="11"/>
  <c r="Y16" i="16" s="1"/>
  <c r="AS21" i="11"/>
  <c r="AG24" i="16" s="1"/>
  <c r="AP16" i="11"/>
  <c r="AD25" i="16" s="1"/>
  <c r="AQ24" i="11"/>
  <c r="AE17" i="16" s="1"/>
  <c r="AP22" i="11"/>
  <c r="AD16" i="16" s="1"/>
  <c r="Z24" i="11"/>
  <c r="U17" i="16" s="1"/>
  <c r="T17" i="16"/>
  <c r="Z22" i="11"/>
  <c r="U16" i="16" s="1"/>
  <c r="T16" i="16"/>
  <c r="AS16" i="11"/>
  <c r="AG25" i="16" s="1"/>
  <c r="AS22" i="11"/>
  <c r="AG16" i="16" s="1"/>
  <c r="AP21" i="11"/>
  <c r="AD24" i="16" s="1"/>
  <c r="AD24" i="11"/>
  <c r="Y17" i="16" s="1"/>
  <c r="Z21" i="11"/>
  <c r="U24" i="16" s="1"/>
  <c r="T24" i="16"/>
  <c r="AD21" i="11"/>
  <c r="Y24" i="16" s="1"/>
  <c r="Z16" i="11"/>
  <c r="U25" i="16" s="1"/>
  <c r="T25" i="16"/>
  <c r="AD16" i="11"/>
  <c r="Y25" i="16" s="1"/>
  <c r="AK24" i="11"/>
  <c r="Z17" i="16" s="1"/>
  <c r="AK63" i="11"/>
  <c r="AK47" i="11"/>
  <c r="AK36" i="11"/>
  <c r="AK64" i="11"/>
  <c r="AK40" i="11"/>
  <c r="AK16" i="11"/>
  <c r="AM13" i="11"/>
  <c r="AB35" i="16" s="1"/>
  <c r="AK61" i="11"/>
  <c r="AK45" i="11"/>
  <c r="AK27" i="11"/>
  <c r="AK8" i="11"/>
  <c r="AL8" i="11" s="1"/>
  <c r="AK30" i="11"/>
  <c r="AL30" i="11" s="1"/>
  <c r="AK52" i="11"/>
  <c r="AK34" i="11"/>
  <c r="AK54" i="11"/>
  <c r="AK31" i="11"/>
  <c r="AL31" i="11" s="1"/>
  <c r="AK38" i="11"/>
  <c r="AK48" i="11"/>
  <c r="AL48" i="11" s="1"/>
  <c r="AM48" i="11" s="1"/>
  <c r="AU48" i="11" s="1"/>
  <c r="AK22" i="11"/>
  <c r="AK70" i="11"/>
  <c r="AK23" i="11"/>
  <c r="AL23" i="11" s="1"/>
  <c r="AK67" i="11"/>
  <c r="AL67" i="11" s="1"/>
  <c r="AM67" i="11" s="1"/>
  <c r="AU67" i="11" s="1"/>
  <c r="AK21" i="11"/>
  <c r="Z24" i="16" s="1"/>
  <c r="AK50" i="11"/>
  <c r="AL50" i="11" s="1"/>
  <c r="AK49" i="11"/>
  <c r="AL49" i="11" s="1"/>
  <c r="AK59" i="11"/>
  <c r="AK25" i="11"/>
  <c r="AL25" i="11" s="1"/>
  <c r="AK42" i="11"/>
  <c r="AK41" i="11"/>
  <c r="AL41" i="11" s="1"/>
  <c r="AK18" i="11"/>
  <c r="AL18" i="11" s="1"/>
  <c r="AM18" i="11" s="1"/>
  <c r="AU18" i="11" s="1"/>
  <c r="AK69" i="11"/>
  <c r="AA13" i="11"/>
  <c r="V35" i="16" s="1"/>
  <c r="AK55" i="11"/>
  <c r="AK11" i="11"/>
  <c r="AL11" i="11" s="1"/>
  <c r="AM11" i="11" s="1"/>
  <c r="AU11" i="11" s="1"/>
  <c r="AK66" i="11"/>
  <c r="AK32" i="11"/>
  <c r="AK71" i="11"/>
  <c r="AL71" i="11" s="1"/>
  <c r="AK53" i="11"/>
  <c r="AL53" i="11" s="1"/>
  <c r="AM53" i="11" s="1"/>
  <c r="AU53" i="11" s="1"/>
  <c r="AK35" i="11"/>
  <c r="AL35" i="11" s="1"/>
  <c r="AK19" i="11"/>
  <c r="AL19" i="11" s="1"/>
  <c r="AK7" i="11"/>
  <c r="AL7" i="11" s="1"/>
  <c r="AK62" i="11"/>
  <c r="AL62" i="11" s="1"/>
  <c r="AM62" i="11" s="1"/>
  <c r="AU62" i="11" s="1"/>
  <c r="AK28" i="11"/>
  <c r="AL28" i="11" s="1"/>
  <c r="AK44" i="11"/>
  <c r="AK65" i="11"/>
  <c r="AL65" i="11" s="1"/>
  <c r="AK43" i="11"/>
  <c r="AL43" i="11" s="1"/>
  <c r="AM43" i="11" s="1"/>
  <c r="AU43" i="11" s="1"/>
  <c r="AK20" i="11"/>
  <c r="AL20" i="11" s="1"/>
  <c r="AK57" i="11"/>
  <c r="AL57" i="11" s="1"/>
  <c r="AK37" i="11"/>
  <c r="AK46" i="11"/>
  <c r="AL46" i="11" s="1"/>
  <c r="AM46" i="11" s="1"/>
  <c r="AU46" i="11" s="1"/>
  <c r="AK68" i="11"/>
  <c r="AK51" i="11"/>
  <c r="AK33" i="11"/>
  <c r="AL33" i="11" s="1"/>
  <c r="AK17" i="11"/>
  <c r="AL17" i="11" s="1"/>
  <c r="AM17" i="11" s="1"/>
  <c r="AU17" i="11" s="1"/>
  <c r="AK56" i="11"/>
  <c r="AL56" i="11" s="1"/>
  <c r="AK60" i="11"/>
  <c r="AK26" i="11"/>
  <c r="AL26" i="11" s="1"/>
  <c r="AD13" i="11"/>
  <c r="Y35" i="16" s="1"/>
  <c r="AL29" i="11"/>
  <c r="AA13" i="16" s="1"/>
  <c r="AP29" i="11"/>
  <c r="AD13" i="16" s="1"/>
  <c r="AP10" i="11"/>
  <c r="AD14" i="16" s="1"/>
  <c r="AP9" i="11"/>
  <c r="AD18" i="16" s="1"/>
  <c r="AC29" i="11"/>
  <c r="X13" i="16" s="1"/>
  <c r="AL9" i="11"/>
  <c r="AA18" i="16" s="1"/>
  <c r="AP6" i="11"/>
  <c r="AD19" i="16" s="1"/>
  <c r="Z9" i="11"/>
  <c r="U18" i="16" s="1"/>
  <c r="T18" i="16"/>
  <c r="AA29" i="11"/>
  <c r="V13" i="16" s="1"/>
  <c r="AD9" i="11"/>
  <c r="Y18" i="16" s="1"/>
  <c r="AL6" i="11"/>
  <c r="Z12" i="11"/>
  <c r="U15" i="16" s="1"/>
  <c r="T15" i="16"/>
  <c r="AL12" i="11"/>
  <c r="AA15" i="16" s="1"/>
  <c r="AD6" i="11"/>
  <c r="Y19" i="16" s="1"/>
  <c r="AL10" i="11"/>
  <c r="AA14" i="16" s="1"/>
  <c r="Z6" i="11"/>
  <c r="U19" i="16" s="1"/>
  <c r="T19" i="16"/>
  <c r="AD12" i="11"/>
  <c r="Y15" i="16" s="1"/>
  <c r="Z10" i="11"/>
  <c r="U14" i="16" s="1"/>
  <c r="T14" i="16"/>
  <c r="AD10" i="11"/>
  <c r="Y14" i="16" s="1"/>
  <c r="AI58" i="11"/>
  <c r="AU14" i="11"/>
  <c r="K48" i="11"/>
  <c r="AW48" i="11" s="1"/>
  <c r="K30" i="11"/>
  <c r="K62" i="11"/>
  <c r="K59" i="11"/>
  <c r="K19" i="11"/>
  <c r="K25" i="11"/>
  <c r="K6" i="11"/>
  <c r="K49" i="11"/>
  <c r="K61" i="11"/>
  <c r="K42" i="11"/>
  <c r="K34" i="11"/>
  <c r="AU15" i="11"/>
  <c r="K68" i="11"/>
  <c r="K71" i="11"/>
  <c r="K46" i="11"/>
  <c r="K10" i="11"/>
  <c r="K40" i="11"/>
  <c r="K9" i="11"/>
  <c r="K18" i="11"/>
  <c r="K44" i="11"/>
  <c r="K65" i="11"/>
  <c r="K24" i="11"/>
  <c r="K31" i="11"/>
  <c r="K13" i="11"/>
  <c r="K7" i="11"/>
  <c r="K50" i="11"/>
  <c r="K28" i="11"/>
  <c r="K67" i="11"/>
  <c r="K64" i="11"/>
  <c r="K16" i="11"/>
  <c r="K57" i="11"/>
  <c r="K39" i="11"/>
  <c r="K14" i="11"/>
  <c r="AW14" i="11" s="1"/>
  <c r="AV14" i="11"/>
  <c r="K58" i="11"/>
  <c r="K17" i="11"/>
  <c r="K26" i="11"/>
  <c r="K60" i="11"/>
  <c r="K8" i="11"/>
  <c r="K38" i="11"/>
  <c r="K69" i="11"/>
  <c r="K47" i="11"/>
  <c r="K21" i="11"/>
  <c r="K27" i="11"/>
  <c r="K22" i="11"/>
  <c r="K11" i="11"/>
  <c r="AW11" i="11" s="1"/>
  <c r="K20" i="11"/>
  <c r="K43" i="11"/>
  <c r="K35" i="11"/>
  <c r="K15" i="11"/>
  <c r="AW15" i="11" s="1"/>
  <c r="AV15" i="11"/>
  <c r="K29" i="11"/>
  <c r="K70" i="11"/>
  <c r="K32" i="11"/>
  <c r="K36" i="11"/>
  <c r="K56" i="11"/>
  <c r="K23" i="11"/>
  <c r="K51" i="11"/>
  <c r="K54" i="11"/>
  <c r="K53" i="11"/>
  <c r="K33" i="11"/>
  <c r="K37" i="11"/>
  <c r="K41" i="11"/>
  <c r="K66" i="11"/>
  <c r="K52" i="11"/>
  <c r="K55" i="11"/>
  <c r="AI39" i="11"/>
  <c r="AK39" i="11" s="1"/>
  <c r="Z4" i="16" s="1"/>
  <c r="Z14" i="16" l="1"/>
  <c r="AL37" i="11"/>
  <c r="AA26" i="16" s="1"/>
  <c r="Z26" i="16"/>
  <c r="AL38" i="11"/>
  <c r="AA28" i="16" s="1"/>
  <c r="Z28" i="16"/>
  <c r="AT59" i="11"/>
  <c r="AH30" i="16" s="1"/>
  <c r="AG30" i="16"/>
  <c r="AQ37" i="11"/>
  <c r="AE26" i="16" s="1"/>
  <c r="AD26" i="16"/>
  <c r="AT55" i="11"/>
  <c r="AH34" i="16" s="1"/>
  <c r="AG34" i="16"/>
  <c r="AL51" i="11"/>
  <c r="AA31" i="16" s="1"/>
  <c r="Z31" i="16"/>
  <c r="AL44" i="11"/>
  <c r="AA37" i="16" s="1"/>
  <c r="Z37" i="16"/>
  <c r="AL32" i="11"/>
  <c r="AA36" i="16" s="1"/>
  <c r="Z36" i="16"/>
  <c r="AL42" i="11"/>
  <c r="AA27" i="16" s="1"/>
  <c r="Z27" i="16"/>
  <c r="AL70" i="11"/>
  <c r="AA23" i="16" s="1"/>
  <c r="Z23" i="16"/>
  <c r="AL64" i="11"/>
  <c r="AA7" i="16" s="1"/>
  <c r="Z7" i="16"/>
  <c r="AT70" i="11"/>
  <c r="AH23" i="16" s="1"/>
  <c r="AG23" i="16"/>
  <c r="AQ32" i="11"/>
  <c r="AE36" i="16" s="1"/>
  <c r="AD36" i="16"/>
  <c r="AQ66" i="11"/>
  <c r="AE6" i="16" s="1"/>
  <c r="AD6" i="16"/>
  <c r="AQ59" i="11"/>
  <c r="AE30" i="16" s="1"/>
  <c r="AD30" i="16"/>
  <c r="AQ51" i="11"/>
  <c r="AE31" i="16" s="1"/>
  <c r="AD31" i="16"/>
  <c r="AQ47" i="11"/>
  <c r="AE12" i="16" s="1"/>
  <c r="AD12" i="16"/>
  <c r="AL55" i="11"/>
  <c r="AA34" i="16" s="1"/>
  <c r="Z34" i="16"/>
  <c r="AQ69" i="11"/>
  <c r="AE9" i="16" s="1"/>
  <c r="AD9" i="16"/>
  <c r="AL52" i="11"/>
  <c r="AA32" i="16" s="1"/>
  <c r="Z32" i="16"/>
  <c r="AL40" i="11"/>
  <c r="AA5" i="16" s="1"/>
  <c r="Z5" i="16"/>
  <c r="AQ61" i="11"/>
  <c r="AE8" i="16" s="1"/>
  <c r="AD8" i="16"/>
  <c r="AW31" i="11"/>
  <c r="AL68" i="11"/>
  <c r="AA10" i="16" s="1"/>
  <c r="Z10" i="16"/>
  <c r="AL66" i="11"/>
  <c r="AA6" i="16" s="1"/>
  <c r="Z6" i="16"/>
  <c r="Z16" i="16"/>
  <c r="AL36" i="11"/>
  <c r="AA22" i="16" s="1"/>
  <c r="Z22" i="16"/>
  <c r="AT36" i="11"/>
  <c r="AH22" i="16" s="1"/>
  <c r="AG22" i="16"/>
  <c r="AT68" i="11"/>
  <c r="AH10" i="16" s="1"/>
  <c r="AG10" i="16"/>
  <c r="AL59" i="11"/>
  <c r="AV59" i="11" s="1"/>
  <c r="Z30" i="16"/>
  <c r="AL27" i="11"/>
  <c r="Z39" i="16"/>
  <c r="AL47" i="11"/>
  <c r="Z12" i="16"/>
  <c r="AP13" i="11"/>
  <c r="AC35" i="16"/>
  <c r="AQ68" i="11"/>
  <c r="AE10" i="16" s="1"/>
  <c r="AD10" i="16"/>
  <c r="AQ27" i="11"/>
  <c r="AE39" i="16" s="1"/>
  <c r="AD39" i="16"/>
  <c r="AT34" i="11"/>
  <c r="AH21" i="16" s="1"/>
  <c r="AG21" i="16"/>
  <c r="AQ44" i="11"/>
  <c r="AE37" i="16" s="1"/>
  <c r="AD37" i="16"/>
  <c r="AQ52" i="11"/>
  <c r="AE32" i="16" s="1"/>
  <c r="AD32" i="16"/>
  <c r="AT38" i="11"/>
  <c r="AH28" i="16" s="1"/>
  <c r="AG28" i="16"/>
  <c r="AT13" i="11"/>
  <c r="AH35" i="16" s="1"/>
  <c r="AG35" i="16"/>
  <c r="AL60" i="11"/>
  <c r="AF20" i="16" s="1"/>
  <c r="AE20" i="16"/>
  <c r="AL61" i="11"/>
  <c r="AA8" i="16" s="1"/>
  <c r="Z8" i="16"/>
  <c r="AT37" i="11"/>
  <c r="AH26" i="16" s="1"/>
  <c r="AG26" i="16"/>
  <c r="Z19" i="16"/>
  <c r="AT58" i="11"/>
  <c r="AH29" i="16" s="1"/>
  <c r="AG29" i="16"/>
  <c r="AT27" i="11"/>
  <c r="AH39" i="16" s="1"/>
  <c r="AG39" i="16"/>
  <c r="AQ54" i="11"/>
  <c r="AE33" i="16" s="1"/>
  <c r="AD33" i="16"/>
  <c r="AQ64" i="11"/>
  <c r="AE7" i="16" s="1"/>
  <c r="AD7" i="16"/>
  <c r="AU13" i="11"/>
  <c r="AL69" i="11"/>
  <c r="AA9" i="16" s="1"/>
  <c r="Z9" i="16"/>
  <c r="AL54" i="11"/>
  <c r="AA33" i="16" s="1"/>
  <c r="Z33" i="16"/>
  <c r="AT69" i="11"/>
  <c r="AH9" i="16" s="1"/>
  <c r="AG9" i="16"/>
  <c r="AQ34" i="11"/>
  <c r="AE21" i="16" s="1"/>
  <c r="AD21" i="16"/>
  <c r="AL45" i="11"/>
  <c r="Z11" i="16"/>
  <c r="AL63" i="11"/>
  <c r="Z38" i="16"/>
  <c r="AQ40" i="11"/>
  <c r="AE5" i="16" s="1"/>
  <c r="AD5" i="16"/>
  <c r="AQ55" i="11"/>
  <c r="AE34" i="16" s="1"/>
  <c r="AD34" i="16"/>
  <c r="AA19" i="16"/>
  <c r="AL34" i="11"/>
  <c r="AV34" i="11" s="1"/>
  <c r="Z21" i="16"/>
  <c r="AL16" i="11"/>
  <c r="AA25" i="16" s="1"/>
  <c r="Z25" i="16"/>
  <c r="AQ38" i="11"/>
  <c r="AE28" i="16" s="1"/>
  <c r="AD28" i="16"/>
  <c r="AQ70" i="11"/>
  <c r="AE23" i="16" s="1"/>
  <c r="AD23" i="16"/>
  <c r="AQ42" i="11"/>
  <c r="AE27" i="16" s="1"/>
  <c r="AD27" i="16"/>
  <c r="AT67" i="11"/>
  <c r="AH7" i="16" s="1"/>
  <c r="AG7" i="16"/>
  <c r="AQ39" i="11"/>
  <c r="AE4" i="16" s="1"/>
  <c r="AD4" i="16"/>
  <c r="AQ58" i="11"/>
  <c r="AE29" i="16" s="1"/>
  <c r="AD29" i="16"/>
  <c r="AA63" i="11"/>
  <c r="V38" i="16" s="1"/>
  <c r="U38" i="16"/>
  <c r="AA45" i="11"/>
  <c r="V11" i="16" s="1"/>
  <c r="U11" i="16"/>
  <c r="AA37" i="11"/>
  <c r="V26" i="16" s="1"/>
  <c r="U26" i="16"/>
  <c r="AA55" i="11"/>
  <c r="V34" i="16" s="1"/>
  <c r="U34" i="16"/>
  <c r="AD42" i="11"/>
  <c r="Y27" i="16" s="1"/>
  <c r="X27" i="16"/>
  <c r="AW30" i="11"/>
  <c r="AA51" i="11"/>
  <c r="V31" i="16" s="1"/>
  <c r="U31" i="16"/>
  <c r="AD60" i="11"/>
  <c r="X20" i="16" s="1"/>
  <c r="W20" i="16"/>
  <c r="AW60" i="11"/>
  <c r="AA70" i="11"/>
  <c r="V23" i="16" s="1"/>
  <c r="U23" i="16"/>
  <c r="AA27" i="11"/>
  <c r="V39" i="16" s="1"/>
  <c r="U39" i="16"/>
  <c r="AA69" i="11"/>
  <c r="V9" i="16" s="1"/>
  <c r="U9" i="16"/>
  <c r="AA68" i="11"/>
  <c r="V10" i="16" s="1"/>
  <c r="U10" i="16"/>
  <c r="AA52" i="11"/>
  <c r="V32" i="16" s="1"/>
  <c r="U32" i="16"/>
  <c r="AA47" i="11"/>
  <c r="V12" i="16" s="1"/>
  <c r="U12" i="16"/>
  <c r="AA58" i="11"/>
  <c r="V29" i="16" s="1"/>
  <c r="U29" i="16"/>
  <c r="AA66" i="11"/>
  <c r="V6" i="16" s="1"/>
  <c r="U6" i="16"/>
  <c r="AW25" i="11"/>
  <c r="AA38" i="11"/>
  <c r="V28" i="16" s="1"/>
  <c r="U28" i="16"/>
  <c r="AA64" i="11"/>
  <c r="V7" i="16" s="1"/>
  <c r="U7" i="16"/>
  <c r="AD61" i="11"/>
  <c r="Y8" i="16" s="1"/>
  <c r="X8" i="16"/>
  <c r="AA36" i="11"/>
  <c r="V22" i="16" s="1"/>
  <c r="U22" i="16"/>
  <c r="AA44" i="11"/>
  <c r="V37" i="16" s="1"/>
  <c r="U37" i="16"/>
  <c r="AA40" i="11"/>
  <c r="V5" i="16" s="1"/>
  <c r="U5" i="16"/>
  <c r="AA34" i="11"/>
  <c r="V21" i="16" s="1"/>
  <c r="U21" i="16"/>
  <c r="AA59" i="11"/>
  <c r="V30" i="16" s="1"/>
  <c r="U30" i="16"/>
  <c r="AW50" i="11"/>
  <c r="AW18" i="11"/>
  <c r="AL22" i="11"/>
  <c r="AA16" i="16" s="1"/>
  <c r="AA22" i="11"/>
  <c r="V16" i="16" s="1"/>
  <c r="AQ16" i="11"/>
  <c r="AE25" i="16" s="1"/>
  <c r="AW35" i="11"/>
  <c r="AQ21" i="11"/>
  <c r="AE24" i="16" s="1"/>
  <c r="AT21" i="11"/>
  <c r="AH24" i="16" s="1"/>
  <c r="AW64" i="11"/>
  <c r="AW71" i="11"/>
  <c r="AA24" i="11"/>
  <c r="V17" i="16" s="1"/>
  <c r="AW20" i="11"/>
  <c r="AT22" i="11"/>
  <c r="AH16" i="16" s="1"/>
  <c r="AQ22" i="11"/>
  <c r="AE16" i="16" s="1"/>
  <c r="AW53" i="11"/>
  <c r="AW17" i="11"/>
  <c r="AW67" i="11"/>
  <c r="AL24" i="11"/>
  <c r="AA17" i="16" s="1"/>
  <c r="AT16" i="11"/>
  <c r="AH25" i="16" s="1"/>
  <c r="AT24" i="11"/>
  <c r="AH17" i="16" s="1"/>
  <c r="AW62" i="11"/>
  <c r="AV29" i="11"/>
  <c r="AL21" i="11"/>
  <c r="AA24" i="16" s="1"/>
  <c r="AW56" i="11"/>
  <c r="AW43" i="11"/>
  <c r="AW42" i="11"/>
  <c r="AM16" i="11"/>
  <c r="AW8" i="11"/>
  <c r="AA16" i="11"/>
  <c r="V25" i="16" s="1"/>
  <c r="AW32" i="11"/>
  <c r="AW46" i="11"/>
  <c r="AW19" i="11"/>
  <c r="AA21" i="11"/>
  <c r="V24" i="16" s="1"/>
  <c r="AM26" i="11"/>
  <c r="AU26" i="11" s="1"/>
  <c r="AV26" i="11"/>
  <c r="AM44" i="11"/>
  <c r="AV22" i="11"/>
  <c r="AM28" i="11"/>
  <c r="AU28" i="11" s="1"/>
  <c r="AV28" i="11"/>
  <c r="AM71" i="11"/>
  <c r="AU71" i="11" s="1"/>
  <c r="AV71" i="11"/>
  <c r="AM49" i="11"/>
  <c r="AU49" i="11" s="1"/>
  <c r="AV49" i="11"/>
  <c r="AM30" i="11"/>
  <c r="AU30" i="11" s="1"/>
  <c r="AV30" i="11"/>
  <c r="AM56" i="11"/>
  <c r="AU56" i="11" s="1"/>
  <c r="AV56" i="11"/>
  <c r="AV37" i="11"/>
  <c r="AM50" i="11"/>
  <c r="AU50" i="11" s="1"/>
  <c r="AV50" i="11"/>
  <c r="AM8" i="11"/>
  <c r="AU8" i="11" s="1"/>
  <c r="AV8" i="11"/>
  <c r="AM57" i="11"/>
  <c r="AU57" i="11" s="1"/>
  <c r="AV57" i="11"/>
  <c r="AM66" i="11"/>
  <c r="AV66" i="11"/>
  <c r="AV40" i="11"/>
  <c r="AM20" i="11"/>
  <c r="AU20" i="11" s="1"/>
  <c r="AV20" i="11"/>
  <c r="AM7" i="11"/>
  <c r="AU7" i="11" s="1"/>
  <c r="AV7" i="11"/>
  <c r="AM41" i="11"/>
  <c r="AU41" i="11" s="1"/>
  <c r="AV41" i="11"/>
  <c r="AM31" i="11"/>
  <c r="AU31" i="11" s="1"/>
  <c r="AV31" i="11"/>
  <c r="AV64" i="11"/>
  <c r="AM33" i="11"/>
  <c r="AU33" i="11" s="1"/>
  <c r="AV33" i="11"/>
  <c r="AM19" i="11"/>
  <c r="AU19" i="11" s="1"/>
  <c r="AV19" i="11"/>
  <c r="AV42" i="11"/>
  <c r="AV54" i="11"/>
  <c r="AV51" i="11"/>
  <c r="AM35" i="11"/>
  <c r="AU35" i="11" s="1"/>
  <c r="AV35" i="11"/>
  <c r="AM25" i="11"/>
  <c r="AU25" i="11" s="1"/>
  <c r="AV25" i="11"/>
  <c r="AM23" i="11"/>
  <c r="AU23" i="11" s="1"/>
  <c r="AV23" i="11"/>
  <c r="AV61" i="11"/>
  <c r="AM65" i="11"/>
  <c r="AU65" i="11" s="1"/>
  <c r="AV65" i="11"/>
  <c r="AV43" i="11"/>
  <c r="AW26" i="11"/>
  <c r="AV46" i="11"/>
  <c r="AW49" i="11"/>
  <c r="AV62" i="11"/>
  <c r="AW52" i="11"/>
  <c r="AW33" i="11"/>
  <c r="AW23" i="11"/>
  <c r="AV17" i="11"/>
  <c r="AW57" i="11"/>
  <c r="AW28" i="11"/>
  <c r="AV53" i="11"/>
  <c r="AV16" i="11"/>
  <c r="AV18" i="11"/>
  <c r="AW41" i="11"/>
  <c r="AV11" i="11"/>
  <c r="AW7" i="11"/>
  <c r="AW65" i="11"/>
  <c r="AW68" i="11"/>
  <c r="AK58" i="11"/>
  <c r="AV48" i="11"/>
  <c r="AV67" i="11"/>
  <c r="AW40" i="11"/>
  <c r="AW55" i="11"/>
  <c r="AV10" i="11"/>
  <c r="AQ29" i="11"/>
  <c r="AE13" i="16" s="1"/>
  <c r="AQ10" i="11"/>
  <c r="AE14" i="16" s="1"/>
  <c r="AM29" i="11"/>
  <c r="AB13" i="16" s="1"/>
  <c r="AM9" i="11"/>
  <c r="AB18" i="16" s="1"/>
  <c r="AQ6" i="11"/>
  <c r="AE19" i="16" s="1"/>
  <c r="AV9" i="11"/>
  <c r="AD29" i="11"/>
  <c r="Y13" i="16" s="1"/>
  <c r="AA9" i="11"/>
  <c r="V18" i="16" s="1"/>
  <c r="AQ9" i="11"/>
  <c r="AE18" i="16" s="1"/>
  <c r="AM10" i="11"/>
  <c r="AB14" i="16" s="1"/>
  <c r="AM6" i="11"/>
  <c r="AV6" i="11"/>
  <c r="AM12" i="11"/>
  <c r="AB15" i="16" s="1"/>
  <c r="AA6" i="11"/>
  <c r="V19" i="16" s="1"/>
  <c r="AA12" i="11"/>
  <c r="V15" i="16" s="1"/>
  <c r="AA10" i="11"/>
  <c r="V14" i="16" s="1"/>
  <c r="AW39" i="11"/>
  <c r="AL39" i="11"/>
  <c r="AA4" i="16" s="1"/>
  <c r="C62" i="11"/>
  <c r="C50" i="11"/>
  <c r="C49" i="11"/>
  <c r="C48" i="11"/>
  <c r="C47" i="11"/>
  <c r="C46" i="11"/>
  <c r="C45" i="11"/>
  <c r="AL8" i="16" s="1"/>
  <c r="C36" i="11"/>
  <c r="C35" i="11"/>
  <c r="C34" i="11"/>
  <c r="AL14" i="16" s="1"/>
  <c r="F63" i="11"/>
  <c r="F45" i="11"/>
  <c r="F12" i="11"/>
  <c r="M159" i="10"/>
  <c r="N159" i="10" s="1"/>
  <c r="F23" i="16" s="1"/>
  <c r="C23" i="16" s="1"/>
  <c r="M158" i="10"/>
  <c r="N158" i="10" s="1"/>
  <c r="M157" i="10"/>
  <c r="N157" i="10" s="1"/>
  <c r="AW58" i="11" l="1"/>
  <c r="AV68" i="11"/>
  <c r="AM68" i="11"/>
  <c r="AV52" i="11"/>
  <c r="AV38" i="11"/>
  <c r="AW44" i="11"/>
  <c r="AM38" i="11"/>
  <c r="AU38" i="11" s="1"/>
  <c r="AV69" i="11"/>
  <c r="AW51" i="11"/>
  <c r="AB19" i="16"/>
  <c r="AM69" i="11"/>
  <c r="AB9" i="16" s="1"/>
  <c r="AW69" i="11"/>
  <c r="C69" i="11"/>
  <c r="F10" i="16"/>
  <c r="C10" i="16" s="1"/>
  <c r="F9" i="16"/>
  <c r="C9" i="16" s="1"/>
  <c r="C61" i="11"/>
  <c r="AL6" i="16" s="1"/>
  <c r="F8" i="16"/>
  <c r="C8" i="16" s="1"/>
  <c r="AM27" i="11"/>
  <c r="AB39" i="16" s="1"/>
  <c r="AA39" i="16"/>
  <c r="AW38" i="11"/>
  <c r="AV55" i="11"/>
  <c r="AM70" i="11"/>
  <c r="AB23" i="16" s="1"/>
  <c r="AW27" i="11"/>
  <c r="AQ13" i="11"/>
  <c r="AD35" i="16"/>
  <c r="AV13" i="11"/>
  <c r="AW37" i="11"/>
  <c r="AW70" i="11"/>
  <c r="AM55" i="11"/>
  <c r="AM54" i="11"/>
  <c r="AM64" i="11"/>
  <c r="AM37" i="11"/>
  <c r="AU69" i="11"/>
  <c r="AM52" i="11"/>
  <c r="AW47" i="11"/>
  <c r="AU44" i="11"/>
  <c r="AB37" i="16"/>
  <c r="AU68" i="11"/>
  <c r="AB10" i="16"/>
  <c r="AM47" i="11"/>
  <c r="AB12" i="16" s="1"/>
  <c r="AA12" i="16"/>
  <c r="AV47" i="11"/>
  <c r="AM61" i="11"/>
  <c r="AM42" i="11"/>
  <c r="AM40" i="11"/>
  <c r="AB5" i="16" s="1"/>
  <c r="AV44" i="11"/>
  <c r="AB25" i="16"/>
  <c r="AM51" i="11"/>
  <c r="AV36" i="11"/>
  <c r="AV32" i="11"/>
  <c r="AV60" i="11"/>
  <c r="AW54" i="11"/>
  <c r="AM59" i="11"/>
  <c r="AB30" i="16" s="1"/>
  <c r="AA30" i="16"/>
  <c r="AW36" i="11"/>
  <c r="AM34" i="11"/>
  <c r="AB21" i="16" s="1"/>
  <c r="AA21" i="16"/>
  <c r="AM63" i="11"/>
  <c r="AB38" i="16" s="1"/>
  <c r="AA38" i="16"/>
  <c r="AW61" i="11"/>
  <c r="AL58" i="11"/>
  <c r="AA29" i="16" s="1"/>
  <c r="Z29" i="16"/>
  <c r="AV27" i="11"/>
  <c r="AM36" i="11"/>
  <c r="AB22" i="16" s="1"/>
  <c r="AU66" i="11"/>
  <c r="AB6" i="16"/>
  <c r="AM32" i="11"/>
  <c r="AM60" i="11"/>
  <c r="AV70" i="11"/>
  <c r="AW66" i="11"/>
  <c r="AW59" i="11"/>
  <c r="AW34" i="11"/>
  <c r="AM45" i="11"/>
  <c r="AB11" i="16" s="1"/>
  <c r="AA11" i="16"/>
  <c r="AU40" i="11"/>
  <c r="AW21" i="11"/>
  <c r="AU59" i="11"/>
  <c r="AV24" i="11"/>
  <c r="AM21" i="11"/>
  <c r="AB24" i="16" s="1"/>
  <c r="AM24" i="11"/>
  <c r="AB17" i="16" s="1"/>
  <c r="AM22" i="11"/>
  <c r="AB16" i="16" s="1"/>
  <c r="AV21" i="11"/>
  <c r="AW24" i="11"/>
  <c r="AW22" i="11"/>
  <c r="AW16" i="11"/>
  <c r="AU16" i="11"/>
  <c r="AW10" i="11"/>
  <c r="AU29" i="11"/>
  <c r="AW29" i="11"/>
  <c r="AW6" i="11"/>
  <c r="AW9" i="11"/>
  <c r="AU9" i="11"/>
  <c r="AU6" i="11"/>
  <c r="AU10" i="11"/>
  <c r="N4" i="14"/>
  <c r="N4" i="15"/>
  <c r="AM39" i="11"/>
  <c r="AV39" i="11"/>
  <c r="U4" i="15"/>
  <c r="U4" i="14"/>
  <c r="G12" i="11"/>
  <c r="I12" i="11" s="1"/>
  <c r="G45" i="11"/>
  <c r="I45" i="11" s="1"/>
  <c r="G63" i="11"/>
  <c r="I63" i="11" s="1"/>
  <c r="C70" i="11"/>
  <c r="AL15" i="16" s="1"/>
  <c r="C71" i="11"/>
  <c r="C68" i="11"/>
  <c r="AL7" i="16" s="1"/>
  <c r="M156" i="10"/>
  <c r="M155" i="10"/>
  <c r="M154" i="10"/>
  <c r="M153" i="10"/>
  <c r="M152" i="10"/>
  <c r="M151" i="10"/>
  <c r="M150" i="10"/>
  <c r="N150" i="10" s="1"/>
  <c r="M149" i="10"/>
  <c r="N149" i="10" s="1"/>
  <c r="F20" i="16" s="1"/>
  <c r="C20" i="16" s="1"/>
  <c r="M148" i="10"/>
  <c r="M147" i="10"/>
  <c r="M146" i="10"/>
  <c r="N146" i="10" s="1"/>
  <c r="M145" i="10"/>
  <c r="N145" i="10" s="1"/>
  <c r="M144" i="10"/>
  <c r="N144" i="10" s="1"/>
  <c r="M143" i="10"/>
  <c r="N143" i="10" s="1"/>
  <c r="M142" i="10"/>
  <c r="N142" i="10" s="1"/>
  <c r="M141" i="10"/>
  <c r="N141" i="10" s="1"/>
  <c r="M140" i="10"/>
  <c r="N140" i="10" s="1"/>
  <c r="M139" i="10"/>
  <c r="N139" i="10" s="1"/>
  <c r="M138" i="10"/>
  <c r="N138" i="10" s="1"/>
  <c r="M137" i="10"/>
  <c r="N137" i="10" s="1"/>
  <c r="M136" i="10"/>
  <c r="N136" i="10" s="1"/>
  <c r="M135" i="10"/>
  <c r="N135" i="10" s="1"/>
  <c r="M134" i="10"/>
  <c r="N134" i="10" s="1"/>
  <c r="M133" i="10"/>
  <c r="N133" i="10" s="1"/>
  <c r="M132" i="10"/>
  <c r="N132" i="10" s="1"/>
  <c r="M131" i="10"/>
  <c r="N131" i="10" s="1"/>
  <c r="M130" i="10"/>
  <c r="N130" i="10" s="1"/>
  <c r="M129" i="10"/>
  <c r="N129" i="10" s="1"/>
  <c r="M128" i="10"/>
  <c r="N128" i="10" s="1"/>
  <c r="M127" i="10"/>
  <c r="N127" i="10" s="1"/>
  <c r="M126" i="10"/>
  <c r="N126" i="10" s="1"/>
  <c r="M125" i="10"/>
  <c r="N125" i="10" s="1"/>
  <c r="M124" i="10"/>
  <c r="N124" i="10" s="1"/>
  <c r="M123" i="10"/>
  <c r="N123" i="10" s="1"/>
  <c r="M122" i="10"/>
  <c r="N122" i="10" s="1"/>
  <c r="M121" i="10"/>
  <c r="N121" i="10" s="1"/>
  <c r="M120" i="10"/>
  <c r="N120" i="10" s="1"/>
  <c r="M119" i="10"/>
  <c r="N119" i="10" s="1"/>
  <c r="M118" i="10"/>
  <c r="N118" i="10" s="1"/>
  <c r="M117" i="10"/>
  <c r="N117" i="10" s="1"/>
  <c r="M116" i="10"/>
  <c r="N116" i="10" s="1"/>
  <c r="M115" i="10"/>
  <c r="N115" i="10" s="1"/>
  <c r="M114" i="10"/>
  <c r="N114" i="10" s="1"/>
  <c r="M113" i="10"/>
  <c r="N113" i="10" s="1"/>
  <c r="M112" i="10"/>
  <c r="N112" i="10" s="1"/>
  <c r="M111" i="10"/>
  <c r="N111" i="10" s="1"/>
  <c r="M110" i="10"/>
  <c r="N110" i="10" s="1"/>
  <c r="M109" i="10"/>
  <c r="N109" i="10" s="1"/>
  <c r="M108" i="10"/>
  <c r="N108" i="10" s="1"/>
  <c r="M107" i="10"/>
  <c r="N107" i="10" s="1"/>
  <c r="M106" i="10"/>
  <c r="N106" i="10" s="1"/>
  <c r="M105" i="10"/>
  <c r="N105" i="10" s="1"/>
  <c r="M104" i="10"/>
  <c r="N104" i="10" s="1"/>
  <c r="M103" i="10"/>
  <c r="N103" i="10" s="1"/>
  <c r="M102" i="10"/>
  <c r="N102" i="10" s="1"/>
  <c r="M101" i="10"/>
  <c r="N101" i="10" s="1"/>
  <c r="M100" i="10"/>
  <c r="M99" i="10"/>
  <c r="M98" i="10"/>
  <c r="M97" i="10"/>
  <c r="M96" i="10"/>
  <c r="M95" i="10"/>
  <c r="M94" i="10"/>
  <c r="M93" i="10"/>
  <c r="M92" i="10"/>
  <c r="N92" i="10" s="1"/>
  <c r="M91" i="10"/>
  <c r="M90" i="10"/>
  <c r="M89" i="10"/>
  <c r="N89" i="10" s="1"/>
  <c r="M88" i="10"/>
  <c r="M87" i="10"/>
  <c r="N87" i="10" s="1"/>
  <c r="F38" i="16" s="1"/>
  <c r="C38" i="16" s="1"/>
  <c r="M86" i="10"/>
  <c r="N86" i="10" s="1"/>
  <c r="M85" i="10"/>
  <c r="N85" i="10" s="1"/>
  <c r="M84" i="10"/>
  <c r="M83" i="10"/>
  <c r="N83" i="10" s="1"/>
  <c r="F28" i="16" s="1"/>
  <c r="C28" i="16" s="1"/>
  <c r="M82" i="10"/>
  <c r="N82" i="10" s="1"/>
  <c r="M81" i="10"/>
  <c r="N81" i="10" s="1"/>
  <c r="M80" i="10"/>
  <c r="M79" i="10"/>
  <c r="N79" i="10" s="1"/>
  <c r="F26" i="16" s="1"/>
  <c r="C26" i="16" s="1"/>
  <c r="M78" i="10"/>
  <c r="N78" i="10" s="1"/>
  <c r="M77" i="10"/>
  <c r="N77" i="10" s="1"/>
  <c r="M76" i="10"/>
  <c r="M75" i="10"/>
  <c r="N75" i="10" s="1"/>
  <c r="M74" i="10"/>
  <c r="N74" i="10" s="1"/>
  <c r="M73" i="10"/>
  <c r="M72" i="10"/>
  <c r="M71" i="10"/>
  <c r="N71" i="10" s="1"/>
  <c r="M70" i="10"/>
  <c r="M69" i="10"/>
  <c r="M68" i="10"/>
  <c r="N68" i="10" s="1"/>
  <c r="M67" i="10"/>
  <c r="M66" i="10"/>
  <c r="M65" i="10"/>
  <c r="N65" i="10" s="1"/>
  <c r="M64" i="10"/>
  <c r="M63" i="10"/>
  <c r="M62" i="10"/>
  <c r="N62" i="10" s="1"/>
  <c r="M61" i="10"/>
  <c r="N61" i="10" s="1"/>
  <c r="M60" i="10"/>
  <c r="N60" i="10" s="1"/>
  <c r="M59" i="10"/>
  <c r="N59" i="10" s="1"/>
  <c r="M58" i="10"/>
  <c r="N58" i="10" s="1"/>
  <c r="M57" i="10"/>
  <c r="N57" i="10" s="1"/>
  <c r="M56" i="10"/>
  <c r="M55" i="10"/>
  <c r="N55" i="10" s="1"/>
  <c r="M54" i="10"/>
  <c r="M53" i="10"/>
  <c r="N53" i="10" s="1"/>
  <c r="M52" i="10"/>
  <c r="N52" i="10" s="1"/>
  <c r="M51" i="10"/>
  <c r="N51" i="10" s="1"/>
  <c r="M50" i="10"/>
  <c r="M49" i="10"/>
  <c r="N49" i="10" s="1"/>
  <c r="M48" i="10"/>
  <c r="N48" i="10" s="1"/>
  <c r="M47" i="10"/>
  <c r="N47" i="10" s="1"/>
  <c r="M46" i="10"/>
  <c r="N46" i="10" s="1"/>
  <c r="M45" i="10"/>
  <c r="M44" i="10"/>
  <c r="N44" i="10" s="1"/>
  <c r="M43" i="10"/>
  <c r="N43" i="10" s="1"/>
  <c r="M42" i="10"/>
  <c r="N42" i="10" s="1"/>
  <c r="M41" i="10"/>
  <c r="N41" i="10" s="1"/>
  <c r="M40" i="10"/>
  <c r="M39" i="10"/>
  <c r="N39" i="10" s="1"/>
  <c r="M38" i="10"/>
  <c r="N38" i="10" s="1"/>
  <c r="M37" i="10"/>
  <c r="N37" i="10" s="1"/>
  <c r="M36" i="10"/>
  <c r="N36" i="10" s="1"/>
  <c r="M35" i="10"/>
  <c r="M34" i="10"/>
  <c r="N34" i="10" s="1"/>
  <c r="M33" i="10"/>
  <c r="N33" i="10" s="1"/>
  <c r="M32" i="10"/>
  <c r="N32" i="10" s="1"/>
  <c r="F27" i="16" s="1"/>
  <c r="C27" i="16" s="1"/>
  <c r="M31" i="10"/>
  <c r="M30" i="10"/>
  <c r="N30" i="10" s="1"/>
  <c r="M29" i="10"/>
  <c r="N29" i="10" s="1"/>
  <c r="M28" i="10"/>
  <c r="M27" i="10"/>
  <c r="N27" i="10" s="1"/>
  <c r="M26" i="10"/>
  <c r="N26" i="10" s="1"/>
  <c r="M25" i="10"/>
  <c r="N25" i="10" s="1"/>
  <c r="M24" i="10"/>
  <c r="N24" i="10" s="1"/>
  <c r="M23" i="10"/>
  <c r="M22" i="10"/>
  <c r="N22" i="10" s="1"/>
  <c r="F36" i="16" s="1"/>
  <c r="C36" i="16" s="1"/>
  <c r="M21" i="10"/>
  <c r="N21" i="10" s="1"/>
  <c r="F39" i="16" s="1"/>
  <c r="C39" i="16" s="1"/>
  <c r="M20" i="10"/>
  <c r="N20" i="10" s="1"/>
  <c r="M19" i="10"/>
  <c r="N19" i="10" s="1"/>
  <c r="M18" i="10"/>
  <c r="M17" i="10"/>
  <c r="N17" i="10" s="1"/>
  <c r="F37" i="16" s="1"/>
  <c r="C37" i="16" s="1"/>
  <c r="M16" i="10"/>
  <c r="N16" i="10" s="1"/>
  <c r="F13" i="16" s="1"/>
  <c r="C13" i="16" s="1"/>
  <c r="M15" i="10"/>
  <c r="N15" i="10" s="1"/>
  <c r="M14" i="10"/>
  <c r="N14" i="10" s="1"/>
  <c r="M13" i="10"/>
  <c r="N13" i="10" s="1"/>
  <c r="M12" i="10"/>
  <c r="N12" i="10" s="1"/>
  <c r="M11" i="10"/>
  <c r="N11" i="10" s="1"/>
  <c r="M10" i="10"/>
  <c r="N10" i="10" s="1"/>
  <c r="M9" i="10"/>
  <c r="N9" i="10" s="1"/>
  <c r="M8" i="10"/>
  <c r="N8" i="10" s="1"/>
  <c r="M7" i="10"/>
  <c r="N7" i="10" s="1"/>
  <c r="F35" i="16" s="1"/>
  <c r="C35" i="16" s="1"/>
  <c r="M6" i="10"/>
  <c r="N6" i="10" s="1"/>
  <c r="M5" i="10"/>
  <c r="N5" i="10" s="1"/>
  <c r="M4" i="10"/>
  <c r="N4" i="10" s="1"/>
  <c r="AB28" i="16" l="1"/>
  <c r="V4" i="14"/>
  <c r="V4" i="15"/>
  <c r="AU21" i="11"/>
  <c r="AU34" i="11"/>
  <c r="F30" i="16"/>
  <c r="C30" i="16" s="1"/>
  <c r="F29" i="16"/>
  <c r="C29" i="16" s="1"/>
  <c r="F7" i="16"/>
  <c r="C7" i="16" s="1"/>
  <c r="F6" i="16"/>
  <c r="C6" i="16" s="1"/>
  <c r="F19" i="16"/>
  <c r="C19" i="16" s="1"/>
  <c r="F18" i="16"/>
  <c r="C18" i="16" s="1"/>
  <c r="F25" i="16"/>
  <c r="C25" i="16" s="1"/>
  <c r="F24" i="16"/>
  <c r="C24" i="16" s="1"/>
  <c r="AM58" i="11"/>
  <c r="AU58" i="11" s="1"/>
  <c r="F16" i="16"/>
  <c r="C16" i="16" s="1"/>
  <c r="F17" i="16"/>
  <c r="C17" i="16" s="1"/>
  <c r="F5" i="16"/>
  <c r="C5" i="16" s="1"/>
  <c r="F4" i="16"/>
  <c r="C4" i="16" s="1"/>
  <c r="F15" i="16"/>
  <c r="C15" i="16" s="1"/>
  <c r="F14" i="16"/>
  <c r="C14" i="16" s="1"/>
  <c r="F31" i="16"/>
  <c r="C31" i="16" s="1"/>
  <c r="F32" i="16"/>
  <c r="C32" i="16" s="1"/>
  <c r="F33" i="16"/>
  <c r="C33" i="16" s="1"/>
  <c r="F34" i="16"/>
  <c r="C34" i="16" s="1"/>
  <c r="AU39" i="11"/>
  <c r="AB4" i="16"/>
  <c r="AU54" i="11"/>
  <c r="AB33" i="16"/>
  <c r="AU47" i="11"/>
  <c r="AU60" i="11"/>
  <c r="AG20" i="16"/>
  <c r="AU27" i="11"/>
  <c r="AU42" i="11"/>
  <c r="AB27" i="16"/>
  <c r="AU32" i="11"/>
  <c r="AB36" i="16"/>
  <c r="AU37" i="11"/>
  <c r="AB26" i="16"/>
  <c r="AE35" i="16"/>
  <c r="AW13" i="11"/>
  <c r="AV58" i="11"/>
  <c r="AU64" i="11"/>
  <c r="AB7" i="16"/>
  <c r="AU70" i="11"/>
  <c r="AU61" i="11"/>
  <c r="AB8" i="16"/>
  <c r="AU55" i="11"/>
  <c r="AB34" i="16"/>
  <c r="AU36" i="11"/>
  <c r="AU51" i="11"/>
  <c r="AB31" i="16"/>
  <c r="AU52" i="11"/>
  <c r="AB32" i="16"/>
  <c r="AU22" i="11"/>
  <c r="AU24" i="11"/>
  <c r="J45" i="11"/>
  <c r="AO45" i="11"/>
  <c r="J12" i="11"/>
  <c r="AR12" i="11"/>
  <c r="AF15" i="16" s="1"/>
  <c r="AO12" i="11"/>
  <c r="AC15" i="16" s="1"/>
  <c r="J63" i="11"/>
  <c r="AR63" i="11"/>
  <c r="AO63" i="11"/>
  <c r="C19" i="11"/>
  <c r="C20" i="11"/>
  <c r="C18" i="11"/>
  <c r="C21" i="11"/>
  <c r="C17" i="11"/>
  <c r="C16" i="11"/>
  <c r="AL16" i="16" s="1"/>
  <c r="C43" i="11"/>
  <c r="C42" i="11"/>
  <c r="AL18" i="16" s="1"/>
  <c r="C63" i="11"/>
  <c r="AL26" i="16" s="1"/>
  <c r="C44" i="11"/>
  <c r="AL25" i="16" s="1"/>
  <c r="C66" i="11"/>
  <c r="C67" i="11"/>
  <c r="C65" i="11"/>
  <c r="C64" i="11"/>
  <c r="AL5" i="16" s="1"/>
  <c r="C38" i="11"/>
  <c r="AL19" i="16" s="1"/>
  <c r="C33" i="11"/>
  <c r="C32" i="11"/>
  <c r="AL24" i="16" s="1"/>
  <c r="C54" i="11"/>
  <c r="AL22" i="16" s="1"/>
  <c r="C57" i="11"/>
  <c r="C55" i="11"/>
  <c r="C56" i="11"/>
  <c r="C13" i="11"/>
  <c r="AL23" i="16" s="1"/>
  <c r="C15" i="11"/>
  <c r="C14" i="11"/>
  <c r="C37" i="11"/>
  <c r="AL17" i="16" s="1"/>
  <c r="C31" i="11"/>
  <c r="C30" i="11"/>
  <c r="C29" i="11"/>
  <c r="AL9" i="16" s="1"/>
  <c r="C10" i="11"/>
  <c r="AL10" i="16" s="1"/>
  <c r="C12" i="11"/>
  <c r="C11" i="11"/>
  <c r="C59" i="11"/>
  <c r="C58" i="11"/>
  <c r="AL20" i="16" s="1"/>
  <c r="C22" i="11"/>
  <c r="AL11" i="16" s="1"/>
  <c r="C26" i="11"/>
  <c r="C23" i="11"/>
  <c r="C25" i="11"/>
  <c r="C24" i="11"/>
  <c r="C41" i="11"/>
  <c r="C40" i="11"/>
  <c r="C39" i="11"/>
  <c r="AL4" i="16" s="1"/>
  <c r="C6" i="11"/>
  <c r="AL12" i="16" s="1"/>
  <c r="C7" i="11"/>
  <c r="C9" i="11"/>
  <c r="C8" i="11"/>
  <c r="C27" i="11"/>
  <c r="AL27" i="16" s="1"/>
  <c r="C28" i="11"/>
  <c r="C51" i="11"/>
  <c r="AL21" i="16" s="1"/>
  <c r="C52" i="11"/>
  <c r="C53" i="11"/>
  <c r="C60" i="11"/>
  <c r="AL13" i="16" s="1"/>
  <c r="C58" i="9"/>
  <c r="C38" i="9"/>
  <c r="C32" i="9"/>
  <c r="C21" i="9"/>
  <c r="C14" i="9"/>
  <c r="M223" i="3"/>
  <c r="N223" i="3" s="1"/>
  <c r="C43" i="9" s="1"/>
  <c r="M222" i="3"/>
  <c r="N222" i="3" s="1"/>
  <c r="C37" i="9" s="1"/>
  <c r="M221" i="3"/>
  <c r="N221" i="3" s="1"/>
  <c r="C16" i="9" s="1"/>
  <c r="M220" i="3"/>
  <c r="N220" i="3" s="1"/>
  <c r="C15" i="9" s="1"/>
  <c r="AB29" i="16" l="1"/>
  <c r="AS63" i="11"/>
  <c r="AF38" i="16"/>
  <c r="AP63" i="11"/>
  <c r="AC38" i="16"/>
  <c r="AP45" i="11"/>
  <c r="AV45" i="11" s="1"/>
  <c r="AC11" i="16"/>
  <c r="AP12" i="11"/>
  <c r="AD15" i="16" s="1"/>
  <c r="AS12" i="11"/>
  <c r="AG15" i="16" s="1"/>
  <c r="O39" i="16"/>
  <c r="P39" i="16" s="1"/>
  <c r="Q39" i="16" s="1"/>
  <c r="R39" i="16" s="1"/>
  <c r="S39" i="16" s="1"/>
  <c r="AI39" i="16" s="1"/>
  <c r="O31" i="16"/>
  <c r="P31" i="16" s="1"/>
  <c r="Q31" i="16" s="1"/>
  <c r="R31" i="16" s="1"/>
  <c r="S31" i="16" s="1"/>
  <c r="AI31" i="16" s="1"/>
  <c r="O23" i="16"/>
  <c r="P23" i="16" s="1"/>
  <c r="Q23" i="16" s="1"/>
  <c r="R23" i="16" s="1"/>
  <c r="S23" i="16" s="1"/>
  <c r="AI23" i="16" s="1"/>
  <c r="O15" i="16"/>
  <c r="P15" i="16" s="1"/>
  <c r="Q15" i="16" s="1"/>
  <c r="R15" i="16" s="1"/>
  <c r="S15" i="16" s="1"/>
  <c r="O7" i="16"/>
  <c r="P7" i="16" s="1"/>
  <c r="Q7" i="16" s="1"/>
  <c r="R7" i="16" s="1"/>
  <c r="S7" i="16" s="1"/>
  <c r="AI7" i="16" s="1"/>
  <c r="O30" i="16"/>
  <c r="P30" i="16" s="1"/>
  <c r="Q30" i="16" s="1"/>
  <c r="R30" i="16" s="1"/>
  <c r="S30" i="16" s="1"/>
  <c r="AI30" i="16" s="1"/>
  <c r="O14" i="16"/>
  <c r="P14" i="16" s="1"/>
  <c r="Q14" i="16" s="1"/>
  <c r="R14" i="16" s="1"/>
  <c r="S14" i="16" s="1"/>
  <c r="AI14" i="16" s="1"/>
  <c r="O38" i="16"/>
  <c r="P38" i="16" s="1"/>
  <c r="Q38" i="16" s="1"/>
  <c r="R38" i="16" s="1"/>
  <c r="S38" i="16" s="1"/>
  <c r="O37" i="16"/>
  <c r="P37" i="16" s="1"/>
  <c r="Q37" i="16" s="1"/>
  <c r="R37" i="16" s="1"/>
  <c r="S37" i="16" s="1"/>
  <c r="AI37" i="16" s="1"/>
  <c r="O29" i="16"/>
  <c r="P29" i="16" s="1"/>
  <c r="Q29" i="16" s="1"/>
  <c r="R29" i="16" s="1"/>
  <c r="S29" i="16" s="1"/>
  <c r="AI29" i="16" s="1"/>
  <c r="O21" i="16"/>
  <c r="P21" i="16" s="1"/>
  <c r="Q21" i="16" s="1"/>
  <c r="R21" i="16" s="1"/>
  <c r="S21" i="16" s="1"/>
  <c r="AI21" i="16" s="1"/>
  <c r="O13" i="16"/>
  <c r="P13" i="16" s="1"/>
  <c r="Q13" i="16" s="1"/>
  <c r="R13" i="16" s="1"/>
  <c r="S13" i="16" s="1"/>
  <c r="AI13" i="16" s="1"/>
  <c r="O5" i="16"/>
  <c r="P5" i="16" s="1"/>
  <c r="Q5" i="16" s="1"/>
  <c r="R5" i="16" s="1"/>
  <c r="S5" i="16" s="1"/>
  <c r="AI5" i="16" s="1"/>
  <c r="O36" i="16"/>
  <c r="P36" i="16" s="1"/>
  <c r="Q36" i="16" s="1"/>
  <c r="R36" i="16" s="1"/>
  <c r="S36" i="16" s="1"/>
  <c r="AI36" i="16" s="1"/>
  <c r="O28" i="16"/>
  <c r="P28" i="16" s="1"/>
  <c r="Q28" i="16" s="1"/>
  <c r="R28" i="16" s="1"/>
  <c r="S28" i="16" s="1"/>
  <c r="AI28" i="16" s="1"/>
  <c r="O20" i="16"/>
  <c r="P20" i="16" s="1"/>
  <c r="Q20" i="16" s="1"/>
  <c r="R20" i="16" s="1"/>
  <c r="S20" i="16" s="1"/>
  <c r="AI20" i="16" s="1"/>
  <c r="O12" i="16"/>
  <c r="P12" i="16" s="1"/>
  <c r="Q12" i="16" s="1"/>
  <c r="R12" i="16" s="1"/>
  <c r="S12" i="16" s="1"/>
  <c r="AI12" i="16" s="1"/>
  <c r="O4" i="16"/>
  <c r="P4" i="16" s="1"/>
  <c r="Q4" i="16" s="1"/>
  <c r="R4" i="16" s="1"/>
  <c r="S4" i="16" s="1"/>
  <c r="AI4" i="16" s="1"/>
  <c r="O35" i="16"/>
  <c r="P35" i="16" s="1"/>
  <c r="Q35" i="16" s="1"/>
  <c r="R35" i="16" s="1"/>
  <c r="S35" i="16" s="1"/>
  <c r="AI35" i="16" s="1"/>
  <c r="O27" i="16"/>
  <c r="P27" i="16" s="1"/>
  <c r="Q27" i="16" s="1"/>
  <c r="R27" i="16" s="1"/>
  <c r="S27" i="16" s="1"/>
  <c r="AI27" i="16" s="1"/>
  <c r="O19" i="16"/>
  <c r="P19" i="16" s="1"/>
  <c r="Q19" i="16" s="1"/>
  <c r="R19" i="16" s="1"/>
  <c r="S19" i="16" s="1"/>
  <c r="AI19" i="16" s="1"/>
  <c r="O11" i="16"/>
  <c r="P11" i="16" s="1"/>
  <c r="Q11" i="16" s="1"/>
  <c r="R11" i="16" s="1"/>
  <c r="S11" i="16" s="1"/>
  <c r="O34" i="16"/>
  <c r="P34" i="16" s="1"/>
  <c r="Q34" i="16" s="1"/>
  <c r="R34" i="16" s="1"/>
  <c r="S34" i="16" s="1"/>
  <c r="AI34" i="16" s="1"/>
  <c r="O26" i="16"/>
  <c r="P26" i="16" s="1"/>
  <c r="Q26" i="16" s="1"/>
  <c r="R26" i="16" s="1"/>
  <c r="S26" i="16" s="1"/>
  <c r="AI26" i="16" s="1"/>
  <c r="O10" i="16"/>
  <c r="P10" i="16" s="1"/>
  <c r="Q10" i="16" s="1"/>
  <c r="R10" i="16" s="1"/>
  <c r="S10" i="16" s="1"/>
  <c r="AI10" i="16" s="1"/>
  <c r="O33" i="16"/>
  <c r="P33" i="16" s="1"/>
  <c r="Q33" i="16" s="1"/>
  <c r="R33" i="16" s="1"/>
  <c r="S33" i="16" s="1"/>
  <c r="AI33" i="16" s="1"/>
  <c r="O17" i="16"/>
  <c r="P17" i="16" s="1"/>
  <c r="Q17" i="16" s="1"/>
  <c r="R17" i="16" s="1"/>
  <c r="S17" i="16" s="1"/>
  <c r="AI17" i="16" s="1"/>
  <c r="O9" i="16"/>
  <c r="P9" i="16" s="1"/>
  <c r="Q9" i="16" s="1"/>
  <c r="R9" i="16" s="1"/>
  <c r="S9" i="16" s="1"/>
  <c r="AI9" i="16" s="1"/>
  <c r="O25" i="16"/>
  <c r="P25" i="16" s="1"/>
  <c r="Q25" i="16" s="1"/>
  <c r="R25" i="16" s="1"/>
  <c r="S25" i="16" s="1"/>
  <c r="AI25" i="16" s="1"/>
  <c r="O32" i="16"/>
  <c r="P32" i="16" s="1"/>
  <c r="Q32" i="16" s="1"/>
  <c r="R32" i="16" s="1"/>
  <c r="S32" i="16" s="1"/>
  <c r="AI32" i="16" s="1"/>
  <c r="O24" i="16"/>
  <c r="P24" i="16" s="1"/>
  <c r="Q24" i="16" s="1"/>
  <c r="R24" i="16" s="1"/>
  <c r="S24" i="16" s="1"/>
  <c r="AI24" i="16" s="1"/>
  <c r="O16" i="16"/>
  <c r="P16" i="16" s="1"/>
  <c r="Q16" i="16" s="1"/>
  <c r="R16" i="16" s="1"/>
  <c r="S16" i="16" s="1"/>
  <c r="AI16" i="16" s="1"/>
  <c r="O8" i="16"/>
  <c r="P8" i="16" s="1"/>
  <c r="Q8" i="16" s="1"/>
  <c r="R8" i="16" s="1"/>
  <c r="S8" i="16" s="1"/>
  <c r="AI8" i="16" s="1"/>
  <c r="O22" i="16"/>
  <c r="P22" i="16" s="1"/>
  <c r="Q22" i="16" s="1"/>
  <c r="R22" i="16" s="1"/>
  <c r="S22" i="16" s="1"/>
  <c r="AI22" i="16" s="1"/>
  <c r="O6" i="16"/>
  <c r="P6" i="16" s="1"/>
  <c r="Q6" i="16" s="1"/>
  <c r="R6" i="16" s="1"/>
  <c r="S6" i="16" s="1"/>
  <c r="AI6" i="16" s="1"/>
  <c r="O18" i="16"/>
  <c r="P18" i="16" s="1"/>
  <c r="Q18" i="16" s="1"/>
  <c r="R18" i="16" s="1"/>
  <c r="S18" i="16" s="1"/>
  <c r="AI18" i="16" s="1"/>
  <c r="G4" i="15"/>
  <c r="G4" i="14"/>
  <c r="S4" i="15"/>
  <c r="S4" i="14"/>
  <c r="K12" i="11"/>
  <c r="J4" i="14"/>
  <c r="J4" i="15"/>
  <c r="T4" i="14"/>
  <c r="T4" i="15"/>
  <c r="R4" i="14"/>
  <c r="R4" i="15"/>
  <c r="M4" i="15"/>
  <c r="M4" i="14"/>
  <c r="P4" i="15"/>
  <c r="P4" i="14"/>
  <c r="O4" i="15"/>
  <c r="O4" i="14"/>
  <c r="AU63" i="11"/>
  <c r="L4" i="15"/>
  <c r="L4" i="14"/>
  <c r="F4" i="15"/>
  <c r="F4" i="14"/>
  <c r="W4" i="15"/>
  <c r="W4" i="14"/>
  <c r="X4" i="15"/>
  <c r="X4" i="14"/>
  <c r="AU12" i="11"/>
  <c r="Q4" i="14"/>
  <c r="Q4" i="15"/>
  <c r="Y4" i="14"/>
  <c r="Y4" i="15"/>
  <c r="Z4" i="14"/>
  <c r="Z4" i="15"/>
  <c r="K45" i="11"/>
  <c r="K4" i="14"/>
  <c r="K4" i="15"/>
  <c r="H4" i="14"/>
  <c r="H4" i="15"/>
  <c r="AA4" i="15"/>
  <c r="AA4" i="14"/>
  <c r="I4" i="14"/>
  <c r="I4" i="15"/>
  <c r="K63" i="11"/>
  <c r="AU45" i="11"/>
  <c r="M219" i="3"/>
  <c r="N219" i="3" s="1"/>
  <c r="C61" i="9" s="1"/>
  <c r="M218" i="3"/>
  <c r="N218" i="3" s="1"/>
  <c r="M217" i="3"/>
  <c r="N217" i="3" s="1"/>
  <c r="M216" i="3"/>
  <c r="N216" i="3" s="1"/>
  <c r="M215" i="3"/>
  <c r="N215" i="3" s="1"/>
  <c r="M214" i="3"/>
  <c r="N214" i="3" s="1"/>
  <c r="M213" i="3"/>
  <c r="N213" i="3" s="1"/>
  <c r="M212" i="3"/>
  <c r="N212" i="3" s="1"/>
  <c r="M211" i="3"/>
  <c r="N211" i="3" s="1"/>
  <c r="M210" i="3"/>
  <c r="N210" i="3" s="1"/>
  <c r="M209" i="3"/>
  <c r="N209" i="3" s="1"/>
  <c r="M208" i="3"/>
  <c r="N208" i="3" s="1"/>
  <c r="M207" i="3"/>
  <c r="N207" i="3" s="1"/>
  <c r="C59" i="9" s="1"/>
  <c r="M206" i="3"/>
  <c r="N206" i="3" s="1"/>
  <c r="M205" i="3"/>
  <c r="N205" i="3" s="1"/>
  <c r="M204" i="3"/>
  <c r="N204" i="3" s="1"/>
  <c r="M203" i="3"/>
  <c r="N203" i="3" s="1"/>
  <c r="M202" i="3"/>
  <c r="N202" i="3" s="1"/>
  <c r="M201" i="3"/>
  <c r="N201" i="3" s="1"/>
  <c r="M200" i="3"/>
  <c r="N200" i="3" s="1"/>
  <c r="C60" i="9" s="1"/>
  <c r="M199" i="3"/>
  <c r="N199" i="3" s="1"/>
  <c r="C57" i="9" s="1"/>
  <c r="M198" i="3"/>
  <c r="N198" i="3" s="1"/>
  <c r="C56" i="9" s="1"/>
  <c r="M197" i="3"/>
  <c r="N197" i="3" s="1"/>
  <c r="C55" i="9" s="1"/>
  <c r="M196" i="3"/>
  <c r="N196" i="3" s="1"/>
  <c r="C54" i="9" s="1"/>
  <c r="M195" i="3"/>
  <c r="N195" i="3" s="1"/>
  <c r="C53" i="9" s="1"/>
  <c r="M194" i="3"/>
  <c r="N194" i="3" s="1"/>
  <c r="C52" i="9" s="1"/>
  <c r="M193" i="3"/>
  <c r="N193" i="3" s="1"/>
  <c r="C51" i="9" s="1"/>
  <c r="M192" i="3"/>
  <c r="N192" i="3" s="1"/>
  <c r="C50" i="9" s="1"/>
  <c r="M191" i="3"/>
  <c r="N191" i="3" s="1"/>
  <c r="C49" i="9" s="1"/>
  <c r="M190" i="3"/>
  <c r="N190" i="3" s="1"/>
  <c r="C48" i="9" s="1"/>
  <c r="M189" i="3"/>
  <c r="N189" i="3" s="1"/>
  <c r="C47" i="9" s="1"/>
  <c r="M188" i="3"/>
  <c r="N188" i="3" s="1"/>
  <c r="C46" i="9" s="1"/>
  <c r="M187" i="3"/>
  <c r="M186" i="3"/>
  <c r="N186" i="3" s="1"/>
  <c r="M185" i="3"/>
  <c r="N185" i="3" s="1"/>
  <c r="C45" i="9" s="1"/>
  <c r="M184" i="3"/>
  <c r="N184" i="3" s="1"/>
  <c r="M183" i="3"/>
  <c r="N183" i="3" s="1"/>
  <c r="C39" i="9" s="1"/>
  <c r="M182" i="3"/>
  <c r="M181" i="3"/>
  <c r="M180" i="3"/>
  <c r="M179" i="3"/>
  <c r="M178" i="3"/>
  <c r="N178" i="3" s="1"/>
  <c r="M177" i="3"/>
  <c r="N177" i="3" s="1"/>
  <c r="M176" i="3"/>
  <c r="N176" i="3" s="1"/>
  <c r="M175" i="3"/>
  <c r="N175" i="3" s="1"/>
  <c r="M174" i="3"/>
  <c r="N174" i="3" s="1"/>
  <c r="M173" i="3"/>
  <c r="N173" i="3" s="1"/>
  <c r="M172" i="3"/>
  <c r="N172" i="3" s="1"/>
  <c r="M171" i="3"/>
  <c r="N171" i="3" s="1"/>
  <c r="C42" i="9" s="1"/>
  <c r="M170" i="3"/>
  <c r="M169" i="3"/>
  <c r="M168" i="3"/>
  <c r="N168" i="3" s="1"/>
  <c r="M167" i="3"/>
  <c r="N167" i="3" s="1"/>
  <c r="M166" i="3"/>
  <c r="N166" i="3" s="1"/>
  <c r="M165" i="3"/>
  <c r="N165" i="3" s="1"/>
  <c r="C34" i="9" s="1"/>
  <c r="M164" i="3"/>
  <c r="N164" i="3" s="1"/>
  <c r="M163" i="3"/>
  <c r="N163" i="3" s="1"/>
  <c r="M162" i="3"/>
  <c r="N162" i="3" s="1"/>
  <c r="M161" i="3"/>
  <c r="N161" i="3" s="1"/>
  <c r="M160" i="3"/>
  <c r="M159" i="3"/>
  <c r="M158" i="3"/>
  <c r="M157" i="3"/>
  <c r="M156" i="3"/>
  <c r="N156" i="3" s="1"/>
  <c r="M155" i="3"/>
  <c r="N155" i="3" s="1"/>
  <c r="M154" i="3"/>
  <c r="M153" i="3"/>
  <c r="M152" i="3"/>
  <c r="M151" i="3"/>
  <c r="M150" i="3"/>
  <c r="M149" i="3"/>
  <c r="M148" i="3"/>
  <c r="N148" i="3" s="1"/>
  <c r="M147" i="3"/>
  <c r="N147" i="3" s="1"/>
  <c r="M146" i="3"/>
  <c r="N146" i="3" s="1"/>
  <c r="M145" i="3"/>
  <c r="N145" i="3" s="1"/>
  <c r="C41" i="9" s="1"/>
  <c r="M144" i="3"/>
  <c r="N144" i="3" s="1"/>
  <c r="M143" i="3"/>
  <c r="N143" i="3" s="1"/>
  <c r="C36" i="9" s="1"/>
  <c r="M142" i="3"/>
  <c r="N142" i="3" s="1"/>
  <c r="M141" i="3"/>
  <c r="N141" i="3" s="1"/>
  <c r="C40" i="9" s="1"/>
  <c r="M140" i="3"/>
  <c r="M139" i="3"/>
  <c r="M138" i="3"/>
  <c r="N138" i="3" s="1"/>
  <c r="M137" i="3"/>
  <c r="N137" i="3" s="1"/>
  <c r="C35" i="9" s="1"/>
  <c r="M136" i="3"/>
  <c r="N136" i="3" s="1"/>
  <c r="M135" i="3"/>
  <c r="N135" i="3" s="1"/>
  <c r="C33" i="9" s="1"/>
  <c r="M134" i="3"/>
  <c r="N134" i="3" s="1"/>
  <c r="M133" i="3"/>
  <c r="N133" i="3" s="1"/>
  <c r="C62" i="9" s="1"/>
  <c r="M132" i="3"/>
  <c r="M131" i="3"/>
  <c r="N131" i="3" s="1"/>
  <c r="C30" i="9" s="1"/>
  <c r="M130" i="3"/>
  <c r="M129" i="3"/>
  <c r="M128" i="3"/>
  <c r="M127" i="3"/>
  <c r="M126" i="3"/>
  <c r="N126" i="3" s="1"/>
  <c r="C31" i="9" s="1"/>
  <c r="M125" i="3"/>
  <c r="M124" i="3"/>
  <c r="N124" i="3" s="1"/>
  <c r="C29" i="9" s="1"/>
  <c r="M123" i="3"/>
  <c r="N123" i="3" s="1"/>
  <c r="C25" i="9" s="1"/>
  <c r="M122" i="3"/>
  <c r="N122" i="3" s="1"/>
  <c r="C28" i="9" s="1"/>
  <c r="M121" i="3"/>
  <c r="N121" i="3" s="1"/>
  <c r="C27" i="9" s="1"/>
  <c r="M120" i="3"/>
  <c r="M119" i="3"/>
  <c r="M118" i="3"/>
  <c r="M117" i="3"/>
  <c r="M116" i="3"/>
  <c r="M115" i="3"/>
  <c r="M114" i="3"/>
  <c r="N114" i="3" s="1"/>
  <c r="M113" i="3"/>
  <c r="N113" i="3" s="1"/>
  <c r="M112" i="3"/>
  <c r="N112" i="3" s="1"/>
  <c r="M111" i="3"/>
  <c r="N111" i="3" s="1"/>
  <c r="M110" i="3"/>
  <c r="N110" i="3" s="1"/>
  <c r="M109" i="3"/>
  <c r="N109" i="3" s="1"/>
  <c r="M108" i="3"/>
  <c r="N108" i="3" s="1"/>
  <c r="M107" i="3"/>
  <c r="N107" i="3" s="1"/>
  <c r="C24" i="9" s="1"/>
  <c r="M106" i="3"/>
  <c r="N106" i="3" s="1"/>
  <c r="M105" i="3"/>
  <c r="N105" i="3" s="1"/>
  <c r="M104" i="3"/>
  <c r="N104" i="3" s="1"/>
  <c r="C26" i="9" s="1"/>
  <c r="M103" i="3"/>
  <c r="N103" i="3" s="1"/>
  <c r="C23" i="9" s="1"/>
  <c r="M102" i="3"/>
  <c r="N102" i="3" s="1"/>
  <c r="M101" i="3"/>
  <c r="N101" i="3" s="1"/>
  <c r="M100" i="3"/>
  <c r="M99" i="3"/>
  <c r="M98" i="3"/>
  <c r="M97" i="3"/>
  <c r="N97" i="3" s="1"/>
  <c r="M96" i="3"/>
  <c r="N96" i="3" s="1"/>
  <c r="M95" i="3"/>
  <c r="N95" i="3" s="1"/>
  <c r="M94" i="3"/>
  <c r="N94" i="3" s="1"/>
  <c r="C20" i="9" s="1"/>
  <c r="M93" i="3"/>
  <c r="N93" i="3" s="1"/>
  <c r="M92" i="3"/>
  <c r="N92" i="3" s="1"/>
  <c r="M91" i="3"/>
  <c r="N91" i="3" s="1"/>
  <c r="M90" i="3"/>
  <c r="N90" i="3" s="1"/>
  <c r="M89" i="3"/>
  <c r="N89" i="3" s="1"/>
  <c r="M88" i="3"/>
  <c r="N88" i="3" s="1"/>
  <c r="C19" i="9" s="1"/>
  <c r="M87" i="3"/>
  <c r="N87" i="3" s="1"/>
  <c r="M86" i="3"/>
  <c r="N86" i="3" s="1"/>
  <c r="C18" i="9" s="1"/>
  <c r="M85" i="3"/>
  <c r="N85" i="3" s="1"/>
  <c r="M84" i="3"/>
  <c r="N84" i="3" s="1"/>
  <c r="M83" i="3"/>
  <c r="N83" i="3" s="1"/>
  <c r="M82" i="3"/>
  <c r="N82" i="3" s="1"/>
  <c r="M81" i="3"/>
  <c r="N81" i="3" s="1"/>
  <c r="M80" i="3"/>
  <c r="N80" i="3" s="1"/>
  <c r="M79" i="3"/>
  <c r="N79" i="3" s="1"/>
  <c r="M78" i="3"/>
  <c r="N78" i="3" s="1"/>
  <c r="M77" i="3"/>
  <c r="N77" i="3" s="1"/>
  <c r="M76" i="3"/>
  <c r="N76" i="3" s="1"/>
  <c r="M75" i="3"/>
  <c r="N75" i="3" s="1"/>
  <c r="M74" i="3"/>
  <c r="N74" i="3" s="1"/>
  <c r="M73" i="3"/>
  <c r="N73" i="3" s="1"/>
  <c r="M72" i="3"/>
  <c r="N72" i="3" s="1"/>
  <c r="M71" i="3"/>
  <c r="N71" i="3" s="1"/>
  <c r="M70" i="3"/>
  <c r="N70" i="3" s="1"/>
  <c r="M69" i="3"/>
  <c r="N69" i="3" s="1"/>
  <c r="M68" i="3"/>
  <c r="N68" i="3" s="1"/>
  <c r="M67" i="3"/>
  <c r="N67" i="3" s="1"/>
  <c r="M66" i="3"/>
  <c r="N66" i="3" s="1"/>
  <c r="M65" i="3"/>
  <c r="N65" i="3" s="1"/>
  <c r="M64" i="3"/>
  <c r="N64" i="3" s="1"/>
  <c r="M63" i="3"/>
  <c r="N63" i="3" s="1"/>
  <c r="M62" i="3"/>
  <c r="N62" i="3" s="1"/>
  <c r="C17" i="9" s="1"/>
  <c r="M61" i="3"/>
  <c r="M60" i="3"/>
  <c r="M59" i="3"/>
  <c r="M58" i="3"/>
  <c r="N58" i="3" s="1"/>
  <c r="M57" i="3"/>
  <c r="N57" i="3" s="1"/>
  <c r="M56" i="3"/>
  <c r="N56" i="3" s="1"/>
  <c r="M55" i="3"/>
  <c r="N55" i="3" s="1"/>
  <c r="M54" i="3"/>
  <c r="N54" i="3" s="1"/>
  <c r="M53" i="3"/>
  <c r="N53" i="3" s="1"/>
  <c r="M52" i="3"/>
  <c r="M51" i="3"/>
  <c r="M50" i="3"/>
  <c r="N50" i="3" s="1"/>
  <c r="C22" i="9" s="1"/>
  <c r="M49" i="3"/>
  <c r="N49" i="3" s="1"/>
  <c r="C44" i="9" s="1"/>
  <c r="M48" i="3"/>
  <c r="N48" i="3" s="1"/>
  <c r="M47" i="3"/>
  <c r="N47" i="3" s="1"/>
  <c r="C12" i="9" s="1"/>
  <c r="M46" i="3"/>
  <c r="N46" i="3" s="1"/>
  <c r="M45" i="3"/>
  <c r="N45" i="3" s="1"/>
  <c r="M44" i="3"/>
  <c r="N44" i="3" s="1"/>
  <c r="M43" i="3"/>
  <c r="N43" i="3" s="1"/>
  <c r="M42" i="3"/>
  <c r="N42" i="3" s="1"/>
  <c r="M41" i="3"/>
  <c r="N41" i="3" s="1"/>
  <c r="C13" i="9" s="1"/>
  <c r="M40" i="3"/>
  <c r="N40" i="3" s="1"/>
  <c r="M39" i="3"/>
  <c r="N39" i="3" s="1"/>
  <c r="M38" i="3"/>
  <c r="N38" i="3" s="1"/>
  <c r="M37" i="3"/>
  <c r="N37" i="3" s="1"/>
  <c r="M36" i="3"/>
  <c r="N36" i="3" s="1"/>
  <c r="M35" i="3"/>
  <c r="N35" i="3" s="1"/>
  <c r="C11" i="9" s="1"/>
  <c r="M34" i="3"/>
  <c r="M33" i="3"/>
  <c r="M32" i="3"/>
  <c r="M31" i="3"/>
  <c r="M30" i="3"/>
  <c r="N30" i="3" s="1"/>
  <c r="C8" i="9" s="1"/>
  <c r="M29" i="3"/>
  <c r="M28" i="3"/>
  <c r="M27" i="3"/>
  <c r="N27" i="3" s="1"/>
  <c r="M26" i="3"/>
  <c r="N26" i="3" s="1"/>
  <c r="M25" i="3"/>
  <c r="N25" i="3" s="1"/>
  <c r="M24" i="3"/>
  <c r="N24" i="3" s="1"/>
  <c r="M23" i="3"/>
  <c r="N23" i="3" s="1"/>
  <c r="C7" i="9" s="1"/>
  <c r="M22" i="3"/>
  <c r="N22" i="3" s="1"/>
  <c r="M21" i="3"/>
  <c r="N21" i="3" s="1"/>
  <c r="C6" i="9" s="1"/>
  <c r="M20" i="3"/>
  <c r="N20" i="3" s="1"/>
  <c r="M19" i="3"/>
  <c r="N19" i="3" s="1"/>
  <c r="M18" i="3"/>
  <c r="N18" i="3" s="1"/>
  <c r="M17" i="3"/>
  <c r="N17" i="3" s="1"/>
  <c r="M16" i="3"/>
  <c r="N16" i="3" s="1"/>
  <c r="M15" i="3"/>
  <c r="N15" i="3" s="1"/>
  <c r="M14" i="3"/>
  <c r="N14" i="3" s="1"/>
  <c r="M13" i="3"/>
  <c r="N13" i="3" s="1"/>
  <c r="M12" i="3"/>
  <c r="N12" i="3" s="1"/>
  <c r="C5" i="9" s="1"/>
  <c r="M11" i="3"/>
  <c r="N11" i="3" s="1"/>
  <c r="C10" i="9" s="1"/>
  <c r="M10" i="3"/>
  <c r="N10" i="3" s="1"/>
  <c r="C9" i="9" s="1"/>
  <c r="M9" i="3"/>
  <c r="N9" i="3" s="1"/>
  <c r="M8" i="3"/>
  <c r="N8" i="3" s="1"/>
  <c r="M7" i="3"/>
  <c r="N7" i="3" s="1"/>
  <c r="M6" i="3"/>
  <c r="N6" i="3" s="1"/>
  <c r="M5" i="3"/>
  <c r="N5" i="3" s="1"/>
  <c r="M4" i="3"/>
  <c r="N4" i="3" s="1"/>
  <c r="C4" i="9" s="1"/>
  <c r="O15" i="7"/>
  <c r="O20" i="7"/>
  <c r="M194" i="8"/>
  <c r="N194" i="8" s="1"/>
  <c r="M193" i="8"/>
  <c r="N193" i="8" s="1"/>
  <c r="C63" i="7" s="1"/>
  <c r="M192" i="8"/>
  <c r="N192" i="8" s="1"/>
  <c r="M191" i="8"/>
  <c r="M190" i="8"/>
  <c r="N190" i="8" s="1"/>
  <c r="M189" i="8"/>
  <c r="N189" i="8" s="1"/>
  <c r="M188" i="8"/>
  <c r="N188" i="8" s="1"/>
  <c r="M187" i="8"/>
  <c r="N187" i="8" s="1"/>
  <c r="M186" i="8"/>
  <c r="N186" i="8" s="1"/>
  <c r="M185" i="8"/>
  <c r="N185" i="8" s="1"/>
  <c r="M184" i="8"/>
  <c r="N184" i="8" s="1"/>
  <c r="M183" i="8"/>
  <c r="N183" i="8" s="1"/>
  <c r="M182" i="8"/>
  <c r="N182" i="8" s="1"/>
  <c r="M181" i="8"/>
  <c r="M180" i="8"/>
  <c r="M179" i="8"/>
  <c r="M178" i="8"/>
  <c r="N178" i="8" s="1"/>
  <c r="M177" i="8"/>
  <c r="N177" i="8" s="1"/>
  <c r="M176" i="8"/>
  <c r="N176" i="8" s="1"/>
  <c r="M175" i="8"/>
  <c r="N175" i="8" s="1"/>
  <c r="M174" i="8"/>
  <c r="M173" i="8"/>
  <c r="M172" i="8"/>
  <c r="M171" i="8"/>
  <c r="N171" i="8" s="1"/>
  <c r="M170" i="8"/>
  <c r="N170" i="8" s="1"/>
  <c r="M169" i="8"/>
  <c r="M168" i="8"/>
  <c r="M167" i="8"/>
  <c r="N167" i="8" s="1"/>
  <c r="M166" i="8"/>
  <c r="N166" i="8" s="1"/>
  <c r="M165" i="8"/>
  <c r="N165" i="8" s="1"/>
  <c r="M164" i="8"/>
  <c r="M163" i="8"/>
  <c r="N163" i="8" s="1"/>
  <c r="M162" i="8"/>
  <c r="N162" i="8" s="1"/>
  <c r="M161" i="8"/>
  <c r="N161" i="8" s="1"/>
  <c r="M160" i="8"/>
  <c r="M159" i="8"/>
  <c r="M158" i="8"/>
  <c r="M157" i="8"/>
  <c r="M156" i="8"/>
  <c r="M155" i="8"/>
  <c r="M154" i="8"/>
  <c r="M153" i="8"/>
  <c r="M152" i="8"/>
  <c r="M151" i="8"/>
  <c r="M150" i="8"/>
  <c r="M149" i="8"/>
  <c r="M148" i="8"/>
  <c r="M147" i="8"/>
  <c r="M146" i="8"/>
  <c r="N146" i="8" s="1"/>
  <c r="M145" i="8"/>
  <c r="N145" i="8" s="1"/>
  <c r="M144" i="8"/>
  <c r="N144" i="8" s="1"/>
  <c r="M143" i="8"/>
  <c r="N143" i="8" s="1"/>
  <c r="M142" i="8"/>
  <c r="N142" i="8" s="1"/>
  <c r="M141" i="8"/>
  <c r="N141" i="8" s="1"/>
  <c r="M140" i="8"/>
  <c r="N140" i="8" s="1"/>
  <c r="M139" i="8"/>
  <c r="N139" i="8" s="1"/>
  <c r="M138" i="8"/>
  <c r="N138" i="8" s="1"/>
  <c r="M137" i="8"/>
  <c r="N137" i="8" s="1"/>
  <c r="M136" i="8"/>
  <c r="N136" i="8" s="1"/>
  <c r="M135" i="8"/>
  <c r="N135" i="8" s="1"/>
  <c r="M134" i="8"/>
  <c r="N134" i="8" s="1"/>
  <c r="M133" i="8"/>
  <c r="N133" i="8" s="1"/>
  <c r="M132" i="8"/>
  <c r="N132" i="8" s="1"/>
  <c r="M131" i="8"/>
  <c r="N131" i="8" s="1"/>
  <c r="M130" i="8"/>
  <c r="N130" i="8" s="1"/>
  <c r="M129" i="8"/>
  <c r="N129" i="8" s="1"/>
  <c r="M128" i="8"/>
  <c r="N128" i="8" s="1"/>
  <c r="M127" i="8"/>
  <c r="N127" i="8" s="1"/>
  <c r="M126" i="8"/>
  <c r="N126" i="8" s="1"/>
  <c r="M125" i="8"/>
  <c r="N125" i="8" s="1"/>
  <c r="M124" i="8"/>
  <c r="N124" i="8" s="1"/>
  <c r="M123" i="8"/>
  <c r="N123" i="8" s="1"/>
  <c r="M122" i="8"/>
  <c r="N122" i="8" s="1"/>
  <c r="M121" i="8"/>
  <c r="N121" i="8" s="1"/>
  <c r="M120" i="8"/>
  <c r="N120" i="8" s="1"/>
  <c r="M119" i="8"/>
  <c r="N119" i="8" s="1"/>
  <c r="M118" i="8"/>
  <c r="N118" i="8" s="1"/>
  <c r="M117" i="8"/>
  <c r="N117" i="8" s="1"/>
  <c r="M116" i="8"/>
  <c r="N116" i="8" s="1"/>
  <c r="M115" i="8"/>
  <c r="N115" i="8" s="1"/>
  <c r="M114" i="8"/>
  <c r="N114" i="8" s="1"/>
  <c r="M113" i="8"/>
  <c r="N113" i="8" s="1"/>
  <c r="M112" i="8"/>
  <c r="N112" i="8" s="1"/>
  <c r="M111" i="8"/>
  <c r="N111" i="8" s="1"/>
  <c r="M110" i="8"/>
  <c r="N110" i="8" s="1"/>
  <c r="M109" i="8"/>
  <c r="N109" i="8" s="1"/>
  <c r="M108" i="8"/>
  <c r="N108" i="8" s="1"/>
  <c r="M107" i="8"/>
  <c r="N107" i="8" s="1"/>
  <c r="M106" i="8"/>
  <c r="N106" i="8" s="1"/>
  <c r="M105" i="8"/>
  <c r="N105" i="8" s="1"/>
  <c r="M104" i="8"/>
  <c r="N104" i="8" s="1"/>
  <c r="M103" i="8"/>
  <c r="N103" i="8" s="1"/>
  <c r="M102" i="8"/>
  <c r="N102" i="8" s="1"/>
  <c r="M101" i="8"/>
  <c r="N101" i="8" s="1"/>
  <c r="M100" i="8"/>
  <c r="N100" i="8" s="1"/>
  <c r="M99" i="8"/>
  <c r="N99" i="8" s="1"/>
  <c r="M98" i="8"/>
  <c r="N98" i="8" s="1"/>
  <c r="M97" i="8"/>
  <c r="N97" i="8" s="1"/>
  <c r="M96" i="8"/>
  <c r="N96" i="8" s="1"/>
  <c r="M95" i="8"/>
  <c r="N95" i="8" s="1"/>
  <c r="M94" i="8"/>
  <c r="N94" i="8" s="1"/>
  <c r="M93" i="8"/>
  <c r="N93" i="8" s="1"/>
  <c r="M92" i="8"/>
  <c r="N92" i="8" s="1"/>
  <c r="M91" i="8"/>
  <c r="N91" i="8" s="1"/>
  <c r="M90" i="8"/>
  <c r="N90" i="8" s="1"/>
  <c r="M89" i="8"/>
  <c r="N89" i="8" s="1"/>
  <c r="M88" i="8"/>
  <c r="N88" i="8" s="1"/>
  <c r="M87" i="8"/>
  <c r="N87" i="8" s="1"/>
  <c r="M86" i="8"/>
  <c r="N86" i="8" s="1"/>
  <c r="M85" i="8"/>
  <c r="N85" i="8" s="1"/>
  <c r="M84" i="8"/>
  <c r="N84" i="8" s="1"/>
  <c r="M83" i="8"/>
  <c r="N83" i="8" s="1"/>
  <c r="M82" i="8"/>
  <c r="N82" i="8" s="1"/>
  <c r="M81" i="8"/>
  <c r="N81" i="8" s="1"/>
  <c r="M80" i="8"/>
  <c r="N80" i="8" s="1"/>
  <c r="M79" i="8"/>
  <c r="N79" i="8" s="1"/>
  <c r="M78" i="8"/>
  <c r="N78" i="8" s="1"/>
  <c r="M77" i="8"/>
  <c r="N77" i="8" s="1"/>
  <c r="M76" i="8"/>
  <c r="N76" i="8" s="1"/>
  <c r="M75" i="8"/>
  <c r="N75" i="8" s="1"/>
  <c r="M74" i="8"/>
  <c r="N74" i="8" s="1"/>
  <c r="M73" i="8"/>
  <c r="N73" i="8" s="1"/>
  <c r="M72" i="8"/>
  <c r="N72" i="8" s="1"/>
  <c r="M71" i="8"/>
  <c r="N71" i="8" s="1"/>
  <c r="M70" i="8"/>
  <c r="N70" i="8" s="1"/>
  <c r="M69" i="8"/>
  <c r="N69" i="8" s="1"/>
  <c r="M68" i="8"/>
  <c r="N68" i="8" s="1"/>
  <c r="M67" i="8"/>
  <c r="N67" i="8" s="1"/>
  <c r="M66" i="8"/>
  <c r="N66" i="8" s="1"/>
  <c r="M65" i="8"/>
  <c r="N65" i="8" s="1"/>
  <c r="M64" i="8"/>
  <c r="N64" i="8" s="1"/>
  <c r="M63" i="8"/>
  <c r="N63" i="8" s="1"/>
  <c r="M62" i="8"/>
  <c r="N62" i="8" s="1"/>
  <c r="M61" i="8"/>
  <c r="N61" i="8" s="1"/>
  <c r="M60" i="8"/>
  <c r="M59" i="8"/>
  <c r="M58" i="8"/>
  <c r="M57" i="8"/>
  <c r="M56" i="8"/>
  <c r="M55" i="8"/>
  <c r="M54" i="8"/>
  <c r="M53" i="8"/>
  <c r="M52" i="8"/>
  <c r="M51" i="8"/>
  <c r="M50" i="8"/>
  <c r="M49" i="8"/>
  <c r="N49" i="8" s="1"/>
  <c r="M48" i="8"/>
  <c r="N48" i="8" s="1"/>
  <c r="M47" i="8"/>
  <c r="M46" i="8"/>
  <c r="N46" i="8" s="1"/>
  <c r="M45" i="8"/>
  <c r="N45" i="8" s="1"/>
  <c r="M44" i="8"/>
  <c r="M43" i="8"/>
  <c r="M42" i="8"/>
  <c r="N42" i="8" s="1"/>
  <c r="M41" i="8"/>
  <c r="M40" i="8"/>
  <c r="N40" i="8" s="1"/>
  <c r="M39" i="8"/>
  <c r="M38" i="8"/>
  <c r="N38" i="8" s="1"/>
  <c r="M37" i="8"/>
  <c r="M36" i="8"/>
  <c r="N36" i="8" s="1"/>
  <c r="M35" i="8"/>
  <c r="M34" i="8"/>
  <c r="N34" i="8" s="1"/>
  <c r="M33" i="8"/>
  <c r="M32" i="8"/>
  <c r="N32" i="8" s="1"/>
  <c r="M31" i="8"/>
  <c r="N31" i="8" s="1"/>
  <c r="M30" i="8"/>
  <c r="N30" i="8" s="1"/>
  <c r="M29" i="8"/>
  <c r="N29" i="8" s="1"/>
  <c r="M28" i="8"/>
  <c r="N28" i="8" s="1"/>
  <c r="M27" i="8"/>
  <c r="M26" i="8"/>
  <c r="N26" i="8" s="1"/>
  <c r="M25" i="8"/>
  <c r="M24" i="8"/>
  <c r="N24" i="8" s="1"/>
  <c r="M23" i="8"/>
  <c r="M22" i="8"/>
  <c r="M21" i="8"/>
  <c r="M20" i="8"/>
  <c r="N20" i="8" s="1"/>
  <c r="M19" i="8"/>
  <c r="M18" i="8"/>
  <c r="N18" i="8" s="1"/>
  <c r="M17" i="8"/>
  <c r="M16" i="8"/>
  <c r="N16" i="8" s="1"/>
  <c r="M15" i="8"/>
  <c r="M14" i="8"/>
  <c r="N14" i="8" s="1"/>
  <c r="M13" i="8"/>
  <c r="M12" i="8"/>
  <c r="N12" i="8" s="1"/>
  <c r="M11" i="8"/>
  <c r="M10" i="8"/>
  <c r="N10" i="8" s="1"/>
  <c r="M9" i="8"/>
  <c r="M8" i="8"/>
  <c r="N8" i="8" s="1"/>
  <c r="M7" i="8"/>
  <c r="M6" i="8"/>
  <c r="M5" i="8"/>
  <c r="M4" i="8"/>
  <c r="H35" i="7"/>
  <c r="K35" i="7" s="1"/>
  <c r="H71" i="7"/>
  <c r="K71" i="7" s="1"/>
  <c r="H72" i="7"/>
  <c r="K72" i="7" s="1"/>
  <c r="H19" i="7"/>
  <c r="K19" i="7" s="1"/>
  <c r="H69" i="7"/>
  <c r="K69" i="7" s="1"/>
  <c r="H34" i="7"/>
  <c r="K34" i="7" s="1"/>
  <c r="H64" i="7"/>
  <c r="K64" i="7" s="1"/>
  <c r="H62" i="7"/>
  <c r="K62" i="7" s="1"/>
  <c r="H63" i="7"/>
  <c r="K63" i="7" s="1"/>
  <c r="H59" i="7"/>
  <c r="K59" i="7" s="1"/>
  <c r="H33" i="7"/>
  <c r="K33" i="7" s="1"/>
  <c r="H47" i="7"/>
  <c r="K47" i="7" s="1"/>
  <c r="H61" i="7"/>
  <c r="K61" i="7" s="1"/>
  <c r="H7" i="7"/>
  <c r="K7" i="7" s="1"/>
  <c r="H11" i="7"/>
  <c r="K11" i="7" s="1"/>
  <c r="H32" i="7"/>
  <c r="K32" i="7" s="1"/>
  <c r="H16" i="7"/>
  <c r="K16" i="7" s="1"/>
  <c r="H52" i="7"/>
  <c r="K52" i="7" s="1"/>
  <c r="H56" i="7"/>
  <c r="K56" i="7" s="1"/>
  <c r="H31" i="7"/>
  <c r="K31" i="7" s="1"/>
  <c r="H15" i="7"/>
  <c r="K15" i="7" s="1"/>
  <c r="H58" i="7"/>
  <c r="K58" i="7" s="1"/>
  <c r="H46" i="7"/>
  <c r="K46" i="7" s="1"/>
  <c r="H12" i="7"/>
  <c r="K12" i="7" s="1"/>
  <c r="H60" i="7"/>
  <c r="K60" i="7" s="1"/>
  <c r="H6" i="7"/>
  <c r="K6" i="7" s="1"/>
  <c r="H30" i="7"/>
  <c r="K30" i="7" s="1"/>
  <c r="H51" i="7"/>
  <c r="K51" i="7" s="1"/>
  <c r="H55" i="7"/>
  <c r="K55" i="7" s="1"/>
  <c r="H29" i="7"/>
  <c r="K29" i="7" s="1"/>
  <c r="H14" i="7"/>
  <c r="K14" i="7" s="1"/>
  <c r="H45" i="7"/>
  <c r="K45" i="7" s="1"/>
  <c r="H48" i="7"/>
  <c r="K48" i="7" s="1"/>
  <c r="H28" i="7"/>
  <c r="K28" i="7" s="1"/>
  <c r="H42" i="7"/>
  <c r="K42" i="7" s="1"/>
  <c r="H43" i="7"/>
  <c r="K43" i="7" s="1"/>
  <c r="H27" i="7"/>
  <c r="K27" i="7" s="1"/>
  <c r="H41" i="7"/>
  <c r="K41" i="7" s="1"/>
  <c r="H39" i="7"/>
  <c r="K39" i="7" s="1"/>
  <c r="H40" i="7"/>
  <c r="K40" i="7" s="1"/>
  <c r="H26" i="7"/>
  <c r="K26" i="7" s="1"/>
  <c r="H57" i="7"/>
  <c r="K57" i="7" s="1"/>
  <c r="H37" i="7"/>
  <c r="K37" i="7" s="1"/>
  <c r="H8" i="7"/>
  <c r="K8" i="7" s="1"/>
  <c r="H25" i="7"/>
  <c r="K25" i="7" s="1"/>
  <c r="H13" i="7"/>
  <c r="K13" i="7" s="1"/>
  <c r="H36" i="7"/>
  <c r="K36" i="7" s="1"/>
  <c r="H24" i="7"/>
  <c r="K24" i="7" s="1"/>
  <c r="H66" i="7"/>
  <c r="K66" i="7" s="1"/>
  <c r="H65" i="7"/>
  <c r="K65" i="7" s="1"/>
  <c r="H23" i="7"/>
  <c r="K23" i="7" s="1"/>
  <c r="H44" i="7"/>
  <c r="K44" i="7" s="1"/>
  <c r="H38" i="7"/>
  <c r="K38" i="7" s="1"/>
  <c r="H50" i="7"/>
  <c r="K50" i="7" s="1"/>
  <c r="H54" i="7"/>
  <c r="K54" i="7" s="1"/>
  <c r="H22" i="7"/>
  <c r="K22" i="7" s="1"/>
  <c r="H68" i="7"/>
  <c r="K68" i="7" s="1"/>
  <c r="H49" i="7"/>
  <c r="K49" i="7" s="1"/>
  <c r="H53" i="7"/>
  <c r="K53" i="7" s="1"/>
  <c r="H21" i="7"/>
  <c r="K21" i="7" s="1"/>
  <c r="H70" i="7"/>
  <c r="K70" i="7" s="1"/>
  <c r="H18" i="7"/>
  <c r="K18" i="7" s="1"/>
  <c r="H67" i="7"/>
  <c r="K67" i="7" s="1"/>
  <c r="H17" i="7"/>
  <c r="K17" i="7" s="1"/>
  <c r="H5" i="7"/>
  <c r="K5" i="7" s="1"/>
  <c r="H10" i="7"/>
  <c r="K10" i="7" s="1"/>
  <c r="H20" i="7"/>
  <c r="K20" i="7" s="1"/>
  <c r="L4" i="7"/>
  <c r="H4" i="7"/>
  <c r="K4" i="7" s="1"/>
  <c r="H9" i="7"/>
  <c r="K9" i="7" s="1"/>
  <c r="AU145" i="6"/>
  <c r="AT145" i="6"/>
  <c r="AT144" i="6"/>
  <c r="AS144" i="6"/>
  <c r="AU144" i="6" s="1"/>
  <c r="AU143" i="6"/>
  <c r="AT143" i="6"/>
  <c r="AU142" i="6"/>
  <c r="AT142" i="6"/>
  <c r="AU141" i="6"/>
  <c r="AT141" i="6"/>
  <c r="AU140" i="6"/>
  <c r="AT140" i="6"/>
  <c r="AU139" i="6"/>
  <c r="AT139" i="6"/>
  <c r="AU138" i="6"/>
  <c r="AT138" i="6"/>
  <c r="AU137" i="6"/>
  <c r="AT137" i="6"/>
  <c r="AU136" i="6"/>
  <c r="AV136" i="6" s="1"/>
  <c r="AU135" i="6"/>
  <c r="AT135" i="6"/>
  <c r="AU134" i="6"/>
  <c r="AV134" i="6" s="1"/>
  <c r="AU133" i="6"/>
  <c r="AT133" i="6"/>
  <c r="AU132" i="6"/>
  <c r="AT132" i="6"/>
  <c r="AU131" i="6"/>
  <c r="AT131" i="6"/>
  <c r="AU130" i="6"/>
  <c r="AT130" i="6"/>
  <c r="AU129" i="6"/>
  <c r="AT129" i="6"/>
  <c r="AU128" i="6"/>
  <c r="AT128" i="6"/>
  <c r="AU127" i="6"/>
  <c r="AV127" i="6" s="1"/>
  <c r="AU126" i="6"/>
  <c r="AT126" i="6"/>
  <c r="AU125" i="6"/>
  <c r="AV125" i="6" s="1"/>
  <c r="AU124" i="6"/>
  <c r="AV124" i="6" s="1"/>
  <c r="AU123" i="6"/>
  <c r="AT123" i="6"/>
  <c r="AU122" i="6"/>
  <c r="AT122" i="6"/>
  <c r="AU121" i="6"/>
  <c r="AT121" i="6"/>
  <c r="AU120" i="6"/>
  <c r="AT120" i="6"/>
  <c r="AU119" i="6"/>
  <c r="AT119" i="6"/>
  <c r="AU118" i="6"/>
  <c r="AT118" i="6"/>
  <c r="AU117" i="6"/>
  <c r="AT117" i="6"/>
  <c r="AU116" i="6"/>
  <c r="AT116" i="6"/>
  <c r="AT115" i="6"/>
  <c r="T115" i="6"/>
  <c r="AU115" i="6" s="1"/>
  <c r="AU114" i="6"/>
  <c r="AT114" i="6"/>
  <c r="AU113" i="6"/>
  <c r="AT113" i="6"/>
  <c r="AU112" i="6"/>
  <c r="AT112" i="6"/>
  <c r="AU111" i="6"/>
  <c r="AT111" i="6"/>
  <c r="AU110" i="6"/>
  <c r="AT110" i="6"/>
  <c r="AU109" i="6"/>
  <c r="AT109" i="6"/>
  <c r="AU108" i="6"/>
  <c r="AV108" i="6" s="1"/>
  <c r="AU107" i="6"/>
  <c r="AT107" i="6"/>
  <c r="AU106" i="6"/>
  <c r="AT106" i="6"/>
  <c r="AU105" i="6"/>
  <c r="AT105" i="6"/>
  <c r="AU104" i="6"/>
  <c r="AT104" i="6"/>
  <c r="AU103" i="6"/>
  <c r="AT103" i="6"/>
  <c r="AU102" i="6"/>
  <c r="AT102" i="6"/>
  <c r="AU101" i="6"/>
  <c r="AT101" i="6"/>
  <c r="AU89" i="6"/>
  <c r="AV89" i="6" s="1"/>
  <c r="AU87" i="6"/>
  <c r="AT87" i="6"/>
  <c r="AU83" i="6"/>
  <c r="AT83" i="6"/>
  <c r="AU80" i="6"/>
  <c r="AT80" i="6"/>
  <c r="AU76" i="6"/>
  <c r="AV76" i="6" s="1"/>
  <c r="AU75" i="6"/>
  <c r="AT75" i="6"/>
  <c r="AU71" i="6"/>
  <c r="AT71" i="6"/>
  <c r="AU68" i="6"/>
  <c r="AT68" i="6"/>
  <c r="AU64" i="6"/>
  <c r="AT64" i="6"/>
  <c r="AU63" i="6"/>
  <c r="AT63" i="6"/>
  <c r="AS61" i="6"/>
  <c r="AU61" i="6" s="1"/>
  <c r="AV61" i="6" s="1"/>
  <c r="AU60" i="6"/>
  <c r="AT60" i="6"/>
  <c r="AU58" i="6"/>
  <c r="AV58" i="6" s="1"/>
  <c r="AU57" i="6"/>
  <c r="AV57" i="6" s="1"/>
  <c r="AU56" i="6"/>
  <c r="AV56" i="6" s="1"/>
  <c r="AU55" i="6"/>
  <c r="AV55" i="6" s="1"/>
  <c r="AU54" i="6"/>
  <c r="AV54" i="6" s="1"/>
  <c r="AU53" i="6"/>
  <c r="AV53" i="6" s="1"/>
  <c r="AU52" i="6"/>
  <c r="AV52" i="6" s="1"/>
  <c r="AU51" i="6"/>
  <c r="AV51" i="6" s="1"/>
  <c r="AU50" i="6"/>
  <c r="AV50" i="6" s="1"/>
  <c r="AU49" i="6"/>
  <c r="AV49" i="6" s="1"/>
  <c r="AU48" i="6"/>
  <c r="AV48" i="6" s="1"/>
  <c r="AU47" i="6"/>
  <c r="AV47" i="6" s="1"/>
  <c r="AU46" i="6"/>
  <c r="AV46" i="6" s="1"/>
  <c r="AU45" i="6"/>
  <c r="AV45" i="6" s="1"/>
  <c r="AU44" i="6"/>
  <c r="AV44" i="6" s="1"/>
  <c r="AU43" i="6"/>
  <c r="AV43" i="6" s="1"/>
  <c r="AU42" i="6"/>
  <c r="AV42" i="6" s="1"/>
  <c r="AU41" i="6"/>
  <c r="AV41" i="6" s="1"/>
  <c r="AU40" i="6"/>
  <c r="AV40" i="6" s="1"/>
  <c r="AU39" i="6"/>
  <c r="AV39" i="6" s="1"/>
  <c r="AU38" i="6"/>
  <c r="AV38" i="6" s="1"/>
  <c r="AU37" i="6"/>
  <c r="AV37" i="6" s="1"/>
  <c r="AU36" i="6"/>
  <c r="AT36" i="6"/>
  <c r="AU35" i="6"/>
  <c r="AV35" i="6" s="1"/>
  <c r="AU34" i="6"/>
  <c r="AV34" i="6" s="1"/>
  <c r="AU33" i="6"/>
  <c r="AV33" i="6" s="1"/>
  <c r="AU32" i="6"/>
  <c r="AV32" i="6" s="1"/>
  <c r="AU31" i="6"/>
  <c r="AV31" i="6" s="1"/>
  <c r="AU30" i="6"/>
  <c r="AV30" i="6" s="1"/>
  <c r="AU29" i="6"/>
  <c r="AV29" i="6" s="1"/>
  <c r="AU28" i="6"/>
  <c r="AV28" i="6" s="1"/>
  <c r="AU27" i="6"/>
  <c r="AV27" i="6" s="1"/>
  <c r="AU26" i="6"/>
  <c r="AV26" i="6" s="1"/>
  <c r="AU25" i="6"/>
  <c r="AV25" i="6" s="1"/>
  <c r="AU24" i="6"/>
  <c r="AV24" i="6" s="1"/>
  <c r="AU23" i="6"/>
  <c r="AV23" i="6" s="1"/>
  <c r="AU22" i="6"/>
  <c r="AV22" i="6" s="1"/>
  <c r="AU21" i="6"/>
  <c r="AV21" i="6" s="1"/>
  <c r="AU20" i="6"/>
  <c r="AV20" i="6" s="1"/>
  <c r="AU19" i="6"/>
  <c r="AV19" i="6" s="1"/>
  <c r="AU18" i="6"/>
  <c r="AV18" i="6" s="1"/>
  <c r="AU17" i="6"/>
  <c r="AV17" i="6" s="1"/>
  <c r="AU16" i="6"/>
  <c r="AV16" i="6" s="1"/>
  <c r="AU15" i="6"/>
  <c r="AV15" i="6" s="1"/>
  <c r="AU14" i="6"/>
  <c r="AV14" i="6" s="1"/>
  <c r="AU13" i="6"/>
  <c r="AV13" i="6" s="1"/>
  <c r="AU12" i="6"/>
  <c r="AT12" i="6"/>
  <c r="AU11" i="6"/>
  <c r="AT11" i="6"/>
  <c r="AU10" i="6"/>
  <c r="AT10" i="6"/>
  <c r="AU6" i="6"/>
  <c r="AV6" i="6" s="1"/>
  <c r="AU5" i="6"/>
  <c r="AV5" i="6" s="1"/>
  <c r="AU4" i="6"/>
  <c r="AV4" i="6" s="1"/>
  <c r="H1" i="6"/>
  <c r="AV128" i="6" l="1"/>
  <c r="AV132" i="6"/>
  <c r="AV139" i="6"/>
  <c r="C15" i="7"/>
  <c r="C14" i="7"/>
  <c r="C18" i="7"/>
  <c r="C17" i="7"/>
  <c r="C16" i="7"/>
  <c r="C7" i="7"/>
  <c r="C9" i="7"/>
  <c r="C8" i="7"/>
  <c r="C10" i="7"/>
  <c r="O9" i="7"/>
  <c r="C59" i="7"/>
  <c r="C61" i="7"/>
  <c r="C60" i="7"/>
  <c r="C62" i="7"/>
  <c r="O7" i="7"/>
  <c r="C35" i="7"/>
  <c r="C33" i="7"/>
  <c r="C36" i="7"/>
  <c r="C34" i="7"/>
  <c r="C6" i="7"/>
  <c r="C5" i="7"/>
  <c r="C4" i="7"/>
  <c r="O6" i="7"/>
  <c r="O17" i="7"/>
  <c r="C67" i="7"/>
  <c r="C66" i="7"/>
  <c r="C65" i="7"/>
  <c r="C64" i="7"/>
  <c r="O18" i="7"/>
  <c r="S18" i="7" s="1"/>
  <c r="C11" i="7"/>
  <c r="C13" i="7"/>
  <c r="C12" i="7"/>
  <c r="C55" i="7"/>
  <c r="C58" i="7"/>
  <c r="C54" i="7"/>
  <c r="C57" i="7"/>
  <c r="O12" i="7"/>
  <c r="S12" i="7" s="1"/>
  <c r="R12" i="7" s="1"/>
  <c r="Q12" i="7" s="1"/>
  <c r="C56" i="7"/>
  <c r="C31" i="7"/>
  <c r="C29" i="7"/>
  <c r="C32" i="7"/>
  <c r="C30" i="7"/>
  <c r="C28" i="7"/>
  <c r="C39" i="7"/>
  <c r="C37" i="7"/>
  <c r="O8" i="7"/>
  <c r="C38" i="7"/>
  <c r="C27" i="7"/>
  <c r="C26" i="7"/>
  <c r="O10" i="7"/>
  <c r="C23" i="7"/>
  <c r="C19" i="7"/>
  <c r="S11" i="7" s="1"/>
  <c r="R11" i="7" s="1"/>
  <c r="Q11" i="7" s="1"/>
  <c r="C24" i="7"/>
  <c r="C20" i="7"/>
  <c r="C22" i="7"/>
  <c r="C25" i="7"/>
  <c r="C21" i="7"/>
  <c r="AV11" i="6"/>
  <c r="O14" i="7"/>
  <c r="C51" i="7"/>
  <c r="C53" i="7"/>
  <c r="C52" i="7"/>
  <c r="C45" i="7"/>
  <c r="C44" i="7"/>
  <c r="C46" i="7"/>
  <c r="AV75" i="6"/>
  <c r="AT63" i="11"/>
  <c r="AH38" i="16" s="1"/>
  <c r="AG38" i="16"/>
  <c r="AQ45" i="11"/>
  <c r="AE11" i="16" s="1"/>
  <c r="AI11" i="16" s="1"/>
  <c r="AD11" i="16"/>
  <c r="AQ63" i="11"/>
  <c r="AE38" i="16" s="1"/>
  <c r="AD38" i="16"/>
  <c r="AV63" i="11"/>
  <c r="AV12" i="11"/>
  <c r="AT12" i="11"/>
  <c r="AH15" i="16" s="1"/>
  <c r="AQ12" i="11"/>
  <c r="AE15" i="16" s="1"/>
  <c r="AI15" i="16" s="1"/>
  <c r="AV83" i="6"/>
  <c r="AV68" i="6"/>
  <c r="AV110" i="6"/>
  <c r="AV118" i="6"/>
  <c r="AV111" i="6"/>
  <c r="AV71" i="6"/>
  <c r="AV119" i="6"/>
  <c r="AV117" i="6"/>
  <c r="AV123" i="6"/>
  <c r="AV144" i="6"/>
  <c r="AV10" i="6"/>
  <c r="AV103" i="6"/>
  <c r="AV129" i="6"/>
  <c r="AV138" i="6"/>
  <c r="AV63" i="6"/>
  <c r="AV113" i="6"/>
  <c r="AV126" i="6"/>
  <c r="AV105" i="6"/>
  <c r="AV131" i="6"/>
  <c r="AV135" i="6"/>
  <c r="AV122" i="6"/>
  <c r="AV64" i="6"/>
  <c r="AV109" i="6"/>
  <c r="AV121" i="6"/>
  <c r="AV106" i="6"/>
  <c r="AV141" i="6"/>
  <c r="AV143" i="6"/>
  <c r="AV112" i="6"/>
  <c r="AV133" i="6"/>
  <c r="AV137" i="6"/>
  <c r="AV60" i="6"/>
  <c r="AV87" i="6"/>
  <c r="AV104" i="6"/>
  <c r="AV114" i="6"/>
  <c r="AV145" i="6"/>
  <c r="AV101" i="6"/>
  <c r="AV115" i="6"/>
  <c r="AV130" i="6"/>
  <c r="AV12" i="6"/>
  <c r="AV140" i="6"/>
  <c r="AV80" i="6"/>
  <c r="AV120" i="6"/>
  <c r="AV36" i="6"/>
  <c r="AV107" i="6"/>
  <c r="AV116" i="6"/>
  <c r="I37" i="7"/>
  <c r="I5" i="7"/>
  <c r="I67" i="7"/>
  <c r="I70" i="7"/>
  <c r="I53" i="7"/>
  <c r="I68" i="7"/>
  <c r="I8" i="7"/>
  <c r="I41" i="7"/>
  <c r="I43" i="7"/>
  <c r="I55" i="7"/>
  <c r="I30" i="7"/>
  <c r="I60" i="7"/>
  <c r="I46" i="7"/>
  <c r="I15" i="7"/>
  <c r="I56" i="7"/>
  <c r="I59" i="7"/>
  <c r="I62" i="7"/>
  <c r="I72" i="7"/>
  <c r="I35" i="7"/>
  <c r="I4" i="7"/>
  <c r="I10" i="7"/>
  <c r="I54" i="7"/>
  <c r="I38" i="7"/>
  <c r="I23" i="7"/>
  <c r="I66" i="7"/>
  <c r="I36" i="7"/>
  <c r="I26" i="7"/>
  <c r="I28" i="7"/>
  <c r="I45" i="7"/>
  <c r="I16" i="7"/>
  <c r="I11" i="7"/>
  <c r="I61" i="7"/>
  <c r="I34" i="7"/>
  <c r="I19" i="7"/>
  <c r="I17" i="7"/>
  <c r="I18" i="7"/>
  <c r="I21" i="7"/>
  <c r="I49" i="7"/>
  <c r="I22" i="7"/>
  <c r="I25" i="7"/>
  <c r="I57" i="7"/>
  <c r="I39" i="7"/>
  <c r="I27" i="7"/>
  <c r="I42" i="7"/>
  <c r="I29" i="7"/>
  <c r="I51" i="7"/>
  <c r="I6" i="7"/>
  <c r="I12" i="7"/>
  <c r="I58" i="7"/>
  <c r="I31" i="7"/>
  <c r="I33" i="7"/>
  <c r="I63" i="7"/>
  <c r="I71" i="7"/>
  <c r="I9" i="7"/>
  <c r="I20" i="7"/>
  <c r="I50" i="7"/>
  <c r="I44" i="7"/>
  <c r="I65" i="7"/>
  <c r="I24" i="7"/>
  <c r="I13" i="7"/>
  <c r="I40" i="7"/>
  <c r="I48" i="7"/>
  <c r="I14" i="7"/>
  <c r="I52" i="7"/>
  <c r="I32" i="7"/>
  <c r="I7" i="7"/>
  <c r="I47" i="7"/>
  <c r="I64" i="7"/>
  <c r="I69" i="7"/>
  <c r="O21" i="7"/>
  <c r="O19" i="7"/>
  <c r="O5" i="7"/>
  <c r="O22" i="7"/>
  <c r="O16" i="7"/>
  <c r="S16" i="7" s="1"/>
  <c r="O4" i="7"/>
  <c r="AV142" i="6"/>
  <c r="AV102" i="6"/>
  <c r="S8" i="7" l="1"/>
  <c r="R8" i="7" s="1"/>
  <c r="Q8" i="7" s="1"/>
  <c r="S21" i="7"/>
  <c r="AW63" i="11"/>
  <c r="AI38" i="16"/>
  <c r="S17" i="7"/>
  <c r="R17" i="7" s="1"/>
  <c r="Q17" i="7" s="1"/>
  <c r="S22" i="7"/>
  <c r="S7" i="7"/>
  <c r="R7" i="7" s="1"/>
  <c r="Q7" i="7" s="1"/>
  <c r="S13" i="7"/>
  <c r="R13" i="7" s="1"/>
  <c r="Q13" i="7" s="1"/>
  <c r="S5" i="7"/>
  <c r="S9" i="7"/>
  <c r="R9" i="7" s="1"/>
  <c r="Q9" i="7" s="1"/>
  <c r="S14" i="7"/>
  <c r="S6" i="7"/>
  <c r="R6" i="7" s="1"/>
  <c r="Q6" i="7" s="1"/>
  <c r="S4" i="7"/>
  <c r="R4" i="7" s="1"/>
  <c r="Q4" i="7" s="1"/>
  <c r="S19" i="7"/>
  <c r="R19" i="7" s="1"/>
  <c r="Q19" i="7" s="1"/>
  <c r="S20" i="7"/>
  <c r="R20" i="7" s="1"/>
  <c r="Q20" i="7" s="1"/>
  <c r="S10" i="7"/>
  <c r="R10" i="7" s="1"/>
  <c r="Q10" i="7" s="1"/>
  <c r="S15" i="7"/>
  <c r="R15" i="7" s="1"/>
  <c r="Q15" i="7" s="1"/>
  <c r="AW45" i="11"/>
  <c r="AW12" i="11"/>
  <c r="R16" i="7"/>
  <c r="Q16" i="7" s="1"/>
  <c r="R18" i="7"/>
  <c r="Q18" i="7" s="1"/>
  <c r="R21" i="7"/>
  <c r="Q21" i="7" s="1"/>
  <c r="R5" i="7"/>
  <c r="Q5" i="7" s="1"/>
  <c r="R14" i="7"/>
  <c r="Q14" i="7" s="1"/>
  <c r="R22" i="7"/>
  <c r="Q22" i="7" s="1"/>
  <c r="M341" i="4"/>
  <c r="N341" i="4" s="1"/>
  <c r="D73" i="5" s="1"/>
  <c r="M340" i="4"/>
  <c r="N340" i="4" s="1"/>
  <c r="D62" i="5" s="1"/>
  <c r="M339" i="4"/>
  <c r="N339" i="4" s="1"/>
  <c r="D61" i="5" s="1"/>
  <c r="M338" i="4"/>
  <c r="N338" i="4" s="1"/>
  <c r="D55" i="5" s="1"/>
  <c r="M337" i="4"/>
  <c r="N337" i="4" s="1"/>
  <c r="D44" i="5" s="1"/>
  <c r="M336" i="4"/>
  <c r="N336" i="4" s="1"/>
  <c r="D47" i="5" s="1"/>
  <c r="M335" i="4"/>
  <c r="N335" i="4" s="1"/>
  <c r="D29" i="5" s="1"/>
  <c r="M334" i="4"/>
  <c r="N334" i="4" s="1"/>
  <c r="D28" i="5" s="1"/>
  <c r="M333" i="4"/>
  <c r="N333" i="4" s="1"/>
  <c r="D46" i="5" s="1"/>
  <c r="M332" i="4"/>
  <c r="N332" i="4" s="1"/>
  <c r="D45" i="5" s="1"/>
  <c r="M331" i="4"/>
  <c r="N331" i="4" s="1"/>
  <c r="D32" i="5" s="1"/>
  <c r="M330" i="4"/>
  <c r="N330" i="4" s="1"/>
  <c r="D31" i="5" s="1"/>
  <c r="M329" i="4"/>
  <c r="N329" i="4" s="1"/>
  <c r="D14" i="5" s="1"/>
  <c r="M328" i="4"/>
  <c r="N328" i="4" s="1"/>
  <c r="D13" i="5" s="1"/>
  <c r="M327" i="4"/>
  <c r="N327" i="4" s="1"/>
  <c r="M326" i="4"/>
  <c r="N326" i="4" s="1"/>
  <c r="M325" i="4"/>
  <c r="N325" i="4" s="1"/>
  <c r="M324" i="4"/>
  <c r="N324" i="4" s="1"/>
  <c r="M323" i="4"/>
  <c r="M322" i="4"/>
  <c r="N322" i="4" s="1"/>
  <c r="M321" i="4"/>
  <c r="N321" i="4" s="1"/>
  <c r="M320" i="4"/>
  <c r="N320" i="4" s="1"/>
  <c r="M319" i="4"/>
  <c r="N319" i="4" s="1"/>
  <c r="M318" i="4"/>
  <c r="N318" i="4" s="1"/>
  <c r="M317" i="4"/>
  <c r="N317" i="4" s="1"/>
  <c r="M316" i="4"/>
  <c r="N316" i="4" s="1"/>
  <c r="M315" i="4"/>
  <c r="N315" i="4" s="1"/>
  <c r="M314" i="4"/>
  <c r="N314" i="4" s="1"/>
  <c r="M313" i="4"/>
  <c r="N313" i="4" s="1"/>
  <c r="M312" i="4"/>
  <c r="N312" i="4" s="1"/>
  <c r="M311" i="4"/>
  <c r="N311" i="4" s="1"/>
  <c r="M310" i="4"/>
  <c r="N310" i="4" s="1"/>
  <c r="M309" i="4"/>
  <c r="N309" i="4" s="1"/>
  <c r="M308" i="4"/>
  <c r="N308" i="4" s="1"/>
  <c r="M307" i="4"/>
  <c r="N307" i="4" s="1"/>
  <c r="M306" i="4"/>
  <c r="M303" i="4"/>
  <c r="M302" i="4"/>
  <c r="M299" i="4"/>
  <c r="M298" i="4"/>
  <c r="M297" i="4"/>
  <c r="M295" i="4"/>
  <c r="M294" i="4"/>
  <c r="M292" i="4"/>
  <c r="M291" i="4"/>
  <c r="M289" i="4"/>
  <c r="M288" i="4"/>
  <c r="M286" i="4"/>
  <c r="N286" i="4" s="1"/>
  <c r="M285" i="4"/>
  <c r="N285" i="4" s="1"/>
  <c r="M284" i="4"/>
  <c r="N284" i="4" s="1"/>
  <c r="M283" i="4"/>
  <c r="N283" i="4" s="1"/>
  <c r="M282" i="4"/>
  <c r="N282" i="4" s="1"/>
  <c r="M281" i="4"/>
  <c r="N281" i="4" s="1"/>
  <c r="M280" i="4"/>
  <c r="M277" i="4"/>
  <c r="M274" i="4"/>
  <c r="N274" i="4" s="1"/>
  <c r="M273" i="4"/>
  <c r="N273" i="4" s="1"/>
  <c r="M272" i="4"/>
  <c r="N272" i="4" s="1"/>
  <c r="M271" i="4"/>
  <c r="N271" i="4" s="1"/>
  <c r="M270" i="4"/>
  <c r="N270" i="4" s="1"/>
  <c r="M269" i="4"/>
  <c r="N269" i="4" s="1"/>
  <c r="M268" i="4"/>
  <c r="N268" i="4" s="1"/>
  <c r="M267" i="4"/>
  <c r="N267" i="4" s="1"/>
  <c r="M266" i="4"/>
  <c r="N266" i="4" s="1"/>
  <c r="M265" i="4"/>
  <c r="N265" i="4" s="1"/>
  <c r="M264" i="4"/>
  <c r="N264" i="4" s="1"/>
  <c r="M263" i="4"/>
  <c r="N263" i="4" s="1"/>
  <c r="M262" i="4"/>
  <c r="M261" i="4"/>
  <c r="M260" i="4"/>
  <c r="N260" i="4" s="1"/>
  <c r="M259" i="4"/>
  <c r="N259" i="4" s="1"/>
  <c r="M258" i="4"/>
  <c r="N258" i="4" s="1"/>
  <c r="M257" i="4"/>
  <c r="N257" i="4" s="1"/>
  <c r="M256" i="4"/>
  <c r="M253" i="4"/>
  <c r="M250" i="4"/>
  <c r="M248" i="4"/>
  <c r="N248" i="4" s="1"/>
  <c r="M247" i="4"/>
  <c r="M243" i="4"/>
  <c r="M240" i="4"/>
  <c r="M238" i="4"/>
  <c r="N238" i="4" s="1"/>
  <c r="M237" i="4"/>
  <c r="N237" i="4" s="1"/>
  <c r="M236" i="4"/>
  <c r="M235" i="4"/>
  <c r="M233" i="4"/>
  <c r="M232" i="4"/>
  <c r="M230" i="4"/>
  <c r="M229" i="4"/>
  <c r="M227" i="4"/>
  <c r="M226" i="4"/>
  <c r="M223" i="4"/>
  <c r="M220" i="4"/>
  <c r="M218" i="4"/>
  <c r="M217" i="4"/>
  <c r="M216" i="4"/>
  <c r="M215" i="4"/>
  <c r="M214" i="4"/>
  <c r="M213" i="4"/>
  <c r="M212" i="4"/>
  <c r="M209" i="4"/>
  <c r="M206" i="4"/>
  <c r="M203" i="4"/>
  <c r="M200" i="4"/>
  <c r="M198" i="4"/>
  <c r="N198" i="4" s="1"/>
  <c r="M197" i="4"/>
  <c r="N197" i="4" s="1"/>
  <c r="M196" i="4"/>
  <c r="N196" i="4" s="1"/>
  <c r="M195" i="4"/>
  <c r="M193" i="4"/>
  <c r="N193" i="4" s="1"/>
  <c r="M192" i="4"/>
  <c r="M190" i="4"/>
  <c r="N190" i="4" s="1"/>
  <c r="M189" i="4"/>
  <c r="M187" i="4"/>
  <c r="N187" i="4" s="1"/>
  <c r="M186" i="4"/>
  <c r="M184" i="4"/>
  <c r="N184" i="4" s="1"/>
  <c r="M183" i="4"/>
  <c r="M181" i="4"/>
  <c r="N181" i="4" s="1"/>
  <c r="M180" i="4"/>
  <c r="M175" i="4"/>
  <c r="M174" i="4"/>
  <c r="M173" i="4"/>
  <c r="M172" i="4"/>
  <c r="M171" i="4"/>
  <c r="M170" i="4"/>
  <c r="M169" i="4"/>
  <c r="N169" i="4" s="1"/>
  <c r="M168" i="4"/>
  <c r="N168" i="4" s="1"/>
  <c r="M167" i="4"/>
  <c r="N167" i="4" s="1"/>
  <c r="M166" i="4"/>
  <c r="N166" i="4" s="1"/>
  <c r="M165" i="4"/>
  <c r="N165" i="4" s="1"/>
  <c r="M164" i="4"/>
  <c r="N164" i="4" s="1"/>
  <c r="M163" i="4"/>
  <c r="N163" i="4" s="1"/>
  <c r="M162" i="4"/>
  <c r="N162" i="4" s="1"/>
  <c r="M161" i="4"/>
  <c r="M160" i="4"/>
  <c r="N160" i="4" s="1"/>
  <c r="M159" i="4"/>
  <c r="N159" i="4" s="1"/>
  <c r="M158" i="4"/>
  <c r="N158" i="4" s="1"/>
  <c r="M157" i="4"/>
  <c r="N157" i="4" s="1"/>
  <c r="M154" i="4"/>
  <c r="N154" i="4" s="1"/>
  <c r="M153" i="4"/>
  <c r="N153" i="4" s="1"/>
  <c r="M150" i="4"/>
  <c r="N150" i="4" s="1"/>
  <c r="M149" i="4"/>
  <c r="N149" i="4" s="1"/>
  <c r="M146" i="4"/>
  <c r="N146" i="4" s="1"/>
  <c r="M145" i="4"/>
  <c r="N145" i="4" s="1"/>
  <c r="M142" i="4"/>
  <c r="N142" i="4" s="1"/>
  <c r="M141" i="4"/>
  <c r="N141" i="4" s="1"/>
  <c r="M140" i="4"/>
  <c r="N140" i="4" s="1"/>
  <c r="M139" i="4"/>
  <c r="N139" i="4" s="1"/>
  <c r="M138" i="4"/>
  <c r="N138" i="4" s="1"/>
  <c r="M137" i="4"/>
  <c r="N137" i="4" s="1"/>
  <c r="M136" i="4"/>
  <c r="N136" i="4" s="1"/>
  <c r="M133" i="4"/>
  <c r="N133" i="4" s="1"/>
  <c r="M132" i="4"/>
  <c r="N132" i="4" s="1"/>
  <c r="M131" i="4"/>
  <c r="N131" i="4" s="1"/>
  <c r="M130" i="4"/>
  <c r="N130" i="4" s="1"/>
  <c r="M129" i="4"/>
  <c r="N129" i="4" s="1"/>
  <c r="M128" i="4"/>
  <c r="N128" i="4" s="1"/>
  <c r="M125" i="4"/>
  <c r="N125" i="4" s="1"/>
  <c r="M124" i="4"/>
  <c r="N124" i="4" s="1"/>
  <c r="M122" i="4"/>
  <c r="N122" i="4" s="1"/>
  <c r="M121" i="4"/>
  <c r="N121" i="4" s="1"/>
  <c r="M120" i="4"/>
  <c r="N120" i="4" s="1"/>
  <c r="M118" i="4"/>
  <c r="N118" i="4" s="1"/>
  <c r="M117" i="4"/>
  <c r="N117" i="4" s="1"/>
  <c r="M116" i="4"/>
  <c r="N116" i="4" s="1"/>
  <c r="M113" i="4"/>
  <c r="N113" i="4" s="1"/>
  <c r="M112" i="4"/>
  <c r="N112" i="4" s="1"/>
  <c r="M111" i="4"/>
  <c r="N111" i="4" s="1"/>
  <c r="M110" i="4"/>
  <c r="N110" i="4" s="1"/>
  <c r="M109" i="4"/>
  <c r="N109" i="4" s="1"/>
  <c r="M108" i="4"/>
  <c r="N108" i="4" s="1"/>
  <c r="M105" i="4"/>
  <c r="N105" i="4" s="1"/>
  <c r="M104" i="4"/>
  <c r="N104" i="4" s="1"/>
  <c r="M103" i="4"/>
  <c r="N103" i="4" s="1"/>
  <c r="M102" i="4"/>
  <c r="N102" i="4" s="1"/>
  <c r="M101" i="4"/>
  <c r="N101" i="4" s="1"/>
  <c r="M100" i="4"/>
  <c r="N100" i="4" s="1"/>
  <c r="M97" i="4"/>
  <c r="N97" i="4" s="1"/>
  <c r="M96" i="4"/>
  <c r="N96" i="4" s="1"/>
  <c r="M95" i="4"/>
  <c r="N95" i="4" s="1"/>
  <c r="M94" i="4"/>
  <c r="N94" i="4" s="1"/>
  <c r="M93" i="4"/>
  <c r="N93" i="4" s="1"/>
  <c r="M92" i="4"/>
  <c r="N92" i="4" s="1"/>
  <c r="M90" i="4"/>
  <c r="N90" i="4" s="1"/>
  <c r="M89" i="4"/>
  <c r="N89" i="4" s="1"/>
  <c r="M88" i="4"/>
  <c r="N88" i="4" s="1"/>
  <c r="M87" i="4"/>
  <c r="N87" i="4" s="1"/>
  <c r="M86" i="4"/>
  <c r="N86" i="4" s="1"/>
  <c r="M85" i="4"/>
  <c r="N85" i="4" s="1"/>
  <c r="M84" i="4"/>
  <c r="N84" i="4" s="1"/>
  <c r="M81" i="4"/>
  <c r="N81" i="4" s="1"/>
  <c r="M80" i="4"/>
  <c r="N80" i="4" s="1"/>
  <c r="M79" i="4"/>
  <c r="N79" i="4" s="1"/>
  <c r="M78" i="4"/>
  <c r="N78" i="4" s="1"/>
  <c r="M77" i="4"/>
  <c r="N77" i="4" s="1"/>
  <c r="M76" i="4"/>
  <c r="N76" i="4" s="1"/>
  <c r="M73" i="4"/>
  <c r="N73" i="4" s="1"/>
  <c r="M72" i="4"/>
  <c r="N72" i="4" s="1"/>
  <c r="M71" i="4"/>
  <c r="N71" i="4" s="1"/>
  <c r="M70" i="4"/>
  <c r="N70" i="4" s="1"/>
  <c r="M69" i="4"/>
  <c r="N69" i="4" s="1"/>
  <c r="M68" i="4"/>
  <c r="N68" i="4" s="1"/>
  <c r="M65" i="4"/>
  <c r="N65" i="4" s="1"/>
  <c r="M64" i="4"/>
  <c r="N64" i="4" s="1"/>
  <c r="M63" i="4"/>
  <c r="N63" i="4" s="1"/>
  <c r="M62" i="4"/>
  <c r="N62" i="4" s="1"/>
  <c r="M61" i="4"/>
  <c r="N61" i="4" s="1"/>
  <c r="M60" i="4"/>
  <c r="N60" i="4" s="1"/>
  <c r="M57" i="4"/>
  <c r="N57" i="4" s="1"/>
  <c r="M56" i="4"/>
  <c r="N56" i="4" s="1"/>
  <c r="M55" i="4"/>
  <c r="N55" i="4" s="1"/>
  <c r="M54" i="4"/>
  <c r="N54" i="4" s="1"/>
  <c r="M53" i="4"/>
  <c r="N53" i="4" s="1"/>
  <c r="M52" i="4"/>
  <c r="N52" i="4" s="1"/>
  <c r="M49" i="4"/>
  <c r="N49" i="4" s="1"/>
  <c r="M48" i="4"/>
  <c r="N48" i="4" s="1"/>
  <c r="M47" i="4"/>
  <c r="N47" i="4" s="1"/>
  <c r="M46" i="4"/>
  <c r="N46" i="4" s="1"/>
  <c r="M45" i="4"/>
  <c r="N45" i="4" s="1"/>
  <c r="M44" i="4"/>
  <c r="N44" i="4" s="1"/>
  <c r="M41" i="4"/>
  <c r="N41" i="4" s="1"/>
  <c r="M40" i="4"/>
  <c r="N40" i="4" s="1"/>
  <c r="M39" i="4"/>
  <c r="N39" i="4" s="1"/>
  <c r="M38" i="4"/>
  <c r="N38" i="4" s="1"/>
  <c r="M37" i="4"/>
  <c r="N37" i="4" s="1"/>
  <c r="M36" i="4"/>
  <c r="N36" i="4" s="1"/>
  <c r="M34" i="4"/>
  <c r="N34" i="4" s="1"/>
  <c r="M33" i="4"/>
  <c r="N323" i="4" s="1"/>
  <c r="M32" i="4"/>
  <c r="N32" i="4" s="1"/>
  <c r="M31" i="4"/>
  <c r="N31" i="4" s="1"/>
  <c r="M30" i="4"/>
  <c r="N30" i="4" s="1"/>
  <c r="M29" i="4"/>
  <c r="N29" i="4" s="1"/>
  <c r="M28" i="4"/>
  <c r="N28" i="4" s="1"/>
  <c r="M27" i="4"/>
  <c r="N27" i="4" s="1"/>
  <c r="M26" i="4"/>
  <c r="N26" i="4" s="1"/>
  <c r="M25" i="4"/>
  <c r="N25" i="4" s="1"/>
  <c r="M24" i="4"/>
  <c r="N24" i="4" s="1"/>
  <c r="M23" i="4"/>
  <c r="N23" i="4" s="1"/>
  <c r="M22" i="4"/>
  <c r="N22" i="4" s="1"/>
  <c r="M21" i="4"/>
  <c r="N21" i="4" s="1"/>
  <c r="M18" i="4"/>
  <c r="N18" i="4" s="1"/>
  <c r="M17" i="4"/>
  <c r="N17" i="4" s="1"/>
  <c r="M16" i="4"/>
  <c r="N16" i="4" s="1"/>
  <c r="M15" i="4"/>
  <c r="N15" i="4" s="1"/>
  <c r="M14" i="4"/>
  <c r="N14" i="4" s="1"/>
  <c r="M13" i="4"/>
  <c r="M12" i="4"/>
  <c r="D22" i="5" l="1"/>
  <c r="D39" i="5"/>
  <c r="D67" i="5"/>
  <c r="D16" i="5"/>
  <c r="D23" i="5"/>
  <c r="D6" i="5"/>
  <c r="D24" i="5"/>
  <c r="D51" i="5"/>
  <c r="D58" i="5"/>
  <c r="D20" i="5"/>
  <c r="D34" i="5"/>
  <c r="D40" i="5"/>
  <c r="D59" i="5"/>
  <c r="D66" i="5"/>
  <c r="D70" i="5"/>
  <c r="D17" i="5"/>
  <c r="D35" i="5"/>
  <c r="D63" i="5"/>
  <c r="D56" i="5"/>
  <c r="D60" i="5"/>
  <c r="D8" i="5"/>
  <c r="D12" i="5"/>
  <c r="D50" i="5"/>
  <c r="D11" i="5"/>
  <c r="D49" i="5"/>
  <c r="D52" i="5"/>
  <c r="D54" i="5"/>
  <c r="D71" i="5"/>
  <c r="D4" i="5"/>
  <c r="D10" i="5"/>
  <c r="D21" i="5"/>
  <c r="D25" i="5"/>
  <c r="D27" i="5"/>
  <c r="D68" i="5"/>
  <c r="D72" i="5"/>
  <c r="D7" i="5"/>
  <c r="D30" i="5"/>
  <c r="D33" i="5"/>
  <c r="D37" i="5"/>
  <c r="D57" i="5"/>
  <c r="D64" i="5"/>
  <c r="D69" i="5"/>
  <c r="M74" i="4"/>
  <c r="N74" i="4" s="1"/>
  <c r="M205" i="4"/>
  <c r="M210" i="4"/>
  <c r="N210" i="4" s="1"/>
  <c r="M6" i="4"/>
  <c r="N6" i="4" s="1"/>
  <c r="M8" i="4"/>
  <c r="N8" i="4" s="1"/>
  <c r="M10" i="4"/>
  <c r="N10" i="4" s="1"/>
  <c r="M106" i="4"/>
  <c r="N106" i="4" s="1"/>
  <c r="N174" i="4"/>
  <c r="M251" i="4"/>
  <c r="N251" i="4" s="1"/>
  <c r="M59" i="4"/>
  <c r="N59" i="4" s="1"/>
  <c r="M152" i="4"/>
  <c r="M155" i="4"/>
  <c r="N155" i="4" s="1"/>
  <c r="M191" i="4"/>
  <c r="M234" i="4"/>
  <c r="M279" i="4"/>
  <c r="N279" i="4" s="1"/>
  <c r="M35" i="4"/>
  <c r="N35" i="4" s="1"/>
  <c r="M82" i="4"/>
  <c r="N82" i="4" s="1"/>
  <c r="M20" i="4"/>
  <c r="N20" i="4" s="1"/>
  <c r="M58" i="4"/>
  <c r="N58" i="4" s="1"/>
  <c r="M75" i="4"/>
  <c r="N75" i="4" s="1"/>
  <c r="M91" i="4"/>
  <c r="N91" i="4" s="1"/>
  <c r="M199" i="4"/>
  <c r="M254" i="4"/>
  <c r="N254" i="4" s="1"/>
  <c r="M135" i="4"/>
  <c r="N135" i="4" s="1"/>
  <c r="M222" i="4"/>
  <c r="M305" i="4"/>
  <c r="M5" i="4"/>
  <c r="N5" i="4" s="1"/>
  <c r="M7" i="4"/>
  <c r="N7" i="4" s="1"/>
  <c r="M9" i="4"/>
  <c r="N9" i="4" s="1"/>
  <c r="M11" i="4"/>
  <c r="N11" i="4" s="1"/>
  <c r="M67" i="4"/>
  <c r="N67" i="4" s="1"/>
  <c r="M119" i="4"/>
  <c r="N119" i="4" s="1"/>
  <c r="M134" i="4"/>
  <c r="N134" i="4" s="1"/>
  <c r="M221" i="4"/>
  <c r="N221" i="4" s="1"/>
  <c r="M228" i="4"/>
  <c r="M241" i="4"/>
  <c r="N241" i="4" s="1"/>
  <c r="M177" i="4"/>
  <c r="N177" i="4" s="1"/>
  <c r="M224" i="4"/>
  <c r="N224" i="4" s="1"/>
  <c r="M244" i="4"/>
  <c r="N244" i="4" s="1"/>
  <c r="M246" i="4"/>
  <c r="N246" i="4" s="1"/>
  <c r="M42" i="4"/>
  <c r="N42" i="4" s="1"/>
  <c r="M123" i="4"/>
  <c r="N123" i="4" s="1"/>
  <c r="M143" i="4"/>
  <c r="N143" i="4" s="1"/>
  <c r="N171" i="4"/>
  <c r="M202" i="4"/>
  <c r="M207" i="4"/>
  <c r="N207" i="4" s="1"/>
  <c r="M225" i="4"/>
  <c r="M275" i="4"/>
  <c r="N275" i="4" s="1"/>
  <c r="M301" i="4"/>
  <c r="M4" i="4"/>
  <c r="N4" i="4" s="1"/>
  <c r="M83" i="4"/>
  <c r="N83" i="4" s="1"/>
  <c r="M178" i="4"/>
  <c r="N178" i="4" s="1"/>
  <c r="M185" i="4"/>
  <c r="M245" i="4"/>
  <c r="N245" i="4" s="1"/>
  <c r="M115" i="4"/>
  <c r="N115" i="4" s="1"/>
  <c r="M144" i="4"/>
  <c r="M278" i="4"/>
  <c r="N278" i="4" s="1"/>
  <c r="M300" i="4"/>
  <c r="M148" i="4"/>
  <c r="M219" i="4"/>
  <c r="M304" i="4"/>
  <c r="M19" i="4"/>
  <c r="N19" i="4" s="1"/>
  <c r="M66" i="4"/>
  <c r="N66" i="4" s="1"/>
  <c r="M98" i="4"/>
  <c r="N98" i="4" s="1"/>
  <c r="M194" i="4"/>
  <c r="M255" i="4"/>
  <c r="N255" i="4" s="1"/>
  <c r="M287" i="4"/>
  <c r="M127" i="4"/>
  <c r="N127" i="4" s="1"/>
  <c r="M147" i="4"/>
  <c r="N147" i="4" s="1"/>
  <c r="M151" i="4"/>
  <c r="N151" i="4" s="1"/>
  <c r="M156" i="4"/>
  <c r="M188" i="4"/>
  <c r="M204" i="4"/>
  <c r="N204" i="4" s="1"/>
  <c r="M50" i="4"/>
  <c r="N50" i="4" s="1"/>
  <c r="M176" i="4"/>
  <c r="N176" i="4" s="1"/>
  <c r="M179" i="4"/>
  <c r="M231" i="4"/>
  <c r="M43" i="4"/>
  <c r="N43" i="4" s="1"/>
  <c r="M51" i="4"/>
  <c r="N51" i="4" s="1"/>
  <c r="M114" i="4"/>
  <c r="N114" i="4" s="1"/>
  <c r="M126" i="4"/>
  <c r="N126" i="4" s="1"/>
  <c r="M290" i="4"/>
  <c r="M296" i="4"/>
  <c r="M99" i="4"/>
  <c r="N99" i="4" s="1"/>
  <c r="M182" i="4"/>
  <c r="M211" i="4"/>
  <c r="M249" i="4"/>
  <c r="N249" i="4" s="1"/>
  <c r="M276" i="4"/>
  <c r="N276" i="4" s="1"/>
  <c r="N33" i="4"/>
  <c r="M208" i="4"/>
  <c r="M242" i="4"/>
  <c r="N173" i="4"/>
  <c r="N170" i="4"/>
  <c r="N161" i="4"/>
  <c r="M107" i="4"/>
  <c r="N107" i="4" s="1"/>
  <c r="M239" i="4"/>
  <c r="M252" i="4"/>
  <c r="N252" i="4" s="1"/>
  <c r="M293" i="4"/>
  <c r="M201" i="4"/>
  <c r="N201" i="4" s="1"/>
  <c r="D5" i="5" l="1"/>
  <c r="D9" i="5"/>
  <c r="D41" i="5"/>
  <c r="D43" i="5"/>
  <c r="D53" i="5"/>
  <c r="D42" i="5"/>
  <c r="D36" i="5"/>
  <c r="D26" i="5"/>
  <c r="D18" i="5"/>
  <c r="D15" i="5"/>
  <c r="D19" i="5"/>
  <c r="D48" i="5"/>
</calcChain>
</file>

<file path=xl/sharedStrings.xml><?xml version="1.0" encoding="utf-8"?>
<sst xmlns="http://schemas.openxmlformats.org/spreadsheetml/2006/main" count="8512" uniqueCount="1370">
  <si>
    <t>EarthWork</t>
  </si>
  <si>
    <t>Removing Obstacles</t>
  </si>
  <si>
    <t>ConcreteWork</t>
  </si>
  <si>
    <t>BlockWork</t>
  </si>
  <si>
    <t>Block Work</t>
  </si>
  <si>
    <t>MetalWork</t>
  </si>
  <si>
    <t>Wood&amp;Plastic</t>
  </si>
  <si>
    <t>Insulation</t>
  </si>
  <si>
    <t>Opennings</t>
  </si>
  <si>
    <t>Finishing</t>
  </si>
  <si>
    <t>Specialities</t>
  </si>
  <si>
    <t>Furniture</t>
  </si>
  <si>
    <t>ConveyingSystems</t>
  </si>
  <si>
    <t>ElectricalWork</t>
  </si>
  <si>
    <t>Electrical Work</t>
  </si>
  <si>
    <t>Activity Code</t>
  </si>
  <si>
    <t>Activity description</t>
  </si>
  <si>
    <t>Devision</t>
  </si>
  <si>
    <t>Excavation Work for Sandy Soil</t>
  </si>
  <si>
    <t>Excavation Work for Clay</t>
  </si>
  <si>
    <t>Excavation Work for Rocky Soil</t>
  </si>
  <si>
    <t>Excavation Work for Sandy Soil Including Disposal</t>
  </si>
  <si>
    <t>Excavation Work for Clay Including Disposal</t>
  </si>
  <si>
    <t>Excavation Work for Rocky Soil Including Disposal</t>
  </si>
  <si>
    <t>Dewatering Work</t>
  </si>
  <si>
    <t>Shoring System</t>
  </si>
  <si>
    <t>Backfilling Work For Open Area with Excavated Material Including Compaction</t>
  </si>
  <si>
    <t>Backfilling Work For Open Area with Imported Material Including Compaction</t>
  </si>
  <si>
    <t>Backfilling Work For Trenches with Excavated Material Including Compaction</t>
  </si>
  <si>
    <t>Backfilling Work For Trenches with Imported Material Including Compaction</t>
  </si>
  <si>
    <t>Backfilling Work between Footings with Excavated Material Including Compaction</t>
  </si>
  <si>
    <t>Backfilling Work between Footings with Imported Material Including Compaction</t>
  </si>
  <si>
    <t>Soil Replacement Work including Compaction</t>
  </si>
  <si>
    <t>Soil Compaction Work</t>
  </si>
  <si>
    <t>Grading Work</t>
  </si>
  <si>
    <t xml:space="preserve">Material Disposal Work for Sandy Soil </t>
  </si>
  <si>
    <t>Material Disposal Work for Clay</t>
  </si>
  <si>
    <t>Material Disposal Work for Rocky Soil</t>
  </si>
  <si>
    <t>Drainage Layer Under Slab On Grade Work</t>
  </si>
  <si>
    <t>Application Of Soil Treatment For Termite Control</t>
  </si>
  <si>
    <t>Bed Formation Work</t>
  </si>
  <si>
    <t>Subgrade Work</t>
  </si>
  <si>
    <t>Subbase Work</t>
  </si>
  <si>
    <t>Road Base Work (WBM)</t>
  </si>
  <si>
    <t>Prime Coat (MC1) Work</t>
  </si>
  <si>
    <t>Base Coarse Work</t>
  </si>
  <si>
    <t>Tack Coat (RC )Work</t>
  </si>
  <si>
    <t>Wearing Coarse</t>
  </si>
  <si>
    <t>Marking Work</t>
  </si>
  <si>
    <t>Installing Newgersy Barriers</t>
  </si>
  <si>
    <t>Installing Sign Boards</t>
  </si>
  <si>
    <t>Installing Road Rails</t>
  </si>
  <si>
    <t>0202</t>
  </si>
  <si>
    <t>Clearing and Grubbing</t>
  </si>
  <si>
    <t>0201</t>
  </si>
  <si>
    <t>0203</t>
  </si>
  <si>
    <t>Diversion of Telephone Cables</t>
  </si>
  <si>
    <t>0204</t>
  </si>
  <si>
    <t>Diversion of Low Voltage Cables</t>
  </si>
  <si>
    <t>0205</t>
  </si>
  <si>
    <t>Diversion of High Voltage Cables</t>
  </si>
  <si>
    <t>0206</t>
  </si>
  <si>
    <t xml:space="preserve">Diversion of Traffic </t>
  </si>
  <si>
    <t>0209</t>
  </si>
  <si>
    <t>Removal of Concrete Building Including Blocks</t>
  </si>
  <si>
    <t>0210</t>
  </si>
  <si>
    <t>0211</t>
  </si>
  <si>
    <t>Removal of Septic Tanks</t>
  </si>
  <si>
    <t>0212</t>
  </si>
  <si>
    <t>Dismantling and Excavation of The Debris</t>
  </si>
  <si>
    <t>0213</t>
  </si>
  <si>
    <t>0207</t>
  </si>
  <si>
    <t>Diversion of Flood Water</t>
  </si>
  <si>
    <t>0208</t>
  </si>
  <si>
    <t>Diversion of Drinking Water</t>
  </si>
  <si>
    <t>0301</t>
  </si>
  <si>
    <t>Plain (Blinding) Concrete</t>
  </si>
  <si>
    <t>0302</t>
  </si>
  <si>
    <t>Raft Foundation</t>
  </si>
  <si>
    <t>0303</t>
  </si>
  <si>
    <t xml:space="preserve">Isolated Footings </t>
  </si>
  <si>
    <t>0304</t>
  </si>
  <si>
    <t>Tie beams</t>
  </si>
  <si>
    <t>0305</t>
  </si>
  <si>
    <t>Isolated Footings Including TieBeams</t>
  </si>
  <si>
    <t>0306</t>
  </si>
  <si>
    <t>Concrete Columns</t>
  </si>
  <si>
    <t>0307</t>
  </si>
  <si>
    <t>Concrete walls</t>
  </si>
  <si>
    <t>0308</t>
  </si>
  <si>
    <t>Concrete Columns and walls</t>
  </si>
  <si>
    <t>0309</t>
  </si>
  <si>
    <t>Concrete Solid slabs</t>
  </si>
  <si>
    <t>0310</t>
  </si>
  <si>
    <t>Concrete Flat slabs</t>
  </si>
  <si>
    <t>0311</t>
  </si>
  <si>
    <t>Concrete Slabs</t>
  </si>
  <si>
    <t>0312</t>
  </si>
  <si>
    <t>Hollow Block slabs</t>
  </si>
  <si>
    <t>0313</t>
  </si>
  <si>
    <t>Hollow Core slabs</t>
  </si>
  <si>
    <t>0314</t>
  </si>
  <si>
    <t>0315</t>
  </si>
  <si>
    <t>Stairs Work</t>
  </si>
  <si>
    <t>0401</t>
  </si>
  <si>
    <t>0402</t>
  </si>
  <si>
    <t>Brick Work</t>
  </si>
  <si>
    <t>0403</t>
  </si>
  <si>
    <t>Riprap Work</t>
  </si>
  <si>
    <t>0501</t>
  </si>
  <si>
    <t>Metal Handrails</t>
  </si>
  <si>
    <t>Metal Doors</t>
  </si>
  <si>
    <t>0503</t>
  </si>
  <si>
    <t>Metal Canopys</t>
  </si>
  <si>
    <t>0504</t>
  </si>
  <si>
    <t>Steel Structures</t>
  </si>
  <si>
    <t>0601</t>
  </si>
  <si>
    <t>Installing Kitchen Cabinets</t>
  </si>
  <si>
    <t>0602</t>
  </si>
  <si>
    <t>Installing Ware Drops</t>
  </si>
  <si>
    <t>0603</t>
  </si>
  <si>
    <t>Wood And Plastic Work</t>
  </si>
  <si>
    <t>0701</t>
  </si>
  <si>
    <t>Bituminous Dam proofing Work</t>
  </si>
  <si>
    <t>0702</t>
  </si>
  <si>
    <t>Membrane Waterproofing</t>
  </si>
  <si>
    <t>0703</t>
  </si>
  <si>
    <t>Vabour Barriers</t>
  </si>
  <si>
    <t>0704</t>
  </si>
  <si>
    <t xml:space="preserve">Walls Vabour Retarders  </t>
  </si>
  <si>
    <t>0705</t>
  </si>
  <si>
    <t>Rigid Thermal Insulation</t>
  </si>
  <si>
    <t>0706</t>
  </si>
  <si>
    <t>Roofing System</t>
  </si>
  <si>
    <t>0709</t>
  </si>
  <si>
    <t>Foam Concrete Work</t>
  </si>
  <si>
    <t>0801</t>
  </si>
  <si>
    <t>Wooden Doors</t>
  </si>
  <si>
    <t>0802</t>
  </si>
  <si>
    <t>Alluminum Doors</t>
  </si>
  <si>
    <t>0803</t>
  </si>
  <si>
    <t>0804</t>
  </si>
  <si>
    <t>Glass Doors</t>
  </si>
  <si>
    <t>0805</t>
  </si>
  <si>
    <t>0806</t>
  </si>
  <si>
    <t>Curtain Walls</t>
  </si>
  <si>
    <t>0807</t>
  </si>
  <si>
    <t>Wooden Windows</t>
  </si>
  <si>
    <t>0808</t>
  </si>
  <si>
    <t>Alluminum Windows</t>
  </si>
  <si>
    <t>0809</t>
  </si>
  <si>
    <t>Metal Windows</t>
  </si>
  <si>
    <t>0810</t>
  </si>
  <si>
    <t>Glass Windows</t>
  </si>
  <si>
    <t>0811</t>
  </si>
  <si>
    <t>0812</t>
  </si>
  <si>
    <t>Doors and Widows Accessories</t>
  </si>
  <si>
    <t>0901</t>
  </si>
  <si>
    <t>Epoxy Painting For Flooring</t>
  </si>
  <si>
    <t>0902</t>
  </si>
  <si>
    <t>Carpet</t>
  </si>
  <si>
    <t>0903</t>
  </si>
  <si>
    <t>Ceramic Tiles</t>
  </si>
  <si>
    <t>0904</t>
  </si>
  <si>
    <t>Marble Tiles</t>
  </si>
  <si>
    <t>0905</t>
  </si>
  <si>
    <t>Wooden Flooring</t>
  </si>
  <si>
    <t>0906</t>
  </si>
  <si>
    <t>Cementious Tiles</t>
  </si>
  <si>
    <t>0907</t>
  </si>
  <si>
    <t>Vinil Tiles</t>
  </si>
  <si>
    <t>0908</t>
  </si>
  <si>
    <t>Marble Skirting</t>
  </si>
  <si>
    <t>0909</t>
  </si>
  <si>
    <t>Wooden Skirting</t>
  </si>
  <si>
    <t>0910</t>
  </si>
  <si>
    <t>Ceramic Skirting</t>
  </si>
  <si>
    <t>0911</t>
  </si>
  <si>
    <t>Ceramic  For Walls</t>
  </si>
  <si>
    <t>0912</t>
  </si>
  <si>
    <t>Marble  For Walls</t>
  </si>
  <si>
    <t>0913</t>
  </si>
  <si>
    <t>Wooden Cladding For Walls</t>
  </si>
  <si>
    <t>0914</t>
  </si>
  <si>
    <t>Gypsum Cladding For Walls</t>
  </si>
  <si>
    <t>0915</t>
  </si>
  <si>
    <t>Plastering Work For Walls</t>
  </si>
  <si>
    <t>0916</t>
  </si>
  <si>
    <t>Plastering Work For Ceiling</t>
  </si>
  <si>
    <t>0917</t>
  </si>
  <si>
    <t>Gypsum Board Partitions</t>
  </si>
  <si>
    <t>0918</t>
  </si>
  <si>
    <t>Gypsum Board Celing</t>
  </si>
  <si>
    <t>0919</t>
  </si>
  <si>
    <t xml:space="preserve">Wooden Board Partitions </t>
  </si>
  <si>
    <t>0920</t>
  </si>
  <si>
    <t>0921</t>
  </si>
  <si>
    <t>Painting Work For Ceiling</t>
  </si>
  <si>
    <t>0926</t>
  </si>
  <si>
    <t>External Plastering</t>
  </si>
  <si>
    <t>0927</t>
  </si>
  <si>
    <t>External Painting</t>
  </si>
  <si>
    <t>0928</t>
  </si>
  <si>
    <t>External Ceramic Facades</t>
  </si>
  <si>
    <t>0929</t>
  </si>
  <si>
    <t>External Marble Facades</t>
  </si>
  <si>
    <t>0930</t>
  </si>
  <si>
    <t>1001</t>
  </si>
  <si>
    <t>Bathroom Accessories</t>
  </si>
  <si>
    <t>1002</t>
  </si>
  <si>
    <t>Sign Boards</t>
  </si>
  <si>
    <t>1004</t>
  </si>
  <si>
    <t>Louver Panels</t>
  </si>
  <si>
    <t>1201</t>
  </si>
  <si>
    <t>1401</t>
  </si>
  <si>
    <t>Installing Elevators</t>
  </si>
  <si>
    <t>HVAC Work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</si>
  <si>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</si>
  <si>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</si>
  <si>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</si>
  <si>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</si>
  <si>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</si>
  <si>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</si>
  <si>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</si>
  <si>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</si>
  <si>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</si>
  <si>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12</t>
  </si>
  <si>
    <t>14</t>
  </si>
  <si>
    <t>0316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</si>
  <si>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</si>
  <si>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</si>
  <si>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</si>
  <si>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</si>
  <si>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</si>
  <si>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</si>
  <si>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</si>
  <si>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</si>
  <si>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</si>
  <si>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</si>
  <si>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</si>
  <si>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</si>
  <si>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</si>
  <si>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</si>
  <si>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</si>
  <si>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</si>
  <si>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</si>
  <si>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</si>
  <si>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</si>
  <si>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</si>
  <si>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</si>
  <si>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</si>
  <si>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</si>
  <si>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</si>
  <si>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</si>
  <si>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</si>
  <si>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</si>
  <si>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</si>
  <si>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</si>
  <si>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</si>
  <si>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</si>
  <si>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0247</t>
  </si>
  <si>
    <t>0248</t>
  </si>
  <si>
    <t>1601</t>
  </si>
  <si>
    <t>Equipment</t>
  </si>
  <si>
    <t>11</t>
  </si>
  <si>
    <t>13</t>
  </si>
  <si>
    <t>1101</t>
  </si>
  <si>
    <t>1102</t>
  </si>
  <si>
    <t>1103</t>
  </si>
  <si>
    <t xml:space="preserve">Pumps </t>
  </si>
  <si>
    <t xml:space="preserve">Kitchen Equipment </t>
  </si>
  <si>
    <t xml:space="preserve">Laboratory Eqipment </t>
  </si>
  <si>
    <t>Water Tanks Sub-Contractor</t>
  </si>
  <si>
    <t>Fuel Tanks Sub-Contractor</t>
  </si>
  <si>
    <t>LPG Systems Sub-Contractor</t>
  </si>
  <si>
    <t>Medical Gases Systems Sub-Contractor</t>
  </si>
  <si>
    <t>BMS SYStem Sub-Contractor</t>
  </si>
  <si>
    <t>Fire Fighting Sub-Contractor</t>
  </si>
  <si>
    <t>15</t>
  </si>
  <si>
    <t>16</t>
  </si>
  <si>
    <t>1301</t>
  </si>
  <si>
    <t>1302</t>
  </si>
  <si>
    <t>1303</t>
  </si>
  <si>
    <t>1304</t>
  </si>
  <si>
    <t>1305</t>
  </si>
  <si>
    <t>1306</t>
  </si>
  <si>
    <t>Special Construction</t>
  </si>
  <si>
    <t>Mechanical Work</t>
  </si>
  <si>
    <t>Building Plumbing-PPR Pipes</t>
  </si>
  <si>
    <t>Building Plumbing-UPVC</t>
  </si>
  <si>
    <t>Building Plumbing-Plumbing Fixtures &amp; Equipment</t>
  </si>
  <si>
    <t>1501</t>
  </si>
  <si>
    <t>1502</t>
  </si>
  <si>
    <t>1503</t>
  </si>
  <si>
    <t>1504</t>
  </si>
  <si>
    <t>Sewage and Water supply Work-Vertified Clay Pipes</t>
  </si>
  <si>
    <t>Sewage and Water supply Work-Concrete Pipes</t>
  </si>
  <si>
    <t>Sewage and Water supply Work-Iron Pipes</t>
  </si>
  <si>
    <t>Sewage and Water supply Work-UPVC Pipes</t>
  </si>
  <si>
    <t>Sewage and Water supply Work-GRP Pipes</t>
  </si>
  <si>
    <t>1505</t>
  </si>
  <si>
    <t>1506</t>
  </si>
  <si>
    <t>1507</t>
  </si>
  <si>
    <t>1508</t>
  </si>
  <si>
    <t>1509</t>
  </si>
  <si>
    <t>0505</t>
  </si>
  <si>
    <t>Ornamental Steel Work</t>
  </si>
  <si>
    <t>1104</t>
  </si>
  <si>
    <t>Sub Division</t>
  </si>
  <si>
    <t>Sub Division Description</t>
  </si>
  <si>
    <t>02300</t>
  </si>
  <si>
    <t>Earthwork</t>
  </si>
  <si>
    <t>02700</t>
  </si>
  <si>
    <t>02100</t>
  </si>
  <si>
    <t>Site Remediation</t>
  </si>
  <si>
    <t>Bases, Ballast,Pavement &amp; Appurtenances</t>
  </si>
  <si>
    <t>02200</t>
  </si>
  <si>
    <t>Site Prepartion</t>
  </si>
  <si>
    <t>02500</t>
  </si>
  <si>
    <t>Utility Services</t>
  </si>
  <si>
    <t>03300</t>
  </si>
  <si>
    <t>Cast-In-Place Concrete</t>
  </si>
  <si>
    <t>03400</t>
  </si>
  <si>
    <t>Precast Concrete</t>
  </si>
  <si>
    <t>04200</t>
  </si>
  <si>
    <t>04400</t>
  </si>
  <si>
    <t>Masonary Units</t>
  </si>
  <si>
    <t>Stone</t>
  </si>
  <si>
    <t>05500</t>
  </si>
  <si>
    <t>Metal Fabrication</t>
  </si>
  <si>
    <t>08100</t>
  </si>
  <si>
    <t>Metal Doors &amp; Frames</t>
  </si>
  <si>
    <t>05100</t>
  </si>
  <si>
    <t>Structural Metal Framing</t>
  </si>
  <si>
    <t>05700</t>
  </si>
  <si>
    <t>Ornamental Work</t>
  </si>
  <si>
    <t>06400</t>
  </si>
  <si>
    <t>Architectural Wood work</t>
  </si>
  <si>
    <t>07100</t>
  </si>
  <si>
    <t>Damproofing &amp; Waterproofing</t>
  </si>
  <si>
    <t>07200</t>
  </si>
  <si>
    <t>Thermal Protection</t>
  </si>
  <si>
    <t>07400</t>
  </si>
  <si>
    <t>Roofing &amp; Siding Panels</t>
  </si>
  <si>
    <t>08200</t>
  </si>
  <si>
    <t>Wood &amp; Plastic Doors</t>
  </si>
  <si>
    <t>08300</t>
  </si>
  <si>
    <t>Specialty Doors</t>
  </si>
  <si>
    <t>08800</t>
  </si>
  <si>
    <t>Glazing</t>
  </si>
  <si>
    <t>08900</t>
  </si>
  <si>
    <t>Glazed Curtain Wall</t>
  </si>
  <si>
    <t>08500</t>
  </si>
  <si>
    <t>Windows</t>
  </si>
  <si>
    <t>08600</t>
  </si>
  <si>
    <t>Skylight</t>
  </si>
  <si>
    <t>08050</t>
  </si>
  <si>
    <t>Basic Door &amp;Window Material &amp; Method</t>
  </si>
  <si>
    <t>09600</t>
  </si>
  <si>
    <t>09300</t>
  </si>
  <si>
    <t>Tile</t>
  </si>
  <si>
    <t>Flooring</t>
  </si>
  <si>
    <t>09700</t>
  </si>
  <si>
    <t>Wall Finishes</t>
  </si>
  <si>
    <t>09200</t>
  </si>
  <si>
    <t>Plaster &amp; Gypsum Board</t>
  </si>
  <si>
    <t>09900</t>
  </si>
  <si>
    <t>Paints &amp; Coatings</t>
  </si>
  <si>
    <t>10800</t>
  </si>
  <si>
    <t>10200</t>
  </si>
  <si>
    <t>10100</t>
  </si>
  <si>
    <t>Toilet, Bath &amp; Laundry Accessories</t>
  </si>
  <si>
    <t>Louvers &amp; Vents</t>
  </si>
  <si>
    <t>Visual Display Boards</t>
  </si>
  <si>
    <t>11200</t>
  </si>
  <si>
    <t>Water Supply &amp; Treatment Equipment</t>
  </si>
  <si>
    <t>11460</t>
  </si>
  <si>
    <t>Unit Kitchen</t>
  </si>
  <si>
    <t>11600</t>
  </si>
  <si>
    <t>Laboratory Equipment</t>
  </si>
  <si>
    <t>11110</t>
  </si>
  <si>
    <t>Commercial Laundry &amp; Dry Cleaning Equipment</t>
  </si>
  <si>
    <t>12500</t>
  </si>
  <si>
    <t>13200</t>
  </si>
  <si>
    <t>Storage tanks</t>
  </si>
  <si>
    <t>13900</t>
  </si>
  <si>
    <t>fire suppresion</t>
  </si>
  <si>
    <t>Oxygination Systems</t>
  </si>
  <si>
    <t>13240</t>
  </si>
  <si>
    <t>14200</t>
  </si>
  <si>
    <t>Elevators</t>
  </si>
  <si>
    <t>15700</t>
  </si>
  <si>
    <t>heating , Ventilation &amp;Air Conditioning Equipment</t>
  </si>
  <si>
    <t>15100</t>
  </si>
  <si>
    <t>15200</t>
  </si>
  <si>
    <t>16050</t>
  </si>
  <si>
    <t>13800</t>
  </si>
  <si>
    <t>Building Automation &amp; Control</t>
  </si>
  <si>
    <t>Buliding Service Piping</t>
  </si>
  <si>
    <t>Process Piping</t>
  </si>
  <si>
    <t>Basic Electrical Materials and Methods</t>
  </si>
  <si>
    <t>Extension</t>
  </si>
  <si>
    <t>01</t>
  </si>
  <si>
    <t>17</t>
  </si>
  <si>
    <t>18</t>
  </si>
  <si>
    <t>19</t>
  </si>
  <si>
    <t>20</t>
  </si>
  <si>
    <t>Road Grading Work</t>
  </si>
  <si>
    <t>Slab on grade</t>
  </si>
  <si>
    <t>1510</t>
  </si>
  <si>
    <t>Sewage and Water supply Work-Manhole</t>
  </si>
  <si>
    <t>05650</t>
  </si>
  <si>
    <t>Railroad Track &amp; Accessories</t>
  </si>
  <si>
    <t>Backfillig Material</t>
  </si>
  <si>
    <t>UPVC Pipes</t>
  </si>
  <si>
    <t>15100130</t>
  </si>
  <si>
    <t>Antitermite Material</t>
  </si>
  <si>
    <t>Sub-Grade Material</t>
  </si>
  <si>
    <t>Sub-Base Material</t>
  </si>
  <si>
    <t>Base Material</t>
  </si>
  <si>
    <t>MC Material</t>
  </si>
  <si>
    <t>Asphalt</t>
  </si>
  <si>
    <t>RC Material</t>
  </si>
  <si>
    <t>Thermoplastic paints</t>
  </si>
  <si>
    <t>New gersy material</t>
  </si>
  <si>
    <t>Sign board Material</t>
  </si>
  <si>
    <t>Road rails Material</t>
  </si>
  <si>
    <t>Ready Mix-Plain Concrete</t>
  </si>
  <si>
    <t>Ready Mix-Reiforced Concrete</t>
  </si>
  <si>
    <t>Concrete Chemicals</t>
  </si>
  <si>
    <t>Curing Water</t>
  </si>
  <si>
    <t>Curing Sheets</t>
  </si>
  <si>
    <t>Steel bar</t>
  </si>
  <si>
    <t>Hollow Blocks</t>
  </si>
  <si>
    <t>Hollow Core Slab</t>
  </si>
  <si>
    <t>Prestressed Concrete Wall Panels</t>
  </si>
  <si>
    <t>Prestressed Wallpanels</t>
  </si>
  <si>
    <t>Slab On Grade</t>
  </si>
  <si>
    <t>Solid Blocks</t>
  </si>
  <si>
    <t>Block  Accessories</t>
  </si>
  <si>
    <t>Cement</t>
  </si>
  <si>
    <t>09200105</t>
  </si>
  <si>
    <t>Sand</t>
  </si>
  <si>
    <t>Stone brick</t>
  </si>
  <si>
    <t>Bituminous</t>
  </si>
  <si>
    <t>Bituminous Membrane</t>
  </si>
  <si>
    <t>Polly Ethilline Sheets</t>
  </si>
  <si>
    <t>Soild Thermal Insulation</t>
  </si>
  <si>
    <t>07200110</t>
  </si>
  <si>
    <t>Foamy Concrete</t>
  </si>
  <si>
    <t>Epoxy Paint Material</t>
  </si>
  <si>
    <t>04200110</t>
  </si>
  <si>
    <t>Carpet Tiles</t>
  </si>
  <si>
    <t xml:space="preserve">Ceramic Tiles </t>
  </si>
  <si>
    <t xml:space="preserve">Marble </t>
  </si>
  <si>
    <t xml:space="preserve">Cementic Tiles </t>
  </si>
  <si>
    <t>Vinile Flooring</t>
  </si>
  <si>
    <t>09600160</t>
  </si>
  <si>
    <t>09600170</t>
  </si>
  <si>
    <t>09600130</t>
  </si>
  <si>
    <t>Wood Cladding</t>
  </si>
  <si>
    <t>Gypsum</t>
  </si>
  <si>
    <t>Plaster Accessories</t>
  </si>
  <si>
    <t>Gypsum Board Ceiling</t>
  </si>
  <si>
    <t>09700190</t>
  </si>
  <si>
    <t>Painting Work For Walls</t>
  </si>
  <si>
    <t>Paint Material Sealer</t>
  </si>
  <si>
    <t>Paint Material Filler</t>
  </si>
  <si>
    <t>Paint Material Decorative Paint</t>
  </si>
  <si>
    <t>External &amp; internal Decorative Stone Work</t>
  </si>
  <si>
    <t>04400105</t>
  </si>
  <si>
    <t>09200120</t>
  </si>
  <si>
    <t>PPR Pipes</t>
  </si>
  <si>
    <t>Toilet, Bath, and Laundry Specialties</t>
  </si>
  <si>
    <t>Vertified Clay Pipes</t>
  </si>
  <si>
    <t>Concrete Pipes</t>
  </si>
  <si>
    <t>Iron Pipes</t>
  </si>
  <si>
    <t xml:space="preserve">Sewage UPVC Pipes </t>
  </si>
  <si>
    <t>GRP Pipes</t>
  </si>
  <si>
    <t>Manhole Precast concrete</t>
  </si>
  <si>
    <t>Manhole Cover</t>
  </si>
  <si>
    <t>Bases, Ballast , Pavement &amp;Appurrtenances</t>
  </si>
  <si>
    <t>Concrete Tiles</t>
  </si>
  <si>
    <t>Interlock Tiles</t>
  </si>
  <si>
    <t>Expansion Control</t>
  </si>
  <si>
    <t>05800</t>
  </si>
  <si>
    <t>Expansion Joints</t>
  </si>
  <si>
    <t>Kitchen Cabinets</t>
  </si>
  <si>
    <t>Terrazzo</t>
  </si>
  <si>
    <t>09400</t>
  </si>
  <si>
    <t>Terrazzo Tiles</t>
  </si>
  <si>
    <t>Ceilings</t>
  </si>
  <si>
    <t>09500</t>
  </si>
  <si>
    <t>False Ceiling</t>
  </si>
  <si>
    <t>Alluminum Tiles</t>
  </si>
  <si>
    <t>Alluminum Strips</t>
  </si>
  <si>
    <t>Wooden Ceiling</t>
  </si>
  <si>
    <t>Tiles</t>
  </si>
  <si>
    <t>Granite</t>
  </si>
  <si>
    <t>Decorative Rolls</t>
  </si>
  <si>
    <t>Telephone Specialties</t>
  </si>
  <si>
    <t>10750</t>
  </si>
  <si>
    <t>Telephone Instruments</t>
  </si>
  <si>
    <t>WareDrobe &amp; Closet Specialties</t>
  </si>
  <si>
    <t>10900</t>
  </si>
  <si>
    <t>Ware Drobes</t>
  </si>
  <si>
    <t>Plumbing Fixtures &amp; Equipment</t>
  </si>
  <si>
    <t>15400</t>
  </si>
  <si>
    <t>Plumbing Fixtures</t>
  </si>
  <si>
    <t>Material List</t>
  </si>
  <si>
    <t>CSI CODE</t>
  </si>
  <si>
    <t>UOM</t>
  </si>
  <si>
    <t>EA</t>
  </si>
  <si>
    <t>M2</t>
  </si>
  <si>
    <t>Litre</t>
  </si>
  <si>
    <t>M3</t>
  </si>
  <si>
    <t>KG</t>
  </si>
  <si>
    <t>LOT</t>
  </si>
  <si>
    <t>Ton</t>
  </si>
  <si>
    <t>M'</t>
  </si>
  <si>
    <t>List Of Manual Man Power Crews And Production Rates</t>
  </si>
  <si>
    <t>Work Sub-group</t>
  </si>
  <si>
    <t>Crew Type</t>
  </si>
  <si>
    <t>Carpenter Foreman</t>
  </si>
  <si>
    <t>Carpenter</t>
  </si>
  <si>
    <t>Carpenter Helper</t>
  </si>
  <si>
    <t>Steel fixer Foreman</t>
  </si>
  <si>
    <t>Steel Fixer</t>
  </si>
  <si>
    <t>Steel Fixer Helper</t>
  </si>
  <si>
    <t>Structure Steel Foreman</t>
  </si>
  <si>
    <t>Structure Steel Worker</t>
  </si>
  <si>
    <t>Mason Foreman</t>
  </si>
  <si>
    <t>Mason</t>
  </si>
  <si>
    <t>Mason Helper</t>
  </si>
  <si>
    <t>Form Man</t>
  </si>
  <si>
    <t>Plasterer Foreman</t>
  </si>
  <si>
    <t>Plasterer</t>
  </si>
  <si>
    <t>sculptor</t>
  </si>
  <si>
    <t>Insulator Foreman</t>
  </si>
  <si>
    <t>Insulator</t>
  </si>
  <si>
    <t>Finishing Foreman</t>
  </si>
  <si>
    <t>Marbler</t>
  </si>
  <si>
    <t>Tile Fixer Foreman</t>
  </si>
  <si>
    <t>Tile Fixer</t>
  </si>
  <si>
    <t>Painter Foreman</t>
  </si>
  <si>
    <t>Painter</t>
  </si>
  <si>
    <t xml:space="preserve">Plumping Foreman </t>
  </si>
  <si>
    <t>Plumper</t>
  </si>
  <si>
    <t>Electricity Foreman</t>
  </si>
  <si>
    <t>Electrician</t>
  </si>
  <si>
    <t>Electrician Helper</t>
  </si>
  <si>
    <t>Welder</t>
  </si>
  <si>
    <t>Mechanic</t>
  </si>
  <si>
    <t>Surveyor</t>
  </si>
  <si>
    <t>Surveyor Helper</t>
  </si>
  <si>
    <t>Technician</t>
  </si>
  <si>
    <t>Shoring technician</t>
  </si>
  <si>
    <t>Asphal plant foreman</t>
  </si>
  <si>
    <t>Asphalt Plant Labour</t>
  </si>
  <si>
    <t>Helper</t>
  </si>
  <si>
    <t>Leadman Labour</t>
  </si>
  <si>
    <t>Labour</t>
  </si>
  <si>
    <t>Daily Production</t>
  </si>
  <si>
    <t>CrewHr/ day</t>
  </si>
  <si>
    <t>CrewHr/ Unit</t>
  </si>
  <si>
    <t>m3</t>
  </si>
  <si>
    <t>Shoring system</t>
  </si>
  <si>
    <t>No.</t>
  </si>
  <si>
    <t>Each</t>
  </si>
  <si>
    <t>Concrete Walls</t>
  </si>
  <si>
    <t>Painting</t>
  </si>
  <si>
    <t>Path</t>
  </si>
  <si>
    <t>Ex. Plumping (Manhole)</t>
  </si>
  <si>
    <t>List For Manual Manpower</t>
  </si>
  <si>
    <t>List Of Manpower Crew</t>
  </si>
  <si>
    <t>Manpower Description</t>
  </si>
  <si>
    <t>No. Required</t>
  </si>
  <si>
    <t>Manpower Rate/Month</t>
  </si>
  <si>
    <t>Manpower Rate/day</t>
  </si>
  <si>
    <t>Manpower Rate/HR</t>
  </si>
  <si>
    <t>Asphalt Workers Crew</t>
  </si>
  <si>
    <t>Carpentary Crew</t>
  </si>
  <si>
    <t>Dewatering Crew</t>
  </si>
  <si>
    <t>Ex. Plumping (Pipes)</t>
  </si>
  <si>
    <t>General Workers Crew</t>
  </si>
  <si>
    <t>Marble Work Crew</t>
  </si>
  <si>
    <t>Block Work Crew</t>
  </si>
  <si>
    <t>technician</t>
  </si>
  <si>
    <t>Painting Crew</t>
  </si>
  <si>
    <t>Plastering Work Crew</t>
  </si>
  <si>
    <t>Building Plmbing Crew</t>
  </si>
  <si>
    <t>Concrete Pouring Crew</t>
  </si>
  <si>
    <t>Sewage crew (pipes)</t>
  </si>
  <si>
    <t>labour</t>
  </si>
  <si>
    <t>Sewage (Manhole)</t>
  </si>
  <si>
    <t>Shoring Crew</t>
  </si>
  <si>
    <t>Steel Fixing Crew</t>
  </si>
  <si>
    <t>Precast Concrete Crew</t>
  </si>
  <si>
    <t>plasterer</t>
  </si>
  <si>
    <t>Surveying Crew</t>
  </si>
  <si>
    <t>Tile Fixing Crew</t>
  </si>
  <si>
    <t>helper</t>
  </si>
  <si>
    <t>Form man</t>
  </si>
  <si>
    <t>Shoring Technician</t>
  </si>
  <si>
    <t>02700305</t>
  </si>
  <si>
    <t>MH</t>
  </si>
  <si>
    <t>02300320</t>
  </si>
  <si>
    <t>04200305</t>
  </si>
  <si>
    <t>03300315</t>
  </si>
  <si>
    <t>09300305</t>
  </si>
  <si>
    <t>09300310</t>
  </si>
  <si>
    <t>03300305</t>
  </si>
  <si>
    <t>09200305</t>
  </si>
  <si>
    <t>Excavation &amp; Disposal Sub-Contractor</t>
  </si>
  <si>
    <t>Dewatering Sub-Contractor</t>
  </si>
  <si>
    <t>Shoring Sub-Contractor</t>
  </si>
  <si>
    <t>Soil Replacement Sub-Contractor</t>
  </si>
  <si>
    <t>Soil Compaction Sub-Contractor</t>
  </si>
  <si>
    <t>Building Plunmbing Sub-Contractor</t>
  </si>
  <si>
    <t>Soil Treatment Sub-Contractor</t>
  </si>
  <si>
    <t>Road Construction Sub Contractor</t>
  </si>
  <si>
    <t>Thermoplastic paint Subcontractor</t>
  </si>
  <si>
    <t>Obstacles&amp;general utilities Diversion Sub-contractors</t>
  </si>
  <si>
    <t>Concrete Sub-Contractor</t>
  </si>
  <si>
    <t>Hollow Core Slab Sub Concractor</t>
  </si>
  <si>
    <t>Precast Concrete Sub-Contractor</t>
  </si>
  <si>
    <t>Block Work Sub-Contractor</t>
  </si>
  <si>
    <t>Ornamental Steel Sub-contrator</t>
  </si>
  <si>
    <t xml:space="preserve">Wood and Plastic  Sub-contractor </t>
  </si>
  <si>
    <t>Thermal and moisture protection Sub-Contractor</t>
  </si>
  <si>
    <t>Wooden Door&amp;Windows Sub-Contractor</t>
  </si>
  <si>
    <t>Alluminum Doors &amp; Windows Sub-Contrator</t>
  </si>
  <si>
    <t>Metal Doors &amp; Windows Sub-contractor</t>
  </si>
  <si>
    <t>Glass Doors &amp; Windows Sub-Contractor</t>
  </si>
  <si>
    <t>Metal Louverd Doors</t>
  </si>
  <si>
    <t>Curtain Walls Sub-Contrators</t>
  </si>
  <si>
    <t>Glass Domes&amp;Sky Lights</t>
  </si>
  <si>
    <t>Sky Light Sub-Contrator</t>
  </si>
  <si>
    <t>Epoxy Painting Sub-Contractor</t>
  </si>
  <si>
    <t>Carpet Sub Contractor</t>
  </si>
  <si>
    <t>Ceramic Sub-Contractor</t>
  </si>
  <si>
    <t>Decorative Stones Sub-Contractor</t>
  </si>
  <si>
    <t>Wooden Flooring&amp;Cladding Sub-Contractor</t>
  </si>
  <si>
    <t>Cementic Sub- Contractor</t>
  </si>
  <si>
    <t>Vinile Sub-Contractor</t>
  </si>
  <si>
    <t>Marble&amp; Granite Sub-Contractor</t>
  </si>
  <si>
    <t>Plastering Sub-Contractor</t>
  </si>
  <si>
    <t>Gypsum Board Sub-Contractor</t>
  </si>
  <si>
    <t>Painting Sub-Contractor</t>
  </si>
  <si>
    <t>Bath Rooms Accessories</t>
  </si>
  <si>
    <t>Sign Bords Sub-Contractors</t>
  </si>
  <si>
    <t>Pumps Sub-Contractors</t>
  </si>
  <si>
    <t>Kitchen Equipment Sub-Contractor</t>
  </si>
  <si>
    <t>Laundry Equipment</t>
  </si>
  <si>
    <t>Laboratory Eqipment Sub-Contractor</t>
  </si>
  <si>
    <t>Furniture Sub-Contractor</t>
  </si>
  <si>
    <t>Elevators Sub-Contractors</t>
  </si>
  <si>
    <t>HVAC Sub-Contrator</t>
  </si>
  <si>
    <t>Sewage Work Sub-Contractor</t>
  </si>
  <si>
    <t>Electrical Sub-Contractor</t>
  </si>
  <si>
    <t>Asphalt Sub-Contrctor</t>
  </si>
  <si>
    <t>Land Scaping Sub-Contractor</t>
  </si>
  <si>
    <t>Planting Sub-Contractor</t>
  </si>
  <si>
    <t>Steel Structure Sub-contrator</t>
  </si>
  <si>
    <t>Gates &amp; Fences Sub-Contractor</t>
  </si>
  <si>
    <t>False Ceiling Sub-Contrator</t>
  </si>
  <si>
    <t>Raised Flooring Sub-Contractor</t>
  </si>
  <si>
    <t>02300205</t>
  </si>
  <si>
    <t xml:space="preserve">Backfilling Sub-Contractor </t>
  </si>
  <si>
    <t>02500205</t>
  </si>
  <si>
    <t>07100205</t>
  </si>
  <si>
    <t>08100205</t>
  </si>
  <si>
    <t>08200205</t>
  </si>
  <si>
    <t>08300205</t>
  </si>
  <si>
    <t>08800205</t>
  </si>
  <si>
    <t>09200205</t>
  </si>
  <si>
    <t>09600205</t>
  </si>
  <si>
    <t>09300220</t>
  </si>
  <si>
    <t>09600215</t>
  </si>
  <si>
    <t>15100225</t>
  </si>
  <si>
    <t>Planting</t>
  </si>
  <si>
    <t>Site Improvements &amp;Amenities</t>
  </si>
  <si>
    <t>02800</t>
  </si>
  <si>
    <t>02900</t>
  </si>
  <si>
    <t>05100205</t>
  </si>
  <si>
    <t>03300205</t>
  </si>
  <si>
    <t>04200205</t>
  </si>
  <si>
    <t>05700205</t>
  </si>
  <si>
    <t>Excavator</t>
  </si>
  <si>
    <t>Rock Breaker</t>
  </si>
  <si>
    <t>Loader</t>
  </si>
  <si>
    <t>Dumptruck</t>
  </si>
  <si>
    <t>Sheet pile Machine</t>
  </si>
  <si>
    <t>Water Tanker</t>
  </si>
  <si>
    <t>Roller Compactor</t>
  </si>
  <si>
    <t>Grader</t>
  </si>
  <si>
    <t>Plate Compactor</t>
  </si>
  <si>
    <t>MC Pouring car</t>
  </si>
  <si>
    <t>Ashphalt Finisher</t>
  </si>
  <si>
    <t>RC Pouring  Car</t>
  </si>
  <si>
    <t>Truck Paint Striper</t>
  </si>
  <si>
    <t>Dozer</t>
  </si>
  <si>
    <t>Readymix Patch</t>
  </si>
  <si>
    <t xml:space="preserve">Readymix Pump </t>
  </si>
  <si>
    <t>Ready mix Transmixer</t>
  </si>
  <si>
    <t>Foam Concrete Machine</t>
  </si>
  <si>
    <t>Asphalt Cutter</t>
  </si>
  <si>
    <t>Asphalt Compactor</t>
  </si>
  <si>
    <t>Crane</t>
  </si>
  <si>
    <t>02300405</t>
  </si>
  <si>
    <t>02300415</t>
  </si>
  <si>
    <t>02300420</t>
  </si>
  <si>
    <t>02300425</t>
  </si>
  <si>
    <t>De-Watering Pump</t>
  </si>
  <si>
    <t>03400405</t>
  </si>
  <si>
    <t>Bobcat</t>
  </si>
  <si>
    <t>JCP</t>
  </si>
  <si>
    <t>List Of Unique Machinary</t>
  </si>
  <si>
    <t>Machinary Type</t>
  </si>
  <si>
    <t>EXT.</t>
  </si>
  <si>
    <t>Description</t>
  </si>
  <si>
    <t>Depriciation Life Cycle</t>
  </si>
  <si>
    <t>Opertator Rate /Month</t>
  </si>
  <si>
    <t>Opertator Rate /Day</t>
  </si>
  <si>
    <t>Opertator Rate /Hr</t>
  </si>
  <si>
    <t>Maintenance</t>
  </si>
  <si>
    <t>Rate/Month</t>
  </si>
  <si>
    <t>Rate/Day</t>
  </si>
  <si>
    <t>Rate/ Hr</t>
  </si>
  <si>
    <t>Doosan Crawler Excavator Model DX225LCA, operating weight 21500Kg, Enggine 148 HP Bucker Capacity 0.92 M3</t>
  </si>
  <si>
    <t>Caterpillar Hydraulic Excavator Model 320DL, CAT C6.4 engine , 140HP, Bucket Capacity 1.08m3</t>
  </si>
  <si>
    <t>Hyundai Crawler Excavator R220LC-9SH, operating weight 21900Kg, 150Hp,Bucket Capacity 0.92 m3</t>
  </si>
  <si>
    <t>Brand New Hyundai Excavator Model R480LC-9S Made in Korea Engine: Cummins QSM11-C, Engine Rate Power: 353 Hp@1900rpm, Operating Weight: 48100 Kg, Bucket Capacity: 2.1 m3, Max. digging depth: 7810mm, Boom length: 7.06m, Arm: 3.38m</t>
  </si>
  <si>
    <t>Brand New Caterpillar Track type Tractor Model D8R-DES (Desert Version) operating weight 37576Kg, CAT 3406 engine 328HP, blade capacity 8.7m3, blade width 3937mm, ripper type: single shank. Rops cab &amp; Air conditioner. Year Model 2013</t>
  </si>
  <si>
    <t>Brand New Caterpillar Track type Tractor Model D9R-DES ( Desert Version ) operating weight 48784Kg, CAT 3408c engine 474HP, blade capacity 13.5m3, blade width 4310mm, ripper type: single shank. Rops cab &amp; Air conditioner. Year Model 2013</t>
  </si>
  <si>
    <t>Kawasaki Wheel Dozer 95ZV , Model Year 2005 ( S/N 97C40265 )</t>
  </si>
  <si>
    <t>Atlascopco Hydraulic Breaker Model HB5800, 5800Kg, operating pressure 160- 180bar, oil flow 310-390l/min, impact rate 280-460bpm, total diameter 200mm, set of hydraulic hoses, Service box, Flat chisel &amp; Adaptor Plate .</t>
  </si>
  <si>
    <t>Brand New Hydraulic Jack Hammer, Furukawa Rock Breaker Model HB20G PLUS,Operating weight 1625Kg, blows rate 400-800bpm/min, operating oil pressure 160-180kg/cm2, oil flow 125-150L/min, Hyd. hose dia 25mm, 2 wedge point chisel, Rod Dia 135mm</t>
  </si>
  <si>
    <t>Hydraulic Breaker Model MKB 1500V2  Weight w/bracket &amp; Chisel 1700kg, Overall length with chisel 2683mm, Chisel Diameter 135mm, Blow Freq. 360-480 Blow/min, Operating Oil Pressure 15.0-18.0 Mpa,Applicable Excavator 20-25 ton (Made in Japan)</t>
  </si>
  <si>
    <t>Brand new : DOOSAN WHEEL LOADER  Model : M 300 - V operating  weight 17.300 KG. bucket - capacity 3.3 m 3 &amp; engine power 205 HP</t>
  </si>
  <si>
    <t>Brand New Kawasaki Wheel Loader Model 80z5, with Hino J08C-T1 6 Cylinder  diesel Engine, 200 HP, 4 Wheel Drive, 3.5M3 Bucket,  Tyer Size 23.5 -25-16PR. Cabin: Sun Canopy. Model Year 2013, Made in Japan</t>
  </si>
  <si>
    <t>Brand new : DOOSAN WHEEL LOADER  Model : M 250 - V operating  weight 14.000 KG. bucket - capacity 3.3 m 3 &amp; engine power 161 HP @ 1.900 RPM</t>
  </si>
  <si>
    <t>Brand New Caterpillar Wheel Loader Model 928H, CAT C6.6 engine 160HP, operating weight 12564Kg, bucket capacity 2.48 m3, (  Rops) canopy,  Tire 20.5 x 25 Michilin. Year Model 2012</t>
  </si>
  <si>
    <t>Brand New  DOOSAN WHEEL LOADER  Model : DL 250A ,  operating  weight 14000 KG. bucket - capacity 3 m3 &amp; engine power 162 HP @ 1900 RPM</t>
  </si>
  <si>
    <t>Brand New Caterpillar Wheel Loader Model 966H, CAT Caa engine 287HP, operating weight 27300Kg, bucket capacity 4.5 m3, (  Rops) canopy,  Cab &amp; A/C. Tire 26.5 x 25 Michelin. Year Model 2013</t>
  </si>
  <si>
    <t>Brand New Isuzu Dump Truck NPR75F, 5 Ton, 4 x 2, Year Model 2014, Color: White ( Delivery: Within in 10 days )</t>
  </si>
  <si>
    <t>Brand New Dump Trailer 24m3 Capacity with Heavy Holland Poston Axle: 2 x 16 Arabian Axle Landing Gear Jost Germany, Brake System: Wabco Germnay Germany Tyre 1200 R24 SUmitomo Japan (8), Flooring Thickness 8mm, Sides 6mm, king Pin 2".</t>
  </si>
  <si>
    <t>Brand New Ausa Dumper Model 150RM , 1500Kg capacity , duitz engine model LKS-R , 12hp , air cooled , electric start , operating weight 900Kg. Warranty: One Year or 1000hrs which ever comes first. Made in Spain</t>
  </si>
  <si>
    <t>Brand New Isuzu Dump Truck NPR71E,  pay load 3 ton , 4 cyl, 4570cc , 121HP, fitted with Original Japanese Dump body , Model Year 2013</t>
  </si>
  <si>
    <t>Brand New Isuzu Dump Truck NPR75F-20  pay load 5 ton , 4 cyl, 5200cc , 151HP, fitted with Original Japanese Dump body , Model Year 2013</t>
  </si>
  <si>
    <t>Brand New 30000 Ltr capacity Semi trailer water tank  - tank made of 4mm GI sheet grade G90, KIng pin 2.5" Jost, YTE axle 2 x 16 tons , 2 line air brake with 60 ltr air tank Wabco-Germany with Sumitomo tyres.</t>
  </si>
  <si>
    <t>Water Trailer 26000 L, 4mm Galvanized steel, 12 Ton 2 arabian Axle , Landing gear JOST Germany,  6" swing type valve - 2 Each, 4" spray pipe system w/6 spray sprinkler as per provided drawing, internal Epoxy, Tyre By KSC</t>
  </si>
  <si>
    <t>Oasis Sykes Dewatering Pump automatic vacuum assisted WP100-60 , 4" inlet / 4" outlet , self priming centrifugal pump, max. flow 200 m3/h, max. head 30.5m, hedriven by Lister  TR2 air cooled electrically start diesel engine</t>
  </si>
  <si>
    <t>Oasis Sykes Dewatering Pump automatic vacuum assisted WP150-60 , 6" inlet / 6" outlet , self priming centrifugal pump , max. flow 360 m3/h, max. head 40m, driven by Lister  TR3 air cooled electrically start diesel engine</t>
  </si>
  <si>
    <t>Oasis Sykes Dewatering Pump automatic vacuum assisted GP200M , 8" inlet / 8" outlet , self priming centrifugal pump , max. flow 580 m3/h, max. head 41m, driven by Iveco 8045E00 water cooled electrically start diesel engine</t>
  </si>
  <si>
    <t>Fabrication &amp; Supply of 7 y3 Rear loading Refuse Compactor type MWC-700-RL to be mounted on our Chassis.</t>
  </si>
  <si>
    <t>Fabrication &amp; Supply of 22 y3 Rear loading Refuse Compactor type MWC-5000-RL equipped with 12000 LBS hyraulic winch to be mounted on our Chassis.</t>
  </si>
  <si>
    <t>CAT.GRADER 160HG SN:CCP00442</t>
  </si>
  <si>
    <t>CAT.GRADER 140H VHP SN:H00317</t>
  </si>
  <si>
    <t>CAT.GRADER 14H SN:ASE02290</t>
  </si>
  <si>
    <t xml:space="preserve">Fabrication &amp; installation of 8000 Ltr capacity Pouring Truck </t>
  </si>
  <si>
    <t>Brand New Vogele Road Paver Super 1800-2 with  Screed AB 600-2 TV- working width 8.5 Mtr ,Water cooled Perkin Disesel engine 129.6KW, material hoper 13 Ton, screed continuously extending between 3-6m</t>
  </si>
  <si>
    <t>Brand New Gehl Asphalt Paver Model # 1448Plus, 2.7M Max. Width,Transport width 2565mm, Overall Height 2108mm, Engine Yanmar 36hp (26) @ 3000rpm, Hooper Capacity 4 tons, Hydaulic System, Warranty One Year, Made in USA</t>
  </si>
  <si>
    <t>Brand New Caterpillar Bitelli Track Paver Model BB621E, operating weight W/RB260- 4000Kg , Engine CAT C2.2, 46HP, paving width w/hydraulic extension 1.4  - 2.6 Mtr , paving width w/mechanical extension- 3.4 Mtr, augur diameter 20cm ,</t>
  </si>
  <si>
    <t>Plate Compactor 120Kg with Robin Gasoline Engine Model JDA-120 , JCF-Korea</t>
  </si>
  <si>
    <t>Plate Compactor 90Kg with Robin Gasoline Engine Model JDA-90 , JCF-Korea</t>
  </si>
  <si>
    <t>Brand New Tadano Cargo Crane TM-ZE 503GMH, 4040Kg capacity at 2.95m , 3 section boom , length 3.47 Mtr To 8.3 1m ( Price includes installation )  Warranty: One Year or 1000 Hours</t>
  </si>
  <si>
    <t>Hiab Telescopic Crane SH 270 T-5 , 10 Ton capacity , max out reach 20.3m , max.lifting height 23.3m , crane weight 4200Kg.  Warranty: 12 Months from installation.</t>
  </si>
  <si>
    <t>Yongmao Tower Crane Model STT403 , Height 25.6m, 18 Ton, jib length 60m , tip load 6.3t @ 60m with Climbing Cage ( H205)</t>
  </si>
  <si>
    <t>Yongmao Tower Crane Model STT403 , Height 31.6m, 18 Ton, jib length 60m , tip load 6.3t @ 60m with Climbing Cage ( H205 )</t>
  </si>
  <si>
    <t>Yongmao Tower Crane Model STT403 , Height 43.6m, 18 Ton, jib length 80m , tip load 3t @ 80m</t>
  </si>
  <si>
    <t>Yongmao Tower Crane Model STT403 , Height 49.6m, 18 Ton, jib length 80m , tip load 3t @ 80m</t>
  </si>
  <si>
    <t>Brand New Concrete Batching Plant Model KICE-AT4-W-120,  wet 120m3/hour, Aggr. 60tons, Aggr. Loading 15kw, Aggr. weigh Hopper 6m3(12,000kg) Cement weigh Hopper 35,00kg, 11kw water pump, Air comp. 500L electric motor 7.5HP, 31CFM outout</t>
  </si>
  <si>
    <t>Mobile Batching Plant 50 m3/Hour capacity ( Pegasus 60 ), with aggregate storage silo ( 4x13.45=54m3 ), aggregate weigh batcher 0-2500Kg, aggregate transfer conveyor, 1500/1000 I pan mixer( Elkon), cement weight batcher 0-500Kg,</t>
  </si>
  <si>
    <t>Brand New Concrete Batching Plant Model Mob-W-60 , wet output 60 m3/hour with two build in cement silos ( 30 Tons each ), Radial Conveyors, complete unit with all fittings &amp; accessories</t>
  </si>
  <si>
    <t>Pump Driven by Diesel Engine, H10HC-14 (14Stages w/Cone Strainer), Gives 450gpm @ 700 TDH, Column Pipe 6" x 2.5" x 1-1/2" x 10FT(66 Joints) Gear Head 200HP 5:6 STD Shaft SL 61 x 48, Discharge Head 20 x 10 x 6, RS 6x2.5 (50Pcs), 274 HP Cat.</t>
  </si>
  <si>
    <t>Brand New PUTZMEISTER CONCREAT PUMP [BSF42.5.16] (42Meter) - With MB4140 Truck Chassis 8x4 - 5 Sections as per attached specifications</t>
  </si>
  <si>
    <t>Brand New PUTZMEISTER CONCREAT PUMP Model [BSF56-5.16](56 Meter)  H Mounted On MB4143 Truck Chassis 8x4, 5 Sections , as per attached specifications</t>
  </si>
  <si>
    <t>Everdigm Concrete Pump 36Mtr, Model:36ZX,Mounted on MB(6X4) chassis 3340/45,2010(Terms &amp; Condition as per your Quote-SDEC-2061/2010 dated 16/12/10)SDEC will bring the non common parts upto 40Kg weight within 10days without additional charge</t>
  </si>
  <si>
    <t>Brand New Volvo Concrete Mixer Truck  8 x 4 ,  model FM400HR84R with 12 m3 Stetter Mixer CBU ( Europe ), model year 2011 ( Warranty: First yeasr unlimited mileage on complete vehicle &amp; Second year for 200000Km or equivalent hours.</t>
  </si>
  <si>
    <t>Brand New DIECI Truck Mixer type N2400 , 2400 Ltr capacity, with Lombardini LDW2004 engine , 4 cyl, 47.6HP, Made in Italy. Year Model 2011  ( Warranty: One Year )</t>
  </si>
  <si>
    <t>Light Weight Foam Concrete Machine 1.5M3, 2 Foam Compressors, Cement Powder Elevator, C Panel, Trolly, Pump 1200 as per attached specifications</t>
  </si>
  <si>
    <t>Asphalt Cutter Toku Model TKC-450 with EY35 Gasoline Engine Japan ( Suitable for 14" - 16" - 18" ) with Diamond Blade 16" Japan.</t>
  </si>
  <si>
    <t>Asphalt Coring Machine</t>
  </si>
  <si>
    <t>Truck paint striper</t>
  </si>
  <si>
    <t>Mercedes Benz 6x4 Boom Truck+painting machine</t>
  </si>
  <si>
    <t>Brand New Caterpillar Asphalt Compactor Model CB-24E, Operating Weight:2,700 Kg, Compaction Width:1200MM, Engine:CAT C1.5, Gross Power 34 HP, Static Liner Load 13.45Kg/CM. C Force:31.3KN, V Frequency 63 HZ, Working Speed : 0-10.5 KM/H.</t>
  </si>
  <si>
    <t>Brand New Caterpiller Asphalt Compactor Model CB14 , operating weight 1620Kg, compactior width 800mm, engine CAT C1.1 , 21.6HP, overall length 2050mm ( Warranty: 12 Months</t>
  </si>
  <si>
    <t>Brand New Caterpillar Double Drum Asphalt Compactor CB-534D, operating weight 10450Kg, with CAT 3054C engine , 130hp, compaction width 1700mm, Year Model 2013. Warranty: One Year</t>
  </si>
  <si>
    <t>Brand New Caterpillar Asphalt COmpactor Model CC-24 , operating weight 2400Kg, engine CAT C1.5 , 33HP , Front side with steel roller &amp; rear side with pneumatic tyres.  Warranty: One Year. Made in France</t>
  </si>
  <si>
    <t>Brand New Bobcat Model S130 , 650Kg , Diesel engine 53HP 4 cyl, water cooled, hydrostatic drive- 4 wheel drive, 11.8Km/hrs, operating weight 2315Kg, , bucket height 3535mm , capacity 0.41 m3. ( Warranrty: One Year OR 2000Hrs )</t>
  </si>
  <si>
    <t>Brand New Backhoe Loader Model 3CX, 4WD with side shift JCB Diesel Engine, 92HP, 2200rpm, 4 Cylinder, water cooled, Dig Depth: 4.24M, Max.Loader Capacity 1.1M3, Operating weight 7370Kg. , Year Model 2013.  Made in UK</t>
  </si>
  <si>
    <t>Brand New Caterpillar Backhoe Loader Model 428F, CAT 3054C engine , 93HP, operating weight 7294HP, Loader bucket capacity 1.0 m3 , backhoe bucket capacity 610mm, max. digging depth 4.8m ,  canopy Year Model 2013</t>
  </si>
  <si>
    <t xml:space="preserve">BOBCAT TELE HANDLER MODEL T40170 , lifting height 17.43 Mtr, rated capacity- 4 Ton , with bucket &amp; fork , Perkin engine 1104D-44TA- Turbo, 4 cyl , 100Hp@2200rpm  Model </t>
  </si>
  <si>
    <t>02700435</t>
  </si>
  <si>
    <t>02300410</t>
  </si>
  <si>
    <t>001</t>
  </si>
  <si>
    <t>002</t>
  </si>
  <si>
    <t>003</t>
  </si>
  <si>
    <t>004</t>
  </si>
  <si>
    <t>005</t>
  </si>
  <si>
    <t>006</t>
  </si>
  <si>
    <t>Operator Excavator</t>
  </si>
  <si>
    <t>Operator Dozer</t>
  </si>
  <si>
    <t>Operator Jack Hammer</t>
  </si>
  <si>
    <t>Operator loader</t>
  </si>
  <si>
    <t>Driver Dump Truck</t>
  </si>
  <si>
    <t>Heavy Duty Driver</t>
  </si>
  <si>
    <t>Pump Technician</t>
  </si>
  <si>
    <t>Operator Roller</t>
  </si>
  <si>
    <t>Grader Operator</t>
  </si>
  <si>
    <t>Operator Asphalt</t>
  </si>
  <si>
    <t>Operator</t>
  </si>
  <si>
    <t>Operator Crane</t>
  </si>
  <si>
    <t>Operator Batching Plant</t>
  </si>
  <si>
    <t>Operator - Concrete Pump</t>
  </si>
  <si>
    <t>Driver Concrete Mixer</t>
  </si>
  <si>
    <t>Painter Road</t>
  </si>
  <si>
    <t>Operator Road Equipment</t>
  </si>
  <si>
    <t>Operator Bobcat</t>
  </si>
  <si>
    <t>Operator Backhoe</t>
  </si>
  <si>
    <t>Operator Discription</t>
  </si>
  <si>
    <t>Puchase Cost</t>
  </si>
  <si>
    <t>Salvage Cost</t>
  </si>
  <si>
    <t>Depriciation Rate/Month</t>
  </si>
  <si>
    <t>Depriciation Rate/Day</t>
  </si>
  <si>
    <t>Depriciation Rate/Hr</t>
  </si>
  <si>
    <t>P</t>
  </si>
  <si>
    <t>S</t>
  </si>
  <si>
    <t>N</t>
  </si>
  <si>
    <t>D=(P-S)/N</t>
  </si>
  <si>
    <t>D'= D/26</t>
  </si>
  <si>
    <t>D"=D'/8</t>
  </si>
  <si>
    <t>Fixed Cost</t>
  </si>
  <si>
    <t>Operator Cost</t>
  </si>
  <si>
    <t>O</t>
  </si>
  <si>
    <t>O'=O/26</t>
  </si>
  <si>
    <t>O"=O'/8</t>
  </si>
  <si>
    <t>KG of Fuel used per brake HP/Hour</t>
  </si>
  <si>
    <t>K</t>
  </si>
  <si>
    <t>Goss Engine Horse power</t>
  </si>
  <si>
    <t>GHP</t>
  </si>
  <si>
    <t>Load Factor</t>
  </si>
  <si>
    <t>LF</t>
  </si>
  <si>
    <t>Type of Fuel</t>
  </si>
  <si>
    <t>G=Gasoline D= Diesel</t>
  </si>
  <si>
    <t>Weight of Fuel in KG/ Liter</t>
  </si>
  <si>
    <t>KPL</t>
  </si>
  <si>
    <t>Gasoline Consumption/Hr</t>
  </si>
  <si>
    <t>Diesel Consumption/Hr</t>
  </si>
  <si>
    <t>LMPH=(K*GHP*LF)/KPL</t>
  </si>
  <si>
    <t>Gasoline Rate/litre</t>
  </si>
  <si>
    <t>Diesel Rate/litre</t>
  </si>
  <si>
    <t>Gasoline Consumption Rate /Hr</t>
  </si>
  <si>
    <t>Diesel Consumption Rate/Hr</t>
  </si>
  <si>
    <t>GR</t>
  </si>
  <si>
    <t>DR</t>
  </si>
  <si>
    <t>GCR=LMPH*GR</t>
  </si>
  <si>
    <t>DCR=LMPH*DR</t>
  </si>
  <si>
    <t>Crankcase Oil</t>
  </si>
  <si>
    <t>Transmission Oil</t>
  </si>
  <si>
    <t>Final Drives</t>
  </si>
  <si>
    <t>Hydraulic Control</t>
  </si>
  <si>
    <t>Oil &amp; Lubricant Rate</t>
  </si>
  <si>
    <t>Oil &amp;Lubricant Consumption /HR</t>
  </si>
  <si>
    <t>Oil &amp; Lubricant Consumption Rate/ HR</t>
  </si>
  <si>
    <t>OLC= Q1+Q2+Q3+Q4</t>
  </si>
  <si>
    <t>OLR</t>
  </si>
  <si>
    <t>OLCR=OLC*OLR</t>
  </si>
  <si>
    <t>G</t>
  </si>
  <si>
    <t>D</t>
  </si>
  <si>
    <t>Q1= 0.0006* GHP*1.25</t>
  </si>
  <si>
    <t>Q2= 0.0003* GHP*1.25</t>
  </si>
  <si>
    <t>Q3=0.0002* GHP * 1.25</t>
  </si>
  <si>
    <t>Q4= 0.0001* GHP*1.25</t>
  </si>
  <si>
    <t>Fuel ,Oil &amp; Lubricant Cost</t>
  </si>
  <si>
    <t>Percentage rate</t>
  </si>
  <si>
    <t>P%</t>
  </si>
  <si>
    <t>M=D*P%</t>
  </si>
  <si>
    <t>Maintenance Rate/Month</t>
  </si>
  <si>
    <t>Maintenance Rate/Day</t>
  </si>
  <si>
    <t>Maintenance Rate/HR</t>
  </si>
  <si>
    <t>M'=M/26</t>
  </si>
  <si>
    <t>M"=M'/8</t>
  </si>
  <si>
    <t>T=10%*D</t>
  </si>
  <si>
    <t>Tyres Rate/ Month</t>
  </si>
  <si>
    <t>Tyres Rate/ Day</t>
  </si>
  <si>
    <t>Tyres Rate/ Hr</t>
  </si>
  <si>
    <t>T'=T/26</t>
  </si>
  <si>
    <t>T"=T'/8</t>
  </si>
  <si>
    <t>Total</t>
  </si>
  <si>
    <t>Gasoline Consumption Rate /Day</t>
  </si>
  <si>
    <t>Gasoline Consumption Rate /Month</t>
  </si>
  <si>
    <t>GRC'=GRC*8</t>
  </si>
  <si>
    <t>Diesel Consumption Rate/Day</t>
  </si>
  <si>
    <t>Diesel Consumption Rate/Month</t>
  </si>
  <si>
    <t>DCR'=DCR*8</t>
  </si>
  <si>
    <t>DCR"=DCR'*26</t>
  </si>
  <si>
    <t>Oil &amp; Lubricant Consumption Rate/ Day</t>
  </si>
  <si>
    <t>Oil &amp; Lubricant Consumption Rate/ Month</t>
  </si>
  <si>
    <t>OLCR''=OLCR'*26</t>
  </si>
  <si>
    <t>OLCR'=OLCR*8</t>
  </si>
  <si>
    <t>Crew rate/Hr</t>
  </si>
  <si>
    <t>Crew rate/day</t>
  </si>
  <si>
    <t>Crew rate/Month</t>
  </si>
  <si>
    <t>Old Activity Code</t>
  </si>
  <si>
    <t>Manpower Hours / Day</t>
  </si>
  <si>
    <t>Manpower Cost/day</t>
  </si>
  <si>
    <t>GRC'=GRC*26</t>
  </si>
  <si>
    <t>Division Description</t>
  </si>
  <si>
    <t>Div.</t>
  </si>
  <si>
    <t>Resource Order</t>
  </si>
  <si>
    <t>Resource Main Code</t>
  </si>
  <si>
    <t>Resource Main Code Mod.</t>
  </si>
  <si>
    <t>Non-Manual Staff Details</t>
  </si>
  <si>
    <t>Yearly Expenses Proportional in Terms of Basic Salary</t>
  </si>
  <si>
    <t>Monthly Expense in terms of Basic Salary</t>
  </si>
  <si>
    <t>Fixed Yearly Payment</t>
  </si>
  <si>
    <t xml:space="preserve">One time Payment in terms of Basic </t>
  </si>
  <si>
    <t>Fixed One time Payment</t>
  </si>
  <si>
    <t>Monthly Expense of all Categories</t>
  </si>
  <si>
    <t>Type</t>
  </si>
  <si>
    <t>Portfolio</t>
  </si>
  <si>
    <t>Sub-Division</t>
  </si>
  <si>
    <t>Organization Position</t>
  </si>
  <si>
    <t>Sum of Basic Salary</t>
  </si>
  <si>
    <t>Average of Basic Salary</t>
  </si>
  <si>
    <t>Max of Basic Salary</t>
  </si>
  <si>
    <t>Min of Basic Salary</t>
  </si>
  <si>
    <t>Max of Transport Allowance</t>
  </si>
  <si>
    <t>Min of Transport Allowance</t>
  </si>
  <si>
    <t>Min of Housing Allowance monthes</t>
  </si>
  <si>
    <t>Max of Housing Allowance monthes</t>
  </si>
  <si>
    <t>Max of Food Allowance</t>
  </si>
  <si>
    <t>Min of Food Allowance</t>
  </si>
  <si>
    <t>Vacation Pay</t>
  </si>
  <si>
    <t>Bonus</t>
  </si>
  <si>
    <t>EOS Benefits</t>
  </si>
  <si>
    <t>GOSI</t>
  </si>
  <si>
    <t>Air tickets</t>
  </si>
  <si>
    <t>medical</t>
  </si>
  <si>
    <t>Iqama Cost</t>
  </si>
  <si>
    <t>Work Permits</t>
  </si>
  <si>
    <t>Recruitment expenses</t>
  </si>
  <si>
    <t>Relocation allowance</t>
  </si>
  <si>
    <t>Visa cost</t>
  </si>
  <si>
    <t>Basic</t>
  </si>
  <si>
    <t>Transportation</t>
  </si>
  <si>
    <t>Housing</t>
  </si>
  <si>
    <t>Food Allowance</t>
  </si>
  <si>
    <t>Manual</t>
  </si>
  <si>
    <t>Miscelainious</t>
  </si>
  <si>
    <t>Lab</t>
  </si>
  <si>
    <t>Assistant Lab Technician</t>
  </si>
  <si>
    <t>Store</t>
  </si>
  <si>
    <t>Assistant Store Keeper</t>
  </si>
  <si>
    <t>Surveying</t>
  </si>
  <si>
    <t>Assistant Surveyor</t>
  </si>
  <si>
    <t>Batch pmalnts</t>
  </si>
  <si>
    <t>Batching Plant Maintenance Supervisor</t>
  </si>
  <si>
    <t>Cleaning Projects</t>
  </si>
  <si>
    <t>Work Shop</t>
  </si>
  <si>
    <t>Body Repairman</t>
  </si>
  <si>
    <t>O&amp;m</t>
  </si>
  <si>
    <t>Car Parking</t>
  </si>
  <si>
    <t>Car Parking Attendant</t>
  </si>
  <si>
    <t>Concrete Form</t>
  </si>
  <si>
    <t>Carpenter Finishing</t>
  </si>
  <si>
    <t>Concrete</t>
  </si>
  <si>
    <t>Carpenter Shuttering</t>
  </si>
  <si>
    <t>IT</t>
  </si>
  <si>
    <t>Computers</t>
  </si>
  <si>
    <t>Computer Technician</t>
  </si>
  <si>
    <t>Kitchen</t>
  </si>
  <si>
    <t>Cook</t>
  </si>
  <si>
    <t>Crusher Operator</t>
  </si>
  <si>
    <t>Crusher Technician</t>
  </si>
  <si>
    <t>Cutter</t>
  </si>
  <si>
    <t>Denter</t>
  </si>
  <si>
    <t>Diesel Mechanic</t>
  </si>
  <si>
    <t>Drivers</t>
  </si>
  <si>
    <t>Driver Ambulance</t>
  </si>
  <si>
    <t>Driver Heavy Duty</t>
  </si>
  <si>
    <t>Driver Light</t>
  </si>
  <si>
    <t>Driver Office</t>
  </si>
  <si>
    <t>Driver Trailer</t>
  </si>
  <si>
    <t>HVAC</t>
  </si>
  <si>
    <t>Duct Fabricator</t>
  </si>
  <si>
    <t>Duct Fitter</t>
  </si>
  <si>
    <t>Duct Technician</t>
  </si>
  <si>
    <t>Electrical</t>
  </si>
  <si>
    <t>Foremans</t>
  </si>
  <si>
    <t>Forman</t>
  </si>
  <si>
    <t>Foreman</t>
  </si>
  <si>
    <t>Asphalt Plant</t>
  </si>
  <si>
    <t>Foreman Asphalt Plant</t>
  </si>
  <si>
    <t>Supervision</t>
  </si>
  <si>
    <t>Foreman Assistant</t>
  </si>
  <si>
    <t>Camp</t>
  </si>
  <si>
    <t>Foreman Camp</t>
  </si>
  <si>
    <t>Foreman Carpenter</t>
  </si>
  <si>
    <t>General</t>
  </si>
  <si>
    <t>Foreman Civil</t>
  </si>
  <si>
    <t>Cleaning</t>
  </si>
  <si>
    <t>Foreman Cleaning</t>
  </si>
  <si>
    <t>Crushing Plant</t>
  </si>
  <si>
    <t>Foreman Crusher</t>
  </si>
  <si>
    <t>Foreman Ducting</t>
  </si>
  <si>
    <t>Earth Work</t>
  </si>
  <si>
    <t>Foreman Earthwork</t>
  </si>
  <si>
    <t>Foreman Electrical</t>
  </si>
  <si>
    <t>Foreman EMD</t>
  </si>
  <si>
    <t>Foreman Finishing</t>
  </si>
  <si>
    <t>Foreman HVAC</t>
  </si>
  <si>
    <t>Foreman Mason</t>
  </si>
  <si>
    <t>Foreman Mechanical</t>
  </si>
  <si>
    <t>Foreman Operations</t>
  </si>
  <si>
    <t>Foreman Painter</t>
  </si>
  <si>
    <t>Plumbing</t>
  </si>
  <si>
    <t>Sewage</t>
  </si>
  <si>
    <t>Foreman Piping</t>
  </si>
  <si>
    <t>Foreman Plant Equipment</t>
  </si>
  <si>
    <t>Building Plumbing</t>
  </si>
  <si>
    <t>Foreman Plumbing</t>
  </si>
  <si>
    <t>Roads</t>
  </si>
  <si>
    <t>Foreman Roads</t>
  </si>
  <si>
    <t>Site</t>
  </si>
  <si>
    <t>Foreman Scraper</t>
  </si>
  <si>
    <t>Reinforcement</t>
  </si>
  <si>
    <t>Foreman Steel Fixer</t>
  </si>
  <si>
    <t>Traffic</t>
  </si>
  <si>
    <t>Foreman Traffic Safety</t>
  </si>
  <si>
    <t>Foreman Traffic Signals</t>
  </si>
  <si>
    <t>Transportaion</t>
  </si>
  <si>
    <t>Foreman Transport</t>
  </si>
  <si>
    <t>Foreman Workshop</t>
  </si>
  <si>
    <t>Gardener</t>
  </si>
  <si>
    <t>Greaseman</t>
  </si>
  <si>
    <t>Helper Carpenter</t>
  </si>
  <si>
    <t>Helper Electrician</t>
  </si>
  <si>
    <t>Helper HVAC</t>
  </si>
  <si>
    <t>Helper Mason</t>
  </si>
  <si>
    <t>Helper Mechanic</t>
  </si>
  <si>
    <t>Helper Painter</t>
  </si>
  <si>
    <t>Helper Pipe Fitter</t>
  </si>
  <si>
    <t>Helper Steel fixer</t>
  </si>
  <si>
    <t>Helper Surveyor</t>
  </si>
  <si>
    <t>Helper Technical</t>
  </si>
  <si>
    <t>Welding</t>
  </si>
  <si>
    <t>Helper Welder</t>
  </si>
  <si>
    <t>site</t>
  </si>
  <si>
    <t>Insect Spray Specialist</t>
  </si>
  <si>
    <t>Labour Cleaning</t>
  </si>
  <si>
    <t>Labour Workshop</t>
  </si>
  <si>
    <t>Lead Man Carpenter</t>
  </si>
  <si>
    <t>Lead Man Mason</t>
  </si>
  <si>
    <t>Lead Man Steel Fixer</t>
  </si>
  <si>
    <t>Leadman</t>
  </si>
  <si>
    <t>Leadman Duct</t>
  </si>
  <si>
    <t>Leadman Electrician</t>
  </si>
  <si>
    <t>Leadman Painter</t>
  </si>
  <si>
    <t>Leadman Plumber</t>
  </si>
  <si>
    <t>Leadman Welder</t>
  </si>
  <si>
    <t>Maintenance Superintendent</t>
  </si>
  <si>
    <t>Mechanic Auto</t>
  </si>
  <si>
    <t>Mechanic Crusher</t>
  </si>
  <si>
    <t>Mechanic Diesel</t>
  </si>
  <si>
    <t>Mechanic Gasoline</t>
  </si>
  <si>
    <t>Mechanic Heavy Equipment</t>
  </si>
  <si>
    <t>Mechanic Hydraulic</t>
  </si>
  <si>
    <t>Mechanic Pump</t>
  </si>
  <si>
    <t>Mechanic Radiator</t>
  </si>
  <si>
    <t>Metal</t>
  </si>
  <si>
    <t>Metal Worker</t>
  </si>
  <si>
    <t>Millwright</t>
  </si>
  <si>
    <t>Network</t>
  </si>
  <si>
    <t>Network Technician</t>
  </si>
  <si>
    <t>cleaning</t>
  </si>
  <si>
    <t>Oilman</t>
  </si>
  <si>
    <t>Batch Plant</t>
  </si>
  <si>
    <t>Operator Equipment</t>
  </si>
  <si>
    <t>Operator Forklift</t>
  </si>
  <si>
    <t>Operator Generator</t>
  </si>
  <si>
    <t>Operator Grader</t>
  </si>
  <si>
    <t>Operator- Grader (Finishing)</t>
  </si>
  <si>
    <t>Operator Heavy Equipment</t>
  </si>
  <si>
    <t>Operator Milling Machine</t>
  </si>
  <si>
    <t>Operator Paver</t>
  </si>
  <si>
    <t>Operator Plant</t>
  </si>
  <si>
    <t>Operator Pump</t>
  </si>
  <si>
    <t>Operator Sweeper</t>
  </si>
  <si>
    <t>Operator Tower crane</t>
  </si>
  <si>
    <t>Operator Water Plant</t>
  </si>
  <si>
    <t>Painter Building</t>
  </si>
  <si>
    <t>Pipe Fitter</t>
  </si>
  <si>
    <t>Plumber</t>
  </si>
  <si>
    <t>Rigger</t>
  </si>
  <si>
    <t>Plaster</t>
  </si>
  <si>
    <t>Sand Blaster</t>
  </si>
  <si>
    <t>Scaffolding</t>
  </si>
  <si>
    <t>Scaffolder</t>
  </si>
  <si>
    <t>Form Work Department</t>
  </si>
  <si>
    <t>Scrap Inspector</t>
  </si>
  <si>
    <t>Security Guard</t>
  </si>
  <si>
    <t>Sheet Metal Fitter</t>
  </si>
  <si>
    <t>Store Keeper</t>
  </si>
  <si>
    <t>Supervisor Camp Installation</t>
  </si>
  <si>
    <t>Office</t>
  </si>
  <si>
    <t>Tea Boy</t>
  </si>
  <si>
    <t>Technician AC</t>
  </si>
  <si>
    <t>Technician Equipment</t>
  </si>
  <si>
    <t>Technician Lab</t>
  </si>
  <si>
    <t>Technician Mechanical</t>
  </si>
  <si>
    <t>Technician Mould</t>
  </si>
  <si>
    <t>Technician Pesticide</t>
  </si>
  <si>
    <t>Safety</t>
  </si>
  <si>
    <t>Technician Safety</t>
  </si>
  <si>
    <t>Technician Welder</t>
  </si>
  <si>
    <t>Technician Workshop</t>
  </si>
  <si>
    <t>Telephone Operator</t>
  </si>
  <si>
    <t>Ceramic</t>
  </si>
  <si>
    <t>Tyreman</t>
  </si>
  <si>
    <t>Villa Attendant</t>
  </si>
  <si>
    <t>L.M</t>
  </si>
  <si>
    <r>
      <t>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</si>
  <si>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M</t>
    </r>
    <r>
      <rPr>
        <vertAlign val="superscript"/>
        <sz val="11"/>
        <color theme="1"/>
        <rFont val="Calibri"/>
        <family val="2"/>
        <scheme val="minor"/>
      </rPr>
      <t>2</t>
    </r>
  </si>
  <si>
    <t>Div</t>
  </si>
  <si>
    <t>Resource Description</t>
  </si>
  <si>
    <t>3</t>
  </si>
  <si>
    <t>5</t>
  </si>
  <si>
    <t>6</t>
  </si>
  <si>
    <t>Manual Manpower Cost Database</t>
  </si>
  <si>
    <t>Resource Main code</t>
  </si>
  <si>
    <t>Code System For Manual Manpower Crew</t>
  </si>
  <si>
    <t>Code System For Materials</t>
  </si>
  <si>
    <t xml:space="preserve">Unique List For Material </t>
  </si>
  <si>
    <t xml:space="preserve">Activity list </t>
  </si>
  <si>
    <t>Code System For Subcontractor</t>
  </si>
  <si>
    <t>Site Improvement &amp; Amenities</t>
  </si>
  <si>
    <t>Sub-Contractor List</t>
  </si>
  <si>
    <t>Unique List For Sub-Contractors</t>
  </si>
  <si>
    <t>Code System For Equipment</t>
  </si>
  <si>
    <t>No. of Machinaries required by item</t>
  </si>
  <si>
    <t>List Of Machinary and Production Rates</t>
  </si>
  <si>
    <t>Activity List</t>
  </si>
  <si>
    <t>02700425</t>
  </si>
  <si>
    <t>02700410</t>
  </si>
  <si>
    <t>02700440</t>
  </si>
  <si>
    <t>02300450</t>
  </si>
  <si>
    <t>02100405</t>
  </si>
  <si>
    <t>02200405</t>
  </si>
  <si>
    <t>07200405</t>
  </si>
  <si>
    <t>02300455</t>
  </si>
  <si>
    <t>02700415</t>
  </si>
  <si>
    <t>02300440</t>
  </si>
  <si>
    <t>02700420</t>
  </si>
  <si>
    <t>03300415</t>
  </si>
  <si>
    <t>03300405</t>
  </si>
  <si>
    <t>03300410</t>
  </si>
  <si>
    <t>02300430</t>
  </si>
  <si>
    <t>02300445</t>
  </si>
  <si>
    <t>09900405</t>
  </si>
  <si>
    <t>01400</t>
  </si>
  <si>
    <t>CSI Code</t>
  </si>
  <si>
    <t>CSI Description</t>
  </si>
  <si>
    <t>Quality Requirements</t>
  </si>
  <si>
    <t>01500</t>
  </si>
  <si>
    <t>Temporary facilities &amp; Controls</t>
  </si>
  <si>
    <t>01700</t>
  </si>
  <si>
    <t>Execution Requirements</t>
  </si>
  <si>
    <t>01800</t>
  </si>
  <si>
    <t>Facility Operation</t>
  </si>
  <si>
    <t>Cast in Place Concrete</t>
  </si>
  <si>
    <t>16700</t>
  </si>
  <si>
    <t>Communications</t>
  </si>
  <si>
    <t>Site Preparation</t>
  </si>
  <si>
    <t>15900</t>
  </si>
  <si>
    <t>HVAC instrumentation &amp; Controls</t>
  </si>
  <si>
    <t>Basic Electrical Materials &amp; Methods</t>
  </si>
  <si>
    <t>Site Construction</t>
  </si>
  <si>
    <t>09050</t>
  </si>
  <si>
    <t>Basic Finish Materials &amp; Methods</t>
  </si>
  <si>
    <t>Building Services Piping</t>
  </si>
  <si>
    <t>14900</t>
  </si>
  <si>
    <t>General Requirement</t>
  </si>
  <si>
    <t>Div Description</t>
  </si>
  <si>
    <t xml:space="preserve">Concrete </t>
  </si>
  <si>
    <t>Mechanical</t>
  </si>
  <si>
    <t>Div. Code</t>
  </si>
  <si>
    <t>010</t>
  </si>
  <si>
    <t>015</t>
  </si>
  <si>
    <t>020</t>
  </si>
  <si>
    <t>025</t>
  </si>
  <si>
    <t>030</t>
  </si>
  <si>
    <t>035</t>
  </si>
  <si>
    <t>040</t>
  </si>
  <si>
    <t>045</t>
  </si>
  <si>
    <t>050</t>
  </si>
  <si>
    <t>060</t>
  </si>
  <si>
    <t>055</t>
  </si>
  <si>
    <t>065</t>
  </si>
  <si>
    <t>070</t>
  </si>
  <si>
    <t>075</t>
  </si>
  <si>
    <t>080</t>
  </si>
  <si>
    <t>009</t>
  </si>
  <si>
    <t>012</t>
  </si>
  <si>
    <t>018</t>
  </si>
  <si>
    <t>021</t>
  </si>
  <si>
    <t>024</t>
  </si>
  <si>
    <t>027</t>
  </si>
  <si>
    <t>033</t>
  </si>
  <si>
    <t>036</t>
  </si>
  <si>
    <t>039</t>
  </si>
  <si>
    <t>042</t>
  </si>
  <si>
    <t>048</t>
  </si>
  <si>
    <t>051</t>
  </si>
  <si>
    <t>054</t>
  </si>
  <si>
    <t>057</t>
  </si>
  <si>
    <t>063</t>
  </si>
  <si>
    <t>066</t>
  </si>
  <si>
    <t>069</t>
  </si>
  <si>
    <t>072</t>
  </si>
  <si>
    <t>078</t>
  </si>
  <si>
    <t>081</t>
  </si>
  <si>
    <t>Manpower Code</t>
  </si>
  <si>
    <t>084</t>
  </si>
  <si>
    <t>Sculptor</t>
  </si>
  <si>
    <t>087</t>
  </si>
  <si>
    <t>Foreman Plaster</t>
  </si>
  <si>
    <t>Foreman Tile Fixer</t>
  </si>
  <si>
    <t>EX</t>
  </si>
  <si>
    <t>Manpower Main Code</t>
  </si>
  <si>
    <t>Fuel , Oil &amp; Lubricants</t>
  </si>
  <si>
    <t>Resource Category</t>
  </si>
  <si>
    <t>M</t>
  </si>
  <si>
    <t>LS</t>
  </si>
  <si>
    <t>Machine Type</t>
  </si>
  <si>
    <t>EH</t>
  </si>
  <si>
    <t>02100105</t>
  </si>
  <si>
    <t>02300105</t>
  </si>
  <si>
    <t>02700105</t>
  </si>
  <si>
    <t>02700110</t>
  </si>
  <si>
    <t>02700115</t>
  </si>
  <si>
    <t>02700120</t>
  </si>
  <si>
    <t>02700125</t>
  </si>
  <si>
    <t>02700130</t>
  </si>
  <si>
    <t>02700135</t>
  </si>
  <si>
    <t>02700140</t>
  </si>
  <si>
    <t>02700145</t>
  </si>
  <si>
    <t>03300105</t>
  </si>
  <si>
    <t>03300110</t>
  </si>
  <si>
    <t>03300115</t>
  </si>
  <si>
    <t>03300120</t>
  </si>
  <si>
    <t>03300125</t>
  </si>
  <si>
    <t>03300130</t>
  </si>
  <si>
    <t>03300135</t>
  </si>
  <si>
    <t>03400105</t>
  </si>
  <si>
    <t>03400110</t>
  </si>
  <si>
    <t>04200115</t>
  </si>
  <si>
    <t>04200125</t>
  </si>
  <si>
    <t>05500105</t>
  </si>
  <si>
    <t>05500110</t>
  </si>
  <si>
    <t>05650105</t>
  </si>
  <si>
    <t>05800105</t>
  </si>
  <si>
    <t>06400105</t>
  </si>
  <si>
    <t>07100105</t>
  </si>
  <si>
    <t>07100110</t>
  </si>
  <si>
    <t>07100115</t>
  </si>
  <si>
    <t>07200105</t>
  </si>
  <si>
    <t>09200110</t>
  </si>
  <si>
    <t>09200115</t>
  </si>
  <si>
    <t>09300105</t>
  </si>
  <si>
    <t>09300175</t>
  </si>
  <si>
    <t>09300185</t>
  </si>
  <si>
    <t>09400105</t>
  </si>
  <si>
    <t>09500105</t>
  </si>
  <si>
    <t>09500110</t>
  </si>
  <si>
    <t>09600105</t>
  </si>
  <si>
    <t>09600110</t>
  </si>
  <si>
    <t>09700107</t>
  </si>
  <si>
    <t>09700192</t>
  </si>
  <si>
    <t>09900105</t>
  </si>
  <si>
    <t>09900110</t>
  </si>
  <si>
    <t>09900115</t>
  </si>
  <si>
    <t>09900130</t>
  </si>
  <si>
    <t>10100105</t>
  </si>
  <si>
    <t>10750105</t>
  </si>
  <si>
    <t>10900105</t>
  </si>
  <si>
    <t>15100105</t>
  </si>
  <si>
    <t>15100110</t>
  </si>
  <si>
    <t>15200115</t>
  </si>
  <si>
    <t>15200120</t>
  </si>
  <si>
    <t>15200125</t>
  </si>
  <si>
    <t>15200130</t>
  </si>
  <si>
    <t>15200135</t>
  </si>
  <si>
    <t>15200140</t>
  </si>
  <si>
    <t>15200145</t>
  </si>
  <si>
    <t>15400105</t>
  </si>
  <si>
    <t>02300210</t>
  </si>
  <si>
    <t>02300215</t>
  </si>
  <si>
    <t>02300220</t>
  </si>
  <si>
    <t>02100205</t>
  </si>
  <si>
    <t>02100210</t>
  </si>
  <si>
    <t>02300225</t>
  </si>
  <si>
    <t>02700205</t>
  </si>
  <si>
    <t>09900205</t>
  </si>
  <si>
    <t>02700210</t>
  </si>
  <si>
    <t>02800210</t>
  </si>
  <si>
    <t>02900210</t>
  </si>
  <si>
    <t>03400205</t>
  </si>
  <si>
    <t>03400210</t>
  </si>
  <si>
    <t>05650205</t>
  </si>
  <si>
    <t>06400205</t>
  </si>
  <si>
    <t>08600205</t>
  </si>
  <si>
    <t>08900205</t>
  </si>
  <si>
    <t>09600225</t>
  </si>
  <si>
    <t>09200210</t>
  </si>
  <si>
    <t>09300215</t>
  </si>
  <si>
    <t>09500210</t>
  </si>
  <si>
    <t>09700205</t>
  </si>
  <si>
    <t>09300225</t>
  </si>
  <si>
    <t>09900210</t>
  </si>
  <si>
    <t>09600210</t>
  </si>
  <si>
    <t>10100205</t>
  </si>
  <si>
    <t>10800205</t>
  </si>
  <si>
    <t>11200205</t>
  </si>
  <si>
    <t>11460205</t>
  </si>
  <si>
    <t>11110205</t>
  </si>
  <si>
    <t>11600205</t>
  </si>
  <si>
    <t>12500205</t>
  </si>
  <si>
    <t>13200205</t>
  </si>
  <si>
    <t>13200210</t>
  </si>
  <si>
    <t>13240205</t>
  </si>
  <si>
    <t>13240210</t>
  </si>
  <si>
    <t>13800205</t>
  </si>
  <si>
    <t>13900205</t>
  </si>
  <si>
    <t>14200205</t>
  </si>
  <si>
    <t>15200220</t>
  </si>
  <si>
    <t>15700205</t>
  </si>
  <si>
    <t>16050205</t>
  </si>
  <si>
    <t>09600220</t>
  </si>
  <si>
    <t>15200315</t>
  </si>
  <si>
    <t>02700310</t>
  </si>
  <si>
    <t>02300315</t>
  </si>
  <si>
    <t>02100305</t>
  </si>
  <si>
    <t>15200310</t>
  </si>
  <si>
    <t>03400305</t>
  </si>
  <si>
    <t>03300310</t>
  </si>
  <si>
    <t>15100305</t>
  </si>
  <si>
    <t>02300310</t>
  </si>
  <si>
    <t>15200305</t>
  </si>
  <si>
    <t>09900305</t>
  </si>
  <si>
    <t>Unique List For Resources</t>
  </si>
  <si>
    <t>Coding System For Manual Manpower DataBase</t>
  </si>
  <si>
    <t>Extension Description</t>
  </si>
  <si>
    <t>Big</t>
  </si>
  <si>
    <t>Normal</t>
  </si>
  <si>
    <t xml:space="preserve">Double Dum </t>
  </si>
  <si>
    <t>Single Drum</t>
  </si>
  <si>
    <t>Small</t>
  </si>
  <si>
    <t>Telescope</t>
  </si>
  <si>
    <t>Tower</t>
  </si>
  <si>
    <t>Crawler</t>
  </si>
  <si>
    <t>Wheel</t>
  </si>
  <si>
    <t>Fixed</t>
  </si>
  <si>
    <t>Mobile</t>
  </si>
  <si>
    <t>Ext</t>
  </si>
  <si>
    <t>Resource Code</t>
  </si>
  <si>
    <t>Ext Description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</si>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</sst>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_-* #,##0.00\-;_-* &quot;-&quot;??_-;_-@_-"/>
    <numFmt numFmtId="165" formatCode="0.0"/>
    <numFmt numFmtId="166" formatCode="_(* #,##0_);_(* \(#,##0\);_(* &quot;-&quot;??_);_(@_)"/>
    <numFmt numFmtId="167" formatCode="0.000"/>
    <numFmt numFmtId="168" formatCode="_(* #,##0.0_);_(* \(#,##0.0\);_(* &quot;-&quot;??_);_(@_)"/>
    <numFmt numFmtId="169" formatCode="_(* #,##0.000_);_(* \(#,##0.000\);_(* &quot;-&quot;??_);_(@_)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22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9"/>
      <color theme="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-0.499984740745262"/>
        <bgColor indexed="64"/>
      </patternFill>
    </fill>
  </fills>
  <borders count="1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ck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6">
    <xf numFmtId="0" fontId="0" fillId="0" borderId="0"/>
    <xf numFmtId="0" fontId="3" fillId="0" borderId="0"/>
    <xf numFmtId="0" fontId="1" fillId="0" borderId="0"/>
    <xf numFmtId="0" fontId="3" fillId="0" borderId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43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" fillId="0" borderId="0"/>
    <xf numFmtId="0" fontId="3" fillId="0" borderId="0"/>
    <xf numFmtId="0" fontId="1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446"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2" fillId="0" borderId="1" xfId="0" applyFont="1" applyBorder="1" applyAlignment="1">
      <alignment horizontal="left"/>
    </xf>
    <xf numFmtId="49" fontId="2" fillId="0" borderId="1" xfId="0" applyNumberFormat="1" applyFont="1" applyBorder="1" applyAlignment="1">
      <alignment horizontal="left" vertical="top"/>
    </xf>
    <xf numFmtId="0" fontId="2" fillId="0" borderId="2" xfId="0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0" fillId="0" borderId="0" xfId="0" applyNumberFormat="1"/>
    <xf numFmtId="49" fontId="0" fillId="0" borderId="1" xfId="0" quotePrefix="1" applyNumberFormat="1" applyBorder="1" applyAlignment="1">
      <alignment horizontal="left"/>
    </xf>
    <xf numFmtId="49" fontId="2" fillId="0" borderId="1" xfId="0" quotePrefix="1" applyNumberFormat="1" applyFont="1" applyBorder="1" applyAlignment="1">
      <alignment horizontal="left" vertical="top"/>
    </xf>
    <xf numFmtId="49" fontId="0" fillId="0" borderId="1" xfId="0" quotePrefix="1" applyNumberFormat="1" applyBorder="1"/>
    <xf numFmtId="0" fontId="0" fillId="0" borderId="6" xfId="0" applyBorder="1"/>
    <xf numFmtId="0" fontId="0" fillId="0" borderId="7" xfId="0" applyBorder="1"/>
    <xf numFmtId="0" fontId="0" fillId="5" borderId="1" xfId="0" applyFill="1" applyBorder="1"/>
    <xf numFmtId="0" fontId="0" fillId="0" borderId="8" xfId="0" applyBorder="1"/>
    <xf numFmtId="0" fontId="0" fillId="0" borderId="9" xfId="0" applyBorder="1"/>
    <xf numFmtId="49" fontId="0" fillId="0" borderId="9" xfId="0" applyNumberFormat="1" applyBorder="1"/>
    <xf numFmtId="0" fontId="0" fillId="0" borderId="10" xfId="0" applyBorder="1"/>
    <xf numFmtId="0" fontId="6" fillId="6" borderId="11" xfId="0" applyFont="1" applyFill="1" applyBorder="1" applyAlignment="1">
      <alignment horizontal="center" vertical="center"/>
    </xf>
    <xf numFmtId="0" fontId="0" fillId="0" borderId="13" xfId="0" applyBorder="1" applyAlignment="1">
      <alignment horizontal="left"/>
    </xf>
    <xf numFmtId="0" fontId="0" fillId="0" borderId="14" xfId="0" applyBorder="1"/>
    <xf numFmtId="0" fontId="0" fillId="0" borderId="15" xfId="0" applyBorder="1" applyAlignment="1">
      <alignment horizontal="left"/>
    </xf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0" fontId="4" fillId="0" borderId="0" xfId="4" applyFill="1" applyBorder="1"/>
    <xf numFmtId="0" fontId="8" fillId="0" borderId="0" xfId="0" applyFont="1"/>
    <xf numFmtId="2" fontId="0" fillId="0" borderId="0" xfId="0" applyNumberFormat="1"/>
    <xf numFmtId="0" fontId="0" fillId="0" borderId="0" xfId="0" applyAlignment="1">
      <alignment horizontal="center" vertical="center" wrapText="1"/>
    </xf>
    <xf numFmtId="0" fontId="5" fillId="0" borderId="24" xfId="0" applyFont="1" applyBorder="1"/>
    <xf numFmtId="0" fontId="5" fillId="0" borderId="26" xfId="0" applyFont="1" applyBorder="1"/>
    <xf numFmtId="0" fontId="5" fillId="0" borderId="27" xfId="0" applyFont="1" applyBorder="1"/>
    <xf numFmtId="0" fontId="5" fillId="0" borderId="28" xfId="0" applyFont="1" applyBorder="1"/>
    <xf numFmtId="0" fontId="5" fillId="0" borderId="29" xfId="0" applyFont="1" applyBorder="1"/>
    <xf numFmtId="0" fontId="10" fillId="0" borderId="27" xfId="0" applyFont="1" applyBorder="1"/>
    <xf numFmtId="0" fontId="10" fillId="0" borderId="29" xfId="0" applyFont="1" applyBorder="1"/>
    <xf numFmtId="2" fontId="10" fillId="0" borderId="26" xfId="0" applyNumberFormat="1" applyFont="1" applyBorder="1"/>
    <xf numFmtId="0" fontId="5" fillId="0" borderId="16" xfId="0" applyFont="1" applyBorder="1"/>
    <xf numFmtId="0" fontId="5" fillId="0" borderId="32" xfId="0" applyFont="1" applyBorder="1"/>
    <xf numFmtId="0" fontId="5" fillId="0" borderId="34" xfId="0" applyFont="1" applyBorder="1"/>
    <xf numFmtId="0" fontId="5" fillId="0" borderId="1" xfId="0" applyFont="1" applyBorder="1"/>
    <xf numFmtId="0" fontId="10" fillId="0" borderId="1" xfId="0" applyFont="1" applyBorder="1"/>
    <xf numFmtId="2" fontId="10" fillId="0" borderId="32" xfId="0" applyNumberFormat="1" applyFont="1" applyBorder="1"/>
    <xf numFmtId="0" fontId="10" fillId="0" borderId="0" xfId="0" applyFont="1"/>
    <xf numFmtId="0" fontId="0" fillId="0" borderId="5" xfId="0" applyBorder="1"/>
    <xf numFmtId="0" fontId="0" fillId="0" borderId="42" xfId="0" applyBorder="1"/>
    <xf numFmtId="0" fontId="0" fillId="0" borderId="3" xfId="0" applyBorder="1"/>
    <xf numFmtId="0" fontId="0" fillId="0" borderId="4" xfId="0" applyBorder="1"/>
    <xf numFmtId="0" fontId="0" fillId="5" borderId="4" xfId="0" applyFill="1" applyBorder="1"/>
    <xf numFmtId="0" fontId="0" fillId="0" borderId="45" xfId="0" applyBorder="1"/>
    <xf numFmtId="0" fontId="0" fillId="0" borderId="29" xfId="0" applyBorder="1"/>
    <xf numFmtId="165" fontId="5" fillId="0" borderId="1" xfId="5" applyNumberFormat="1" applyFont="1" applyFill="1" applyBorder="1" applyAlignment="1">
      <alignment horizontal="center" vertical="center" wrapText="1"/>
    </xf>
    <xf numFmtId="43" fontId="0" fillId="0" borderId="0" xfId="15" applyFont="1"/>
    <xf numFmtId="43" fontId="13" fillId="10" borderId="47" xfId="15" applyFont="1" applyFill="1" applyBorder="1" applyAlignment="1">
      <alignment horizontal="centerContinuous"/>
    </xf>
    <xf numFmtId="0" fontId="13" fillId="10" borderId="47" xfId="0" applyFont="1" applyFill="1" applyBorder="1" applyAlignment="1">
      <alignment horizontal="centerContinuous"/>
    </xf>
    <xf numFmtId="0" fontId="13" fillId="10" borderId="49" xfId="0" applyFont="1" applyFill="1" applyBorder="1" applyAlignment="1">
      <alignment horizontal="centerContinuous"/>
    </xf>
    <xf numFmtId="0" fontId="14" fillId="10" borderId="11" xfId="0" applyFont="1" applyFill="1" applyBorder="1" applyAlignment="1">
      <alignment horizontal="centerContinuous"/>
    </xf>
    <xf numFmtId="0" fontId="14" fillId="10" borderId="47" xfId="0" applyFont="1" applyFill="1" applyBorder="1" applyAlignment="1">
      <alignment horizontal="centerContinuous"/>
    </xf>
    <xf numFmtId="0" fontId="15" fillId="10" borderId="11" xfId="0" applyFont="1" applyFill="1" applyBorder="1" applyAlignment="1">
      <alignment horizontal="centerContinuous"/>
    </xf>
    <xf numFmtId="0" fontId="15" fillId="10" borderId="47" xfId="0" applyFont="1" applyFill="1" applyBorder="1" applyAlignment="1">
      <alignment horizontal="centerContinuous"/>
    </xf>
    <xf numFmtId="0" fontId="15" fillId="10" borderId="49" xfId="0" applyFont="1" applyFill="1" applyBorder="1" applyAlignment="1">
      <alignment horizontal="centerContinuous"/>
    </xf>
    <xf numFmtId="0" fontId="17" fillId="0" borderId="0" xfId="0" applyFont="1"/>
    <xf numFmtId="0" fontId="9" fillId="0" borderId="6" xfId="5" applyFont="1" applyFill="1" applyBorder="1" applyAlignment="1">
      <alignment horizontal="center" vertical="center" wrapText="1"/>
    </xf>
    <xf numFmtId="0" fontId="9" fillId="0" borderId="1" xfId="5" applyFont="1" applyFill="1" applyBorder="1" applyAlignment="1">
      <alignment horizontal="center" vertical="center" wrapText="1"/>
    </xf>
    <xf numFmtId="43" fontId="9" fillId="0" borderId="6" xfId="15" applyFont="1" applyFill="1" applyBorder="1" applyAlignment="1">
      <alignment horizontal="center" vertical="center" wrapText="1"/>
    </xf>
    <xf numFmtId="43" fontId="9" fillId="0" borderId="1" xfId="15" applyFont="1" applyFill="1" applyBorder="1" applyAlignment="1">
      <alignment horizontal="center" vertical="center" wrapText="1"/>
    </xf>
    <xf numFmtId="2" fontId="9" fillId="0" borderId="1" xfId="5" applyNumberFormat="1" applyFont="1" applyFill="1" applyBorder="1" applyAlignment="1">
      <alignment horizontal="center" vertical="center" wrapText="1"/>
    </xf>
    <xf numFmtId="2" fontId="9" fillId="0" borderId="7" xfId="5" applyNumberFormat="1" applyFont="1" applyFill="1" applyBorder="1" applyAlignment="1">
      <alignment horizontal="center" vertical="center" wrapText="1"/>
    </xf>
    <xf numFmtId="2" fontId="9" fillId="0" borderId="6" xfId="5" applyNumberFormat="1" applyFont="1" applyFill="1" applyBorder="1" applyAlignment="1">
      <alignment horizontal="center" vertical="center" wrapText="1"/>
    </xf>
    <xf numFmtId="165" fontId="9" fillId="0" borderId="1" xfId="5" applyNumberFormat="1" applyFont="1" applyFill="1" applyBorder="1" applyAlignment="1">
      <alignment horizontal="center" vertical="center" wrapText="1"/>
    </xf>
    <xf numFmtId="166" fontId="9" fillId="0" borderId="6" xfId="15" applyNumberFormat="1" applyFont="1" applyFill="1" applyBorder="1" applyAlignment="1">
      <alignment horizontal="center" vertical="center" wrapText="1"/>
    </xf>
    <xf numFmtId="166" fontId="9" fillId="0" borderId="1" xfId="15" applyNumberFormat="1" applyFont="1" applyFill="1" applyBorder="1" applyAlignment="1">
      <alignment horizontal="center" vertical="center" wrapText="1"/>
    </xf>
    <xf numFmtId="165" fontId="5" fillId="0" borderId="6" xfId="5" applyNumberFormat="1" applyFont="1" applyFill="1" applyBorder="1" applyAlignment="1">
      <alignment horizontal="center" vertical="center" wrapText="1"/>
    </xf>
    <xf numFmtId="165" fontId="5" fillId="0" borderId="7" xfId="5" applyNumberFormat="1" applyFont="1" applyFill="1" applyBorder="1" applyAlignment="1">
      <alignment horizontal="center" vertical="center" wrapText="1"/>
    </xf>
    <xf numFmtId="0" fontId="12" fillId="11" borderId="47" xfId="0" applyFont="1" applyFill="1" applyBorder="1" applyAlignment="1">
      <alignment horizontal="centerContinuous"/>
    </xf>
    <xf numFmtId="0" fontId="12" fillId="11" borderId="49" xfId="0" applyFont="1" applyFill="1" applyBorder="1" applyAlignment="1">
      <alignment horizontal="centerContinuous"/>
    </xf>
    <xf numFmtId="165" fontId="5" fillId="0" borderId="45" xfId="5" applyNumberFormat="1" applyFont="1" applyFill="1" applyBorder="1" applyAlignment="1">
      <alignment horizontal="center" vertical="center" wrapText="1"/>
    </xf>
    <xf numFmtId="165" fontId="5" fillId="0" borderId="29" xfId="5" applyNumberFormat="1" applyFont="1" applyFill="1" applyBorder="1" applyAlignment="1">
      <alignment horizontal="center" vertical="center" wrapText="1"/>
    </xf>
    <xf numFmtId="165" fontId="5" fillId="0" borderId="42" xfId="5" applyNumberFormat="1" applyFont="1" applyFill="1" applyBorder="1" applyAlignment="1">
      <alignment horizontal="center" vertical="center" wrapText="1"/>
    </xf>
    <xf numFmtId="0" fontId="6" fillId="11" borderId="48" xfId="0" applyFont="1" applyFill="1" applyBorder="1" applyAlignment="1">
      <alignment horizontal="center" vertical="center"/>
    </xf>
    <xf numFmtId="0" fontId="6" fillId="11" borderId="44" xfId="0" applyFont="1" applyFill="1" applyBorder="1" applyAlignment="1">
      <alignment horizontal="center" vertical="center"/>
    </xf>
    <xf numFmtId="43" fontId="9" fillId="0" borderId="45" xfId="15" applyFont="1" applyFill="1" applyBorder="1" applyAlignment="1">
      <alignment horizontal="center" vertical="center" wrapText="1"/>
    </xf>
    <xf numFmtId="43" fontId="9" fillId="0" borderId="29" xfId="15" applyFont="1" applyFill="1" applyBorder="1" applyAlignment="1">
      <alignment horizontal="center" vertical="center" wrapText="1"/>
    </xf>
    <xf numFmtId="0" fontId="9" fillId="0" borderId="29" xfId="5" applyFont="1" applyFill="1" applyBorder="1" applyAlignment="1">
      <alignment horizontal="center" vertical="center" wrapText="1"/>
    </xf>
    <xf numFmtId="2" fontId="9" fillId="0" borderId="29" xfId="5" applyNumberFormat="1" applyFont="1" applyFill="1" applyBorder="1" applyAlignment="1">
      <alignment horizontal="center" vertical="center" wrapText="1"/>
    </xf>
    <xf numFmtId="2" fontId="9" fillId="0" borderId="42" xfId="5" applyNumberFormat="1" applyFont="1" applyFill="1" applyBorder="1" applyAlignment="1">
      <alignment horizontal="center" vertical="center" wrapText="1"/>
    </xf>
    <xf numFmtId="0" fontId="9" fillId="0" borderId="45" xfId="5" applyFont="1" applyFill="1" applyBorder="1" applyAlignment="1">
      <alignment horizontal="center" vertical="center" wrapText="1"/>
    </xf>
    <xf numFmtId="2" fontId="9" fillId="0" borderId="45" xfId="5" applyNumberFormat="1" applyFont="1" applyFill="1" applyBorder="1" applyAlignment="1">
      <alignment horizontal="center" vertical="center" wrapText="1"/>
    </xf>
    <xf numFmtId="165" fontId="9" fillId="0" borderId="29" xfId="5" applyNumberFormat="1" applyFont="1" applyFill="1" applyBorder="1" applyAlignment="1">
      <alignment horizontal="center" vertical="center" wrapText="1"/>
    </xf>
    <xf numFmtId="43" fontId="16" fillId="10" borderId="43" xfId="15" applyFont="1" applyFill="1" applyBorder="1" applyAlignment="1">
      <alignment horizontal="center" vertical="center"/>
    </xf>
    <xf numFmtId="43" fontId="16" fillId="10" borderId="48" xfId="15" applyFont="1" applyFill="1" applyBorder="1" applyAlignment="1">
      <alignment horizontal="center" vertical="center"/>
    </xf>
    <xf numFmtId="0" fontId="16" fillId="10" borderId="48" xfId="0" applyFont="1" applyFill="1" applyBorder="1" applyAlignment="1">
      <alignment horizontal="center" vertical="center" wrapText="1"/>
    </xf>
    <xf numFmtId="0" fontId="16" fillId="10" borderId="44" xfId="0" applyFont="1" applyFill="1" applyBorder="1" applyAlignment="1">
      <alignment horizontal="center" vertical="center" wrapText="1"/>
    </xf>
    <xf numFmtId="0" fontId="16" fillId="10" borderId="43" xfId="0" applyFont="1" applyFill="1" applyBorder="1" applyAlignment="1">
      <alignment horizontal="center" vertical="center" wrapText="1"/>
    </xf>
    <xf numFmtId="0" fontId="16" fillId="10" borderId="48" xfId="0" applyFont="1" applyFill="1" applyBorder="1" applyAlignment="1">
      <alignment horizontal="centerContinuous" vertical="center" wrapText="1"/>
    </xf>
    <xf numFmtId="0" fontId="18" fillId="11" borderId="43" xfId="0" applyFont="1" applyFill="1" applyBorder="1" applyAlignment="1">
      <alignment horizontal="center" vertical="center" wrapText="1"/>
    </xf>
    <xf numFmtId="0" fontId="16" fillId="10" borderId="48" xfId="0" applyFont="1" applyFill="1" applyBorder="1" applyAlignment="1">
      <alignment horizontal="left" vertical="center" wrapText="1"/>
    </xf>
    <xf numFmtId="0" fontId="8" fillId="11" borderId="11" xfId="0" applyFont="1" applyFill="1" applyBorder="1" applyAlignment="1">
      <alignment horizontal="centerContinuous"/>
    </xf>
    <xf numFmtId="43" fontId="15" fillId="10" borderId="11" xfId="15" applyFont="1" applyFill="1" applyBorder="1" applyAlignment="1">
      <alignment horizontal="centerContinuous"/>
    </xf>
    <xf numFmtId="165" fontId="19" fillId="13" borderId="6" xfId="5" applyNumberFormat="1" applyFont="1" applyFill="1" applyBorder="1" applyAlignment="1">
      <alignment horizontal="center" vertical="center" wrapText="1"/>
    </xf>
    <xf numFmtId="165" fontId="19" fillId="13" borderId="1" xfId="5" applyNumberFormat="1" applyFont="1" applyFill="1" applyBorder="1" applyAlignment="1">
      <alignment horizontal="center" vertical="center" wrapText="1"/>
    </xf>
    <xf numFmtId="165" fontId="19" fillId="13" borderId="7" xfId="5" applyNumberFormat="1" applyFont="1" applyFill="1" applyBorder="1" applyAlignment="1">
      <alignment horizontal="center" vertical="center" wrapText="1"/>
    </xf>
    <xf numFmtId="0" fontId="16" fillId="10" borderId="50" xfId="0" applyFont="1" applyFill="1" applyBorder="1" applyAlignment="1">
      <alignment horizontal="center" vertical="center" wrapText="1"/>
    </xf>
    <xf numFmtId="0" fontId="9" fillId="0" borderId="51" xfId="5" applyFont="1" applyFill="1" applyBorder="1" applyAlignment="1">
      <alignment horizontal="center" vertical="center" wrapText="1"/>
    </xf>
    <xf numFmtId="0" fontId="9" fillId="0" borderId="52" xfId="5" applyFont="1" applyFill="1" applyBorder="1" applyAlignment="1">
      <alignment horizontal="center" vertical="center" wrapText="1"/>
    </xf>
    <xf numFmtId="0" fontId="5" fillId="0" borderId="53" xfId="5" applyFont="1" applyFill="1" applyBorder="1" applyAlignment="1">
      <alignment horizontal="center" vertical="center" wrapText="1"/>
    </xf>
    <xf numFmtId="49" fontId="9" fillId="0" borderId="7" xfId="5" applyNumberFormat="1" applyFont="1" applyFill="1" applyBorder="1" applyAlignment="1">
      <alignment horizontal="center" vertical="center" wrapText="1"/>
    </xf>
    <xf numFmtId="0" fontId="6" fillId="9" borderId="43" xfId="0" applyFont="1" applyFill="1" applyBorder="1" applyAlignment="1">
      <alignment horizontal="center" vertical="center"/>
    </xf>
    <xf numFmtId="0" fontId="6" fillId="9" borderId="48" xfId="0" applyFont="1" applyFill="1" applyBorder="1" applyAlignment="1">
      <alignment horizontal="center" vertical="center"/>
    </xf>
    <xf numFmtId="0" fontId="6" fillId="9" borderId="44" xfId="0" applyFont="1" applyFill="1" applyBorder="1" applyAlignment="1">
      <alignment horizontal="center" vertical="center"/>
    </xf>
    <xf numFmtId="0" fontId="6" fillId="9" borderId="49" xfId="0" applyFont="1" applyFill="1" applyBorder="1" applyAlignment="1">
      <alignment horizontal="center" vertical="center"/>
    </xf>
    <xf numFmtId="43" fontId="6" fillId="9" borderId="43" xfId="15" applyFont="1" applyFill="1" applyBorder="1" applyAlignment="1">
      <alignment horizontal="center" vertical="center"/>
    </xf>
    <xf numFmtId="43" fontId="6" fillId="9" borderId="48" xfId="15" applyFont="1" applyFill="1" applyBorder="1" applyAlignment="1">
      <alignment horizontal="center" vertical="center"/>
    </xf>
    <xf numFmtId="0" fontId="6" fillId="9" borderId="48" xfId="0" applyFont="1" applyFill="1" applyBorder="1" applyAlignment="1">
      <alignment horizontal="center" vertical="center" wrapText="1"/>
    </xf>
    <xf numFmtId="0" fontId="6" fillId="9" borderId="44" xfId="0" applyFont="1" applyFill="1" applyBorder="1" applyAlignment="1">
      <alignment horizontal="center" vertical="center" wrapText="1"/>
    </xf>
    <xf numFmtId="0" fontId="6" fillId="9" borderId="43" xfId="0" applyFont="1" applyFill="1" applyBorder="1" applyAlignment="1">
      <alignment horizontal="center" vertical="center" wrapText="1"/>
    </xf>
    <xf numFmtId="0" fontId="11" fillId="9" borderId="48" xfId="0" applyFont="1" applyFill="1" applyBorder="1" applyAlignment="1">
      <alignment horizontal="center" vertical="center" wrapText="1"/>
    </xf>
    <xf numFmtId="0" fontId="11" fillId="9" borderId="44" xfId="0" applyFont="1" applyFill="1" applyBorder="1" applyAlignment="1">
      <alignment horizontal="center" vertical="center" wrapText="1"/>
    </xf>
    <xf numFmtId="0" fontId="11" fillId="9" borderId="43" xfId="0" applyFont="1" applyFill="1" applyBorder="1" applyAlignment="1">
      <alignment horizontal="center" vertical="center" wrapText="1"/>
    </xf>
    <xf numFmtId="0" fontId="11" fillId="9" borderId="50" xfId="0" applyFont="1" applyFill="1" applyBorder="1" applyAlignment="1">
      <alignment horizontal="center" vertical="center" wrapText="1"/>
    </xf>
    <xf numFmtId="0" fontId="6" fillId="12" borderId="43" xfId="0" applyFont="1" applyFill="1" applyBorder="1" applyAlignment="1">
      <alignment horizontal="center" vertical="center"/>
    </xf>
    <xf numFmtId="0" fontId="6" fillId="12" borderId="48" xfId="0" applyFont="1" applyFill="1" applyBorder="1" applyAlignment="1">
      <alignment horizontal="center" vertical="center"/>
    </xf>
    <xf numFmtId="0" fontId="6" fillId="12" borderId="44" xfId="0" applyFont="1" applyFill="1" applyBorder="1" applyAlignment="1">
      <alignment horizontal="center" vertical="center"/>
    </xf>
    <xf numFmtId="49" fontId="9" fillId="0" borderId="42" xfId="5" applyNumberFormat="1" applyFont="1" applyFill="1" applyBorder="1" applyAlignment="1">
      <alignment horizontal="center" vertical="center" wrapText="1"/>
    </xf>
    <xf numFmtId="0" fontId="5" fillId="0" borderId="54" xfId="5" applyFont="1" applyFill="1" applyBorder="1" applyAlignment="1">
      <alignment horizontal="center" vertical="center" wrapText="1"/>
    </xf>
    <xf numFmtId="0" fontId="6" fillId="10" borderId="43" xfId="0" applyFont="1" applyFill="1" applyBorder="1" applyAlignment="1">
      <alignment horizontal="center" vertical="center"/>
    </xf>
    <xf numFmtId="0" fontId="6" fillId="10" borderId="48" xfId="0" applyFont="1" applyFill="1" applyBorder="1" applyAlignment="1">
      <alignment horizontal="center" vertical="center"/>
    </xf>
    <xf numFmtId="0" fontId="6" fillId="10" borderId="44" xfId="0" applyFont="1" applyFill="1" applyBorder="1" applyAlignment="1">
      <alignment horizontal="center" vertical="center"/>
    </xf>
    <xf numFmtId="0" fontId="6" fillId="10" borderId="49" xfId="0" applyFont="1" applyFill="1" applyBorder="1" applyAlignment="1">
      <alignment horizontal="center" vertical="center"/>
    </xf>
    <xf numFmtId="2" fontId="20" fillId="0" borderId="14" xfId="0" applyNumberFormat="1" applyFont="1" applyBorder="1"/>
    <xf numFmtId="2" fontId="20" fillId="0" borderId="16" xfId="0" applyNumberFormat="1" applyFont="1" applyBorder="1"/>
    <xf numFmtId="0" fontId="0" fillId="0" borderId="1" xfId="0" quotePrefix="1" applyBorder="1" applyAlignment="1">
      <alignment horizontal="left"/>
    </xf>
    <xf numFmtId="1" fontId="0" fillId="0" borderId="0" xfId="0" applyNumberFormat="1"/>
    <xf numFmtId="0" fontId="9" fillId="7" borderId="6" xfId="5" applyFont="1" applyFill="1" applyBorder="1" applyAlignment="1">
      <alignment horizontal="center" vertical="center" wrapText="1"/>
    </xf>
    <xf numFmtId="0" fontId="0" fillId="0" borderId="34" xfId="0" applyBorder="1"/>
    <xf numFmtId="0" fontId="0" fillId="0" borderId="23" xfId="0" applyBorder="1"/>
    <xf numFmtId="49" fontId="0" fillId="2" borderId="1" xfId="0" applyNumberForma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vertical="center" wrapText="1"/>
    </xf>
    <xf numFmtId="49" fontId="0" fillId="2" borderId="1" xfId="0" applyNumberFormat="1" applyFill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4" fillId="0" borderId="0" xfId="0" applyFont="1"/>
    <xf numFmtId="0" fontId="0" fillId="0" borderId="28" xfId="0" applyBorder="1"/>
    <xf numFmtId="49" fontId="21" fillId="2" borderId="43" xfId="0" applyNumberFormat="1" applyFont="1" applyFill="1" applyBorder="1" applyAlignment="1">
      <alignment horizontal="left" vertical="center" wrapText="1"/>
    </xf>
    <xf numFmtId="49" fontId="21" fillId="2" borderId="48" xfId="0" applyNumberFormat="1" applyFont="1" applyFill="1" applyBorder="1" applyAlignment="1">
      <alignment horizontal="left" vertical="center"/>
    </xf>
    <xf numFmtId="49" fontId="21" fillId="2" borderId="44" xfId="0" applyNumberFormat="1" applyFont="1" applyFill="1" applyBorder="1" applyAlignment="1">
      <alignment horizontal="left" vertical="center" wrapText="1"/>
    </xf>
    <xf numFmtId="49" fontId="21" fillId="2" borderId="48" xfId="0" applyNumberFormat="1" applyFont="1" applyFill="1" applyBorder="1" applyAlignment="1">
      <alignment horizontal="left" vertical="center" wrapText="1"/>
    </xf>
    <xf numFmtId="0" fontId="22" fillId="14" borderId="0" xfId="0" applyFont="1" applyFill="1" applyAlignment="1">
      <alignment horizontal="centerContinuous" vertical="center" wrapText="1"/>
    </xf>
    <xf numFmtId="0" fontId="22" fillId="14" borderId="31" xfId="0" applyFont="1" applyFill="1" applyBorder="1" applyAlignment="1">
      <alignment horizontal="centerContinuous" vertical="center" wrapText="1"/>
    </xf>
    <xf numFmtId="0" fontId="10" fillId="0" borderId="0" xfId="0" applyFont="1" applyAlignment="1">
      <alignment vertical="center" wrapText="1"/>
    </xf>
    <xf numFmtId="0" fontId="22" fillId="14" borderId="52" xfId="0" applyFont="1" applyFill="1" applyBorder="1" applyAlignment="1">
      <alignment horizontal="centerContinuous" vertical="center" wrapText="1"/>
    </xf>
    <xf numFmtId="0" fontId="22" fillId="14" borderId="34" xfId="0" applyFont="1" applyFill="1" applyBorder="1" applyAlignment="1">
      <alignment horizontal="centerContinuous" vertical="center" wrapText="1"/>
    </xf>
    <xf numFmtId="0" fontId="22" fillId="14" borderId="1" xfId="0" applyFont="1" applyFill="1" applyBorder="1" applyAlignment="1">
      <alignment horizontal="center" vertical="center" wrapText="1"/>
    </xf>
    <xf numFmtId="0" fontId="22" fillId="14" borderId="1" xfId="0" applyFont="1" applyFill="1" applyBorder="1" applyAlignment="1">
      <alignment horizontal="centerContinuous" vertical="center" wrapText="1"/>
    </xf>
    <xf numFmtId="0" fontId="10" fillId="0" borderId="0" xfId="0" applyFont="1" applyAlignment="1">
      <alignment horizontal="centerContinuous" vertical="center" wrapText="1"/>
    </xf>
    <xf numFmtId="43" fontId="22" fillId="14" borderId="1" xfId="15" applyFont="1" applyFill="1" applyBorder="1" applyAlignment="1">
      <alignment horizontal="centerContinuous" vertical="center" wrapText="1"/>
    </xf>
    <xf numFmtId="0" fontId="20" fillId="15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43" fontId="20" fillId="15" borderId="1" xfId="15" applyFont="1" applyFill="1" applyBorder="1" applyAlignment="1">
      <alignment horizontal="center" vertical="center" wrapText="1"/>
    </xf>
    <xf numFmtId="43" fontId="0" fillId="0" borderId="1" xfId="15" applyFont="1" applyBorder="1"/>
    <xf numFmtId="0" fontId="20" fillId="0" borderId="55" xfId="0" applyFont="1" applyBorder="1"/>
    <xf numFmtId="0" fontId="20" fillId="0" borderId="1" xfId="0" applyFont="1" applyBorder="1"/>
    <xf numFmtId="0" fontId="20" fillId="0" borderId="0" xfId="0" applyFont="1"/>
    <xf numFmtId="43" fontId="20" fillId="0" borderId="1" xfId="15" applyFont="1" applyBorder="1"/>
    <xf numFmtId="43" fontId="20" fillId="0" borderId="34" xfId="15" applyFont="1" applyBorder="1"/>
    <xf numFmtId="43" fontId="20" fillId="0" borderId="0" xfId="15" applyFont="1" applyFill="1" applyBorder="1"/>
    <xf numFmtId="43" fontId="20" fillId="0" borderId="1" xfId="15" applyFont="1" applyFill="1" applyBorder="1"/>
    <xf numFmtId="43" fontId="0" fillId="0" borderId="0" xfId="0" applyNumberFormat="1"/>
    <xf numFmtId="0" fontId="11" fillId="6" borderId="11" xfId="0" applyFont="1" applyFill="1" applyBorder="1" applyAlignment="1">
      <alignment horizontal="left" vertical="center"/>
    </xf>
    <xf numFmtId="0" fontId="11" fillId="6" borderId="12" xfId="0" applyFont="1" applyFill="1" applyBorder="1" applyAlignment="1">
      <alignment horizontal="left" vertical="center"/>
    </xf>
    <xf numFmtId="0" fontId="24" fillId="6" borderId="12" xfId="0" applyFont="1" applyFill="1" applyBorder="1" applyAlignment="1">
      <alignment horizontal="left" vertical="center" wrapText="1"/>
    </xf>
    <xf numFmtId="0" fontId="0" fillId="0" borderId="56" xfId="0" applyBorder="1"/>
    <xf numFmtId="49" fontId="4" fillId="0" borderId="0" xfId="0" applyNumberFormat="1" applyFont="1"/>
    <xf numFmtId="0" fontId="9" fillId="7" borderId="58" xfId="5" applyFont="1" applyFill="1" applyBorder="1" applyAlignment="1">
      <alignment horizontal="center" vertical="center" wrapText="1"/>
    </xf>
    <xf numFmtId="0" fontId="9" fillId="7" borderId="59" xfId="5" applyFont="1" applyFill="1" applyBorder="1" applyAlignment="1">
      <alignment horizontal="center" vertical="center" wrapText="1"/>
    </xf>
    <xf numFmtId="0" fontId="9" fillId="7" borderId="61" xfId="5" applyFont="1" applyFill="1" applyBorder="1" applyAlignment="1">
      <alignment horizontal="center" vertical="center" wrapText="1"/>
    </xf>
    <xf numFmtId="0" fontId="9" fillId="8" borderId="62" xfId="5" applyFont="1" applyFill="1" applyBorder="1" applyAlignment="1">
      <alignment horizontal="center" vertical="center" wrapText="1"/>
    </xf>
    <xf numFmtId="0" fontId="9" fillId="8" borderId="63" xfId="5" applyFont="1" applyFill="1" applyBorder="1" applyAlignment="1">
      <alignment horizontal="center" vertical="center" wrapText="1"/>
    </xf>
    <xf numFmtId="0" fontId="9" fillId="8" borderId="64" xfId="5" applyFont="1" applyFill="1" applyBorder="1" applyAlignment="1">
      <alignment horizontal="center" vertical="center" wrapText="1"/>
    </xf>
    <xf numFmtId="0" fontId="9" fillId="8" borderId="61" xfId="5" applyFont="1" applyFill="1" applyBorder="1" applyAlignment="1">
      <alignment horizontal="center" vertical="center" wrapText="1"/>
    </xf>
    <xf numFmtId="0" fontId="9" fillId="4" borderId="62" xfId="5" applyFont="1" applyBorder="1" applyAlignment="1">
      <alignment horizontal="center" vertical="center" wrapText="1"/>
    </xf>
    <xf numFmtId="0" fontId="9" fillId="4" borderId="64" xfId="5" applyFont="1" applyBorder="1" applyAlignment="1">
      <alignment horizontal="center" vertical="center" wrapText="1"/>
    </xf>
    <xf numFmtId="0" fontId="9" fillId="4" borderId="61" xfId="5" applyFont="1" applyBorder="1" applyAlignment="1">
      <alignment horizontal="center" vertical="center" wrapText="1"/>
    </xf>
    <xf numFmtId="0" fontId="25" fillId="0" borderId="0" xfId="0" applyFont="1"/>
    <xf numFmtId="0" fontId="26" fillId="0" borderId="0" xfId="0" applyFont="1"/>
    <xf numFmtId="0" fontId="9" fillId="4" borderId="19" xfId="5" applyFont="1" applyBorder="1" applyAlignment="1">
      <alignment horizontal="center" vertical="center" wrapText="1"/>
    </xf>
    <xf numFmtId="1" fontId="9" fillId="4" borderId="20" xfId="5" applyNumberFormat="1" applyFont="1" applyBorder="1" applyAlignment="1">
      <alignment horizontal="center" vertical="center" wrapText="1"/>
    </xf>
    <xf numFmtId="2" fontId="20" fillId="0" borderId="65" xfId="0" applyNumberFormat="1" applyFont="1" applyBorder="1"/>
    <xf numFmtId="1" fontId="20" fillId="0" borderId="66" xfId="0" applyNumberFormat="1" applyFont="1" applyBorder="1"/>
    <xf numFmtId="2" fontId="20" fillId="0" borderId="30" xfId="0" applyNumberFormat="1" applyFont="1" applyBorder="1"/>
    <xf numFmtId="1" fontId="20" fillId="0" borderId="32" xfId="0" applyNumberFormat="1" applyFont="1" applyBorder="1"/>
    <xf numFmtId="2" fontId="20" fillId="0" borderId="21" xfId="0" applyNumberFormat="1" applyFont="1" applyBorder="1"/>
    <xf numFmtId="1" fontId="20" fillId="0" borderId="22" xfId="0" applyNumberFormat="1" applyFont="1" applyBorder="1"/>
    <xf numFmtId="2" fontId="20" fillId="0" borderId="24" xfId="0" applyNumberFormat="1" applyFont="1" applyBorder="1"/>
    <xf numFmtId="1" fontId="20" fillId="0" borderId="26" xfId="0" applyNumberFormat="1" applyFont="1" applyBorder="1"/>
    <xf numFmtId="2" fontId="20" fillId="0" borderId="67" xfId="0" applyNumberFormat="1" applyFont="1" applyBorder="1"/>
    <xf numFmtId="1" fontId="20" fillId="0" borderId="57" xfId="0" applyNumberFormat="1" applyFont="1" applyBorder="1"/>
    <xf numFmtId="2" fontId="20" fillId="0" borderId="68" xfId="0" applyNumberFormat="1" applyFont="1" applyBorder="1"/>
    <xf numFmtId="1" fontId="20" fillId="0" borderId="69" xfId="0" applyNumberFormat="1" applyFont="1" applyBorder="1"/>
    <xf numFmtId="2" fontId="20" fillId="0" borderId="35" xfId="0" applyNumberFormat="1" applyFont="1" applyBorder="1"/>
    <xf numFmtId="1" fontId="20" fillId="0" borderId="38" xfId="0" applyNumberFormat="1" applyFont="1" applyBorder="1"/>
    <xf numFmtId="0" fontId="20" fillId="0" borderId="73" xfId="0" applyFont="1" applyBorder="1" applyAlignment="1">
      <alignment horizontal="center"/>
    </xf>
    <xf numFmtId="0" fontId="20" fillId="0" borderId="75" xfId="0" applyFont="1" applyBorder="1" applyAlignment="1">
      <alignment horizontal="center"/>
    </xf>
    <xf numFmtId="2" fontId="20" fillId="0" borderId="71" xfId="0" applyNumberFormat="1" applyFont="1" applyBorder="1"/>
    <xf numFmtId="2" fontId="20" fillId="0" borderId="73" xfId="0" applyNumberFormat="1" applyFont="1" applyBorder="1"/>
    <xf numFmtId="2" fontId="20" fillId="0" borderId="36" xfId="0" applyNumberFormat="1" applyFont="1" applyBorder="1"/>
    <xf numFmtId="2" fontId="20" fillId="0" borderId="75" xfId="0" applyNumberFormat="1" applyFont="1" applyBorder="1"/>
    <xf numFmtId="0" fontId="27" fillId="0" borderId="0" xfId="0" applyFont="1"/>
    <xf numFmtId="0" fontId="28" fillId="0" borderId="0" xfId="0" applyFont="1"/>
    <xf numFmtId="0" fontId="6" fillId="6" borderId="12" xfId="0" applyFont="1" applyFill="1" applyBorder="1" applyAlignment="1">
      <alignment horizontal="center" vertical="center" wrapText="1"/>
    </xf>
    <xf numFmtId="0" fontId="5" fillId="0" borderId="38" xfId="0" applyFont="1" applyBorder="1"/>
    <xf numFmtId="0" fontId="5" fillId="0" borderId="35" xfId="0" applyFont="1" applyBorder="1"/>
    <xf numFmtId="167" fontId="10" fillId="0" borderId="26" xfId="0" applyNumberFormat="1" applyFont="1" applyBorder="1"/>
    <xf numFmtId="0" fontId="5" fillId="7" borderId="62" xfId="5" applyFont="1" applyFill="1" applyBorder="1" applyAlignment="1">
      <alignment horizontal="center" vertical="center" wrapText="1"/>
    </xf>
    <xf numFmtId="0" fontId="5" fillId="7" borderId="64" xfId="5" applyFont="1" applyFill="1" applyBorder="1" applyAlignment="1">
      <alignment horizontal="center" vertical="center" wrapText="1"/>
    </xf>
    <xf numFmtId="0" fontId="5" fillId="7" borderId="61" xfId="5" applyFont="1" applyFill="1" applyBorder="1" applyAlignment="1">
      <alignment horizontal="center" vertical="center" wrapText="1"/>
    </xf>
    <xf numFmtId="0" fontId="5" fillId="4" borderId="64" xfId="5" applyFont="1" applyBorder="1" applyAlignment="1">
      <alignment horizontal="center" vertical="center" wrapText="1"/>
    </xf>
    <xf numFmtId="0" fontId="5" fillId="4" borderId="61" xfId="5" applyFont="1" applyBorder="1" applyAlignment="1">
      <alignment horizontal="center" vertical="center" wrapText="1"/>
    </xf>
    <xf numFmtId="43" fontId="5" fillId="0" borderId="27" xfId="15" applyFont="1" applyFill="1" applyBorder="1"/>
    <xf numFmtId="43" fontId="5" fillId="0" borderId="28" xfId="15" applyFont="1" applyFill="1" applyBorder="1"/>
    <xf numFmtId="43" fontId="5" fillId="0" borderId="29" xfId="15" applyFont="1" applyFill="1" applyBorder="1"/>
    <xf numFmtId="43" fontId="5" fillId="0" borderId="33" xfId="15" applyFont="1" applyFill="1" applyBorder="1"/>
    <xf numFmtId="43" fontId="5" fillId="0" borderId="34" xfId="15" applyFont="1" applyFill="1" applyBorder="1"/>
    <xf numFmtId="43" fontId="5" fillId="0" borderId="1" xfId="15" applyFont="1" applyFill="1" applyBorder="1"/>
    <xf numFmtId="43" fontId="5" fillId="0" borderId="39" xfId="15" applyFont="1" applyFill="1" applyBorder="1"/>
    <xf numFmtId="43" fontId="5" fillId="0" borderId="40" xfId="15" applyFont="1" applyFill="1" applyBorder="1"/>
    <xf numFmtId="43" fontId="5" fillId="0" borderId="41" xfId="15" applyFont="1" applyFill="1" applyBorder="1"/>
    <xf numFmtId="169" fontId="5" fillId="0" borderId="29" xfId="15" applyNumberFormat="1" applyFont="1" applyFill="1" applyBorder="1"/>
    <xf numFmtId="0" fontId="29" fillId="7" borderId="64" xfId="5" applyFont="1" applyFill="1" applyBorder="1" applyAlignment="1">
      <alignment horizontal="center" vertical="center" wrapText="1"/>
    </xf>
    <xf numFmtId="43" fontId="5" fillId="0" borderId="26" xfId="15" applyFont="1" applyFill="1" applyBorder="1"/>
    <xf numFmtId="43" fontId="5" fillId="0" borderId="32" xfId="15" applyFont="1" applyFill="1" applyBorder="1"/>
    <xf numFmtId="43" fontId="5" fillId="0" borderId="38" xfId="15" applyFont="1" applyFill="1" applyBorder="1"/>
    <xf numFmtId="0" fontId="5" fillId="0" borderId="25" xfId="0" applyFont="1" applyBorder="1"/>
    <xf numFmtId="0" fontId="5" fillId="0" borderId="54" xfId="0" applyFont="1" applyBorder="1"/>
    <xf numFmtId="0" fontId="0" fillId="0" borderId="41" xfId="0" applyBorder="1"/>
    <xf numFmtId="0" fontId="5" fillId="7" borderId="60" xfId="5" applyFont="1" applyFill="1" applyBorder="1" applyAlignment="1">
      <alignment horizontal="center" vertical="center" wrapText="1"/>
    </xf>
    <xf numFmtId="0" fontId="5" fillId="0" borderId="37" xfId="0" applyFont="1" applyBorder="1"/>
    <xf numFmtId="0" fontId="5" fillId="0" borderId="77" xfId="5" applyFont="1" applyFill="1" applyBorder="1" applyAlignment="1">
      <alignment horizontal="center" vertical="center" wrapText="1"/>
    </xf>
    <xf numFmtId="0" fontId="5" fillId="0" borderId="0" xfId="5" applyFont="1" applyFill="1" applyBorder="1" applyAlignment="1">
      <alignment horizontal="center" vertical="center" wrapText="1"/>
    </xf>
    <xf numFmtId="0" fontId="5" fillId="0" borderId="2" xfId="5" applyFont="1" applyFill="1" applyBorder="1" applyAlignment="1">
      <alignment horizontal="center" vertical="center" wrapText="1"/>
    </xf>
    <xf numFmtId="0" fontId="5" fillId="0" borderId="78" xfId="5" applyFont="1" applyFill="1" applyBorder="1" applyAlignment="1">
      <alignment horizontal="center" vertical="center" wrapText="1"/>
    </xf>
    <xf numFmtId="0" fontId="5" fillId="0" borderId="81" xfId="0" applyFont="1" applyBorder="1"/>
    <xf numFmtId="0" fontId="5" fillId="0" borderId="82" xfId="0" applyFont="1" applyBorder="1"/>
    <xf numFmtId="0" fontId="0" fillId="0" borderId="76" xfId="0" applyBorder="1"/>
    <xf numFmtId="0" fontId="5" fillId="0" borderId="83" xfId="0" applyFont="1" applyBorder="1"/>
    <xf numFmtId="43" fontId="5" fillId="0" borderId="84" xfId="15" applyFont="1" applyFill="1" applyBorder="1"/>
    <xf numFmtId="43" fontId="5" fillId="0" borderId="85" xfId="15" applyFont="1" applyFill="1" applyBorder="1"/>
    <xf numFmtId="43" fontId="5" fillId="0" borderId="76" xfId="15" applyFont="1" applyFill="1" applyBorder="1"/>
    <xf numFmtId="43" fontId="5" fillId="0" borderId="83" xfId="15" applyFont="1" applyFill="1" applyBorder="1"/>
    <xf numFmtId="0" fontId="5" fillId="8" borderId="79" xfId="5" applyFont="1" applyFill="1" applyBorder="1" applyAlignment="1">
      <alignment horizontal="center" vertical="center" textRotation="90" wrapText="1"/>
    </xf>
    <xf numFmtId="0" fontId="5" fillId="8" borderId="80" xfId="5" applyFont="1" applyFill="1" applyBorder="1" applyAlignment="1">
      <alignment horizontal="center" vertical="center" textRotation="90" wrapText="1"/>
    </xf>
    <xf numFmtId="0" fontId="5" fillId="8" borderId="2" xfId="5" applyFont="1" applyFill="1" applyBorder="1" applyAlignment="1">
      <alignment horizontal="center" vertical="center" textRotation="90" wrapText="1"/>
    </xf>
    <xf numFmtId="0" fontId="5" fillId="8" borderId="78" xfId="5" applyFont="1" applyFill="1" applyBorder="1" applyAlignment="1">
      <alignment horizontal="center" vertical="center" textRotation="90" wrapText="1"/>
    </xf>
    <xf numFmtId="0" fontId="5" fillId="8" borderId="62" xfId="5" applyFont="1" applyFill="1" applyBorder="1" applyAlignment="1">
      <alignment horizontal="center" vertical="center" textRotation="90" wrapText="1"/>
    </xf>
    <xf numFmtId="0" fontId="5" fillId="8" borderId="63" xfId="5" applyFont="1" applyFill="1" applyBorder="1" applyAlignment="1">
      <alignment horizontal="center" vertical="center" textRotation="90" wrapText="1"/>
    </xf>
    <xf numFmtId="0" fontId="5" fillId="8" borderId="64" xfId="5" applyFont="1" applyFill="1" applyBorder="1" applyAlignment="1">
      <alignment horizontal="center" vertical="center" textRotation="90" wrapText="1"/>
    </xf>
    <xf numFmtId="0" fontId="5" fillId="8" borderId="61" xfId="5" applyFont="1" applyFill="1" applyBorder="1" applyAlignment="1">
      <alignment horizontal="center" vertical="center" textRotation="90" wrapText="1"/>
    </xf>
    <xf numFmtId="0" fontId="5" fillId="0" borderId="86" xfId="5" applyFont="1" applyFill="1" applyBorder="1" applyAlignment="1">
      <alignment horizontal="center" vertical="center" wrapText="1"/>
    </xf>
    <xf numFmtId="0" fontId="29" fillId="0" borderId="2" xfId="5" applyFont="1" applyFill="1" applyBorder="1" applyAlignment="1">
      <alignment horizontal="center" vertical="center" wrapText="1"/>
    </xf>
    <xf numFmtId="0" fontId="5" fillId="0" borderId="46" xfId="0" applyFont="1" applyBorder="1"/>
    <xf numFmtId="0" fontId="5" fillId="0" borderId="5" xfId="0" applyFont="1" applyBorder="1"/>
    <xf numFmtId="0" fontId="5" fillId="0" borderId="42" xfId="0" applyFont="1" applyBorder="1"/>
    <xf numFmtId="0" fontId="5" fillId="0" borderId="7" xfId="0" applyFont="1" applyBorder="1"/>
    <xf numFmtId="0" fontId="5" fillId="7" borderId="87" xfId="5" applyFont="1" applyFill="1" applyBorder="1" applyAlignment="1">
      <alignment horizontal="center" vertical="center" wrapText="1"/>
    </xf>
    <xf numFmtId="0" fontId="5" fillId="0" borderId="55" xfId="5" applyFont="1" applyFill="1" applyBorder="1" applyAlignment="1">
      <alignment horizontal="center" vertical="center" wrapText="1"/>
    </xf>
    <xf numFmtId="0" fontId="5" fillId="4" borderId="63" xfId="5" applyFont="1" applyBorder="1" applyAlignment="1">
      <alignment horizontal="center" vertical="center" wrapText="1"/>
    </xf>
    <xf numFmtId="0" fontId="5" fillId="8" borderId="88" xfId="5" applyFont="1" applyFill="1" applyBorder="1" applyAlignment="1">
      <alignment horizontal="center" vertical="center" textRotation="90" wrapText="1"/>
    </xf>
    <xf numFmtId="0" fontId="5" fillId="8" borderId="89" xfId="5" applyFont="1" applyFill="1" applyBorder="1" applyAlignment="1">
      <alignment horizontal="center" vertical="center" textRotation="90" wrapText="1"/>
    </xf>
    <xf numFmtId="0" fontId="5" fillId="8" borderId="90" xfId="5" applyFont="1" applyFill="1" applyBorder="1" applyAlignment="1">
      <alignment horizontal="center" vertical="center" textRotation="90" wrapText="1"/>
    </xf>
    <xf numFmtId="0" fontId="5" fillId="8" borderId="91" xfId="5" applyFont="1" applyFill="1" applyBorder="1" applyAlignment="1">
      <alignment horizontal="center" vertical="center" textRotation="90" wrapText="1"/>
    </xf>
    <xf numFmtId="0" fontId="5" fillId="0" borderId="80" xfId="5" applyFont="1" applyFill="1" applyBorder="1" applyAlignment="1">
      <alignment horizontal="center" vertical="center" wrapText="1"/>
    </xf>
    <xf numFmtId="0" fontId="5" fillId="0" borderId="51" xfId="0" applyFont="1" applyBorder="1"/>
    <xf numFmtId="0" fontId="5" fillId="0" borderId="52" xfId="0" applyFont="1" applyBorder="1"/>
    <xf numFmtId="0" fontId="10" fillId="0" borderId="3" xfId="0" applyFont="1" applyBorder="1"/>
    <xf numFmtId="0" fontId="10" fillId="0" borderId="4" xfId="0" applyFont="1" applyBorder="1"/>
    <xf numFmtId="0" fontId="10" fillId="0" borderId="45" xfId="0" applyFont="1" applyBorder="1"/>
    <xf numFmtId="0" fontId="10" fillId="0" borderId="6" xfId="0" applyFont="1" applyBorder="1"/>
    <xf numFmtId="0" fontId="10" fillId="7" borderId="58" xfId="5" applyFont="1" applyFill="1" applyBorder="1" applyAlignment="1">
      <alignment horizontal="center" vertical="center" wrapText="1"/>
    </xf>
    <xf numFmtId="0" fontId="10" fillId="7" borderId="60" xfId="5" applyFont="1" applyFill="1" applyBorder="1" applyAlignment="1">
      <alignment horizontal="center" vertical="center" wrapText="1"/>
    </xf>
    <xf numFmtId="0" fontId="9" fillId="7" borderId="93" xfId="5" applyFont="1" applyFill="1" applyBorder="1" applyAlignment="1">
      <alignment horizontal="center" vertical="center" wrapText="1"/>
    </xf>
    <xf numFmtId="0" fontId="5" fillId="8" borderId="94" xfId="5" applyFont="1" applyFill="1" applyBorder="1" applyAlignment="1">
      <alignment horizontal="center" vertical="center" textRotation="90" wrapText="1"/>
    </xf>
    <xf numFmtId="0" fontId="5" fillId="8" borderId="95" xfId="5" applyFont="1" applyFill="1" applyBorder="1" applyAlignment="1">
      <alignment horizontal="center" vertical="center" textRotation="90" wrapText="1"/>
    </xf>
    <xf numFmtId="0" fontId="5" fillId="0" borderId="65" xfId="0" applyFont="1" applyBorder="1"/>
    <xf numFmtId="2" fontId="10" fillId="0" borderId="66" xfId="0" applyNumberFormat="1" applyFont="1" applyBorder="1"/>
    <xf numFmtId="0" fontId="6" fillId="6" borderId="97" xfId="0" applyFont="1" applyFill="1" applyBorder="1" applyAlignment="1">
      <alignment horizontal="center" vertical="center" wrapText="1"/>
    </xf>
    <xf numFmtId="43" fontId="24" fillId="9" borderId="98" xfId="15" applyFont="1" applyFill="1" applyBorder="1" applyAlignment="1">
      <alignment horizontal="center" vertical="center" wrapText="1"/>
    </xf>
    <xf numFmtId="166" fontId="0" fillId="0" borderId="1" xfId="15" applyNumberFormat="1" applyFont="1" applyBorder="1"/>
    <xf numFmtId="168" fontId="0" fillId="0" borderId="1" xfId="15" applyNumberFormat="1" applyFont="1" applyBorder="1"/>
    <xf numFmtId="168" fontId="0" fillId="0" borderId="1" xfId="0" applyNumberFormat="1" applyBorder="1"/>
    <xf numFmtId="49" fontId="20" fillId="15" borderId="1" xfId="0" applyNumberFormat="1" applyFont="1" applyFill="1" applyBorder="1" applyAlignment="1">
      <alignment horizontal="center" vertical="center" wrapText="1"/>
    </xf>
    <xf numFmtId="0" fontId="0" fillId="0" borderId="73" xfId="0" applyBorder="1"/>
    <xf numFmtId="0" fontId="0" fillId="0" borderId="75" xfId="0" applyBorder="1"/>
    <xf numFmtId="0" fontId="0" fillId="0" borderId="36" xfId="0" applyBorder="1"/>
    <xf numFmtId="0" fontId="0" fillId="0" borderId="71" xfId="0" applyBorder="1"/>
    <xf numFmtId="0" fontId="9" fillId="7" borderId="102" xfId="5" applyFont="1" applyFill="1" applyBorder="1" applyAlignment="1">
      <alignment horizontal="center" vertical="center" wrapText="1"/>
    </xf>
    <xf numFmtId="0" fontId="9" fillId="4" borderId="103" xfId="5" applyFont="1" applyBorder="1" applyAlignment="1">
      <alignment horizontal="center" vertical="center" wrapText="1"/>
    </xf>
    <xf numFmtId="0" fontId="9" fillId="4" borderId="102" xfId="5" applyFont="1" applyBorder="1" applyAlignment="1">
      <alignment horizontal="center" vertical="center" wrapText="1"/>
    </xf>
    <xf numFmtId="0" fontId="10" fillId="0" borderId="0" xfId="0" applyFont="1" applyAlignment="1">
      <alignment horizontal="left"/>
    </xf>
    <xf numFmtId="0" fontId="9" fillId="7" borderId="100" xfId="5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2" fontId="20" fillId="0" borderId="30" xfId="0" applyNumberFormat="1" applyFont="1" applyBorder="1" applyAlignment="1">
      <alignment horizontal="center"/>
    </xf>
    <xf numFmtId="2" fontId="20" fillId="0" borderId="16" xfId="0" applyNumberFormat="1" applyFont="1" applyBorder="1" applyAlignment="1">
      <alignment horizontal="center"/>
    </xf>
    <xf numFmtId="2" fontId="20" fillId="0" borderId="73" xfId="0" applyNumberFormat="1" applyFont="1" applyBorder="1" applyAlignment="1">
      <alignment horizontal="center"/>
    </xf>
    <xf numFmtId="2" fontId="20" fillId="0" borderId="35" xfId="0" applyNumberFormat="1" applyFont="1" applyBorder="1" applyAlignment="1">
      <alignment horizontal="center"/>
    </xf>
    <xf numFmtId="2" fontId="20" fillId="0" borderId="36" xfId="0" applyNumberFormat="1" applyFont="1" applyBorder="1" applyAlignment="1">
      <alignment horizontal="center"/>
    </xf>
    <xf numFmtId="2" fontId="20" fillId="0" borderId="75" xfId="0" applyNumberFormat="1" applyFont="1" applyBorder="1" applyAlignment="1">
      <alignment horizontal="center"/>
    </xf>
    <xf numFmtId="0" fontId="20" fillId="0" borderId="72" xfId="0" applyFont="1" applyBorder="1" applyAlignment="1">
      <alignment horizontal="left"/>
    </xf>
    <xf numFmtId="0" fontId="0" fillId="0" borderId="72" xfId="0" applyBorder="1" applyAlignment="1">
      <alignment horizontal="left"/>
    </xf>
    <xf numFmtId="0" fontId="20" fillId="0" borderId="74" xfId="0" applyFont="1" applyBorder="1" applyAlignment="1">
      <alignment horizontal="left"/>
    </xf>
    <xf numFmtId="0" fontId="5" fillId="7" borderId="103" xfId="5" applyFont="1" applyFill="1" applyBorder="1" applyAlignment="1">
      <alignment horizontal="center" vertical="center" wrapText="1"/>
    </xf>
    <xf numFmtId="0" fontId="20" fillId="0" borderId="16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73" xfId="0" applyBorder="1" applyAlignment="1">
      <alignment horizontal="center"/>
    </xf>
    <xf numFmtId="0" fontId="20" fillId="0" borderId="36" xfId="0" applyFont="1" applyBorder="1" applyAlignment="1">
      <alignment horizontal="center"/>
    </xf>
    <xf numFmtId="0" fontId="9" fillId="7" borderId="19" xfId="5" applyFont="1" applyFill="1" applyBorder="1" applyAlignment="1">
      <alignment horizontal="center" vertical="center" wrapText="1"/>
    </xf>
    <xf numFmtId="0" fontId="0" fillId="0" borderId="65" xfId="0" applyBorder="1" applyAlignment="1">
      <alignment horizontal="left"/>
    </xf>
    <xf numFmtId="0" fontId="0" fillId="0" borderId="104" xfId="0" applyBorder="1" applyAlignment="1">
      <alignment horizontal="left"/>
    </xf>
    <xf numFmtId="0" fontId="0" fillId="0" borderId="104" xfId="0" applyBorder="1"/>
    <xf numFmtId="0" fontId="0" fillId="0" borderId="105" xfId="0" applyBorder="1"/>
    <xf numFmtId="0" fontId="0" fillId="0" borderId="30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06" xfId="0" applyBorder="1"/>
    <xf numFmtId="0" fontId="0" fillId="0" borderId="21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07" xfId="0" applyBorder="1"/>
    <xf numFmtId="0" fontId="0" fillId="0" borderId="35" xfId="0" applyBorder="1" applyAlignment="1">
      <alignment horizontal="left"/>
    </xf>
    <xf numFmtId="0" fontId="0" fillId="0" borderId="36" xfId="0" applyBorder="1" applyAlignment="1">
      <alignment horizontal="left"/>
    </xf>
    <xf numFmtId="2" fontId="20" fillId="0" borderId="12" xfId="0" applyNumberFormat="1" applyFont="1" applyBorder="1"/>
    <xf numFmtId="2" fontId="20" fillId="0" borderId="107" xfId="0" applyNumberFormat="1" applyFont="1" applyBorder="1"/>
    <xf numFmtId="2" fontId="20" fillId="0" borderId="104" xfId="0" applyNumberFormat="1" applyFont="1" applyBorder="1"/>
    <xf numFmtId="2" fontId="20" fillId="0" borderId="105" xfId="0" applyNumberFormat="1" applyFont="1" applyBorder="1"/>
    <xf numFmtId="2" fontId="20" fillId="0" borderId="18" xfId="0" applyNumberFormat="1" applyFont="1" applyBorder="1"/>
    <xf numFmtId="2" fontId="20" fillId="0" borderId="106" xfId="0" applyNumberFormat="1" applyFont="1" applyBorder="1"/>
    <xf numFmtId="0" fontId="9" fillId="4" borderId="101" xfId="5" applyFont="1" applyBorder="1" applyAlignment="1">
      <alignment horizontal="center" vertical="center" wrapText="1"/>
    </xf>
    <xf numFmtId="0" fontId="9" fillId="4" borderId="109" xfId="5" applyFont="1" applyBorder="1" applyAlignment="1">
      <alignment horizontal="center" vertical="center" wrapText="1"/>
    </xf>
    <xf numFmtId="0" fontId="20" fillId="0" borderId="110" xfId="0" applyFont="1" applyBorder="1" applyAlignment="1">
      <alignment horizontal="center"/>
    </xf>
    <xf numFmtId="0" fontId="20" fillId="0" borderId="111" xfId="0" applyFont="1" applyBorder="1" applyAlignment="1">
      <alignment horizontal="center"/>
    </xf>
    <xf numFmtId="0" fontId="20" fillId="0" borderId="112" xfId="0" applyFont="1" applyBorder="1" applyAlignment="1">
      <alignment horizontal="center"/>
    </xf>
    <xf numFmtId="0" fontId="20" fillId="0" borderId="113" xfId="0" applyFont="1" applyBorder="1" applyAlignment="1">
      <alignment horizontal="center"/>
    </xf>
    <xf numFmtId="0" fontId="20" fillId="0" borderId="114" xfId="0" applyFont="1" applyBorder="1" applyAlignment="1">
      <alignment horizontal="center"/>
    </xf>
    <xf numFmtId="0" fontId="0" fillId="0" borderId="67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2" xfId="0" applyBorder="1"/>
    <xf numFmtId="0" fontId="20" fillId="0" borderId="108" xfId="0" applyFont="1" applyBorder="1" applyAlignment="1">
      <alignment horizontal="center"/>
    </xf>
    <xf numFmtId="49" fontId="6" fillId="6" borderId="97" xfId="0" applyNumberFormat="1" applyFont="1" applyFill="1" applyBorder="1" applyAlignment="1">
      <alignment horizontal="center" vertical="center" wrapText="1"/>
    </xf>
    <xf numFmtId="43" fontId="0" fillId="0" borderId="4" xfId="15" applyFont="1" applyBorder="1"/>
    <xf numFmtId="166" fontId="0" fillId="0" borderId="4" xfId="15" applyNumberFormat="1" applyFont="1" applyBorder="1"/>
    <xf numFmtId="168" fontId="0" fillId="0" borderId="4" xfId="15" applyNumberFormat="1" applyFont="1" applyBorder="1"/>
    <xf numFmtId="43" fontId="0" fillId="0" borderId="9" xfId="15" applyFont="1" applyBorder="1"/>
    <xf numFmtId="166" fontId="0" fillId="0" borderId="9" xfId="15" applyNumberFormat="1" applyFont="1" applyBorder="1"/>
    <xf numFmtId="168" fontId="0" fillId="0" borderId="9" xfId="15" applyNumberFormat="1" applyFont="1" applyBorder="1"/>
    <xf numFmtId="43" fontId="24" fillId="9" borderId="115" xfId="15" applyFont="1" applyFill="1" applyBorder="1" applyAlignment="1">
      <alignment horizontal="center" vertical="center" wrapText="1"/>
    </xf>
    <xf numFmtId="43" fontId="0" fillId="0" borderId="56" xfId="15" applyFont="1" applyBorder="1"/>
    <xf numFmtId="43" fontId="0" fillId="0" borderId="34" xfId="15" applyFont="1" applyBorder="1"/>
    <xf numFmtId="43" fontId="0" fillId="0" borderId="23" xfId="15" applyFont="1" applyBorder="1"/>
    <xf numFmtId="49" fontId="0" fillId="0" borderId="5" xfId="0" applyNumberFormat="1" applyBorder="1"/>
    <xf numFmtId="49" fontId="0" fillId="0" borderId="7" xfId="0" applyNumberFormat="1" applyBorder="1"/>
    <xf numFmtId="49" fontId="0" fillId="0" borderId="10" xfId="0" applyNumberFormat="1" applyBorder="1"/>
    <xf numFmtId="43" fontId="0" fillId="0" borderId="116" xfId="15" applyFont="1" applyBorder="1"/>
    <xf numFmtId="43" fontId="0" fillId="0" borderId="52" xfId="15" applyFont="1" applyBorder="1"/>
    <xf numFmtId="43" fontId="0" fillId="0" borderId="117" xfId="15" applyFont="1" applyBorder="1"/>
    <xf numFmtId="0" fontId="4" fillId="12" borderId="98" xfId="0" applyFont="1" applyFill="1" applyBorder="1" applyAlignment="1">
      <alignment horizontal="center" vertical="center" wrapText="1"/>
    </xf>
    <xf numFmtId="0" fontId="4" fillId="12" borderId="115" xfId="0" applyFont="1" applyFill="1" applyBorder="1" applyAlignment="1">
      <alignment horizontal="center" vertical="center" wrapText="1"/>
    </xf>
    <xf numFmtId="0" fontId="4" fillId="12" borderId="118" xfId="0" applyFont="1" applyFill="1" applyBorder="1" applyAlignment="1">
      <alignment horizontal="center" vertical="center" wrapText="1"/>
    </xf>
    <xf numFmtId="2" fontId="0" fillId="0" borderId="1" xfId="0" applyNumberFormat="1" applyBorder="1"/>
    <xf numFmtId="2" fontId="0" fillId="0" borderId="4" xfId="0" applyNumberFormat="1" applyBorder="1"/>
    <xf numFmtId="2" fontId="0" fillId="0" borderId="5" xfId="0" applyNumberFormat="1" applyBorder="1"/>
    <xf numFmtId="2" fontId="0" fillId="0" borderId="7" xfId="0" applyNumberFormat="1" applyBorder="1"/>
    <xf numFmtId="2" fontId="0" fillId="0" borderId="9" xfId="0" applyNumberFormat="1" applyBorder="1"/>
    <xf numFmtId="2" fontId="0" fillId="0" borderId="10" xfId="0" applyNumberFormat="1" applyBorder="1"/>
    <xf numFmtId="0" fontId="15" fillId="16" borderId="11" xfId="0" applyFont="1" applyFill="1" applyBorder="1" applyAlignment="1">
      <alignment horizontal="centerContinuous"/>
    </xf>
    <xf numFmtId="0" fontId="15" fillId="17" borderId="11" xfId="0" applyFont="1" applyFill="1" applyBorder="1" applyAlignment="1">
      <alignment horizontal="centerContinuous"/>
    </xf>
    <xf numFmtId="0" fontId="15" fillId="19" borderId="11" xfId="0" applyFont="1" applyFill="1" applyBorder="1" applyAlignment="1">
      <alignment horizontal="centerContinuous"/>
    </xf>
    <xf numFmtId="0" fontId="15" fillId="20" borderId="11" xfId="0" applyFont="1" applyFill="1" applyBorder="1" applyAlignment="1">
      <alignment horizontal="centerContinuous"/>
    </xf>
    <xf numFmtId="0" fontId="0" fillId="20" borderId="47" xfId="0" applyFill="1" applyBorder="1" applyAlignment="1">
      <alignment horizontal="centerContinuous"/>
    </xf>
    <xf numFmtId="0" fontId="0" fillId="20" borderId="49" xfId="0" applyFill="1" applyBorder="1" applyAlignment="1">
      <alignment horizontal="centerContinuous"/>
    </xf>
    <xf numFmtId="0" fontId="15" fillId="16" borderId="47" xfId="0" applyFont="1" applyFill="1" applyBorder="1" applyAlignment="1">
      <alignment horizontal="centerContinuous"/>
    </xf>
    <xf numFmtId="0" fontId="13" fillId="16" borderId="47" xfId="0" applyFont="1" applyFill="1" applyBorder="1" applyAlignment="1">
      <alignment horizontal="centerContinuous"/>
    </xf>
    <xf numFmtId="0" fontId="13" fillId="16" borderId="49" xfId="0" applyFont="1" applyFill="1" applyBorder="1" applyAlignment="1">
      <alignment horizontal="centerContinuous"/>
    </xf>
    <xf numFmtId="0" fontId="0" fillId="17" borderId="47" xfId="0" applyFill="1" applyBorder="1" applyAlignment="1">
      <alignment horizontal="centerContinuous"/>
    </xf>
    <xf numFmtId="0" fontId="15" fillId="19" borderId="47" xfId="0" applyFont="1" applyFill="1" applyBorder="1" applyAlignment="1">
      <alignment horizontal="centerContinuous"/>
    </xf>
    <xf numFmtId="0" fontId="15" fillId="19" borderId="49" xfId="0" applyFont="1" applyFill="1" applyBorder="1" applyAlignment="1">
      <alignment horizontal="centerContinuous"/>
    </xf>
    <xf numFmtId="2" fontId="0" fillId="0" borderId="116" xfId="0" applyNumberFormat="1" applyBorder="1"/>
    <xf numFmtId="2" fontId="0" fillId="0" borderId="52" xfId="0" applyNumberFormat="1" applyBorder="1"/>
    <xf numFmtId="2" fontId="0" fillId="0" borderId="117" xfId="0" applyNumberFormat="1" applyBorder="1"/>
    <xf numFmtId="0" fontId="31" fillId="18" borderId="118" xfId="0" applyFont="1" applyFill="1" applyBorder="1" applyAlignment="1">
      <alignment horizontal="center" vertical="center" wrapText="1"/>
    </xf>
    <xf numFmtId="0" fontId="30" fillId="21" borderId="98" xfId="0" applyFont="1" applyFill="1" applyBorder="1" applyAlignment="1">
      <alignment horizontal="center" vertical="center" wrapText="1"/>
    </xf>
    <xf numFmtId="0" fontId="30" fillId="21" borderId="118" xfId="0" applyFont="1" applyFill="1" applyBorder="1" applyAlignment="1">
      <alignment horizontal="center" vertical="center" wrapText="1"/>
    </xf>
    <xf numFmtId="0" fontId="30" fillId="21" borderId="99" xfId="0" applyFont="1" applyFill="1" applyBorder="1" applyAlignment="1">
      <alignment horizontal="center" vertical="center" wrapText="1"/>
    </xf>
    <xf numFmtId="2" fontId="0" fillId="0" borderId="6" xfId="0" applyNumberFormat="1" applyBorder="1"/>
    <xf numFmtId="2" fontId="0" fillId="0" borderId="3" xfId="0" applyNumberFormat="1" applyBorder="1"/>
    <xf numFmtId="2" fontId="0" fillId="0" borderId="8" xfId="0" applyNumberFormat="1" applyBorder="1"/>
    <xf numFmtId="0" fontId="4" fillId="12" borderId="119" xfId="0" applyFont="1" applyFill="1" applyBorder="1" applyAlignment="1">
      <alignment horizontal="center" vertical="center" wrapText="1"/>
    </xf>
    <xf numFmtId="0" fontId="31" fillId="18" borderId="98" xfId="0" applyFont="1" applyFill="1" applyBorder="1" applyAlignment="1">
      <alignment horizontal="center" vertical="center" wrapText="1"/>
    </xf>
    <xf numFmtId="0" fontId="31" fillId="18" borderId="99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0" fontId="9" fillId="7" borderId="97" xfId="5" applyFont="1" applyFill="1" applyBorder="1" applyAlignment="1">
      <alignment horizontal="left" vertical="center" wrapText="1"/>
    </xf>
    <xf numFmtId="0" fontId="20" fillId="0" borderId="104" xfId="0" applyFont="1" applyBorder="1" applyAlignment="1">
      <alignment horizontal="left"/>
    </xf>
    <xf numFmtId="0" fontId="20" fillId="0" borderId="16" xfId="0" applyFont="1" applyBorder="1" applyAlignment="1">
      <alignment horizontal="left"/>
    </xf>
    <xf numFmtId="0" fontId="20" fillId="0" borderId="18" xfId="0" applyFont="1" applyBorder="1" applyAlignment="1">
      <alignment horizontal="left"/>
    </xf>
    <xf numFmtId="0" fontId="9" fillId="7" borderId="120" xfId="5" applyFont="1" applyFill="1" applyBorder="1" applyAlignment="1">
      <alignment horizontal="center" vertical="center" wrapText="1"/>
    </xf>
    <xf numFmtId="0" fontId="20" fillId="0" borderId="121" xfId="0" applyFont="1" applyBorder="1" applyAlignment="1">
      <alignment horizontal="center"/>
    </xf>
    <xf numFmtId="0" fontId="20" fillId="0" borderId="53" xfId="0" applyFont="1" applyBorder="1" applyAlignment="1">
      <alignment horizontal="center"/>
    </xf>
    <xf numFmtId="0" fontId="0" fillId="0" borderId="53" xfId="0" applyBorder="1" applyAlignment="1">
      <alignment horizontal="center"/>
    </xf>
    <xf numFmtId="0" fontId="20" fillId="0" borderId="122" xfId="0" applyFont="1" applyBorder="1" applyAlignment="1">
      <alignment horizontal="center"/>
    </xf>
    <xf numFmtId="0" fontId="5" fillId="7" borderId="97" xfId="5" applyFont="1" applyFill="1" applyBorder="1" applyAlignment="1">
      <alignment horizontal="center" vertical="center" wrapText="1"/>
    </xf>
    <xf numFmtId="0" fontId="20" fillId="0" borderId="104" xfId="0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0" fontId="24" fillId="6" borderId="4" xfId="0" applyFont="1" applyFill="1" applyBorder="1" applyAlignment="1">
      <alignment horizontal="left" vertical="center" wrapText="1"/>
    </xf>
    <xf numFmtId="49" fontId="8" fillId="0" borderId="0" xfId="0" applyNumberFormat="1" applyFont="1"/>
    <xf numFmtId="0" fontId="6" fillId="6" borderId="123" xfId="0" applyFont="1" applyFill="1" applyBorder="1" applyAlignment="1">
      <alignment horizontal="center" vertical="center"/>
    </xf>
    <xf numFmtId="0" fontId="0" fillId="0" borderId="124" xfId="0" applyBorder="1" applyAlignment="1">
      <alignment horizontal="left"/>
    </xf>
    <xf numFmtId="0" fontId="0" fillId="0" borderId="1" xfId="0" applyBorder="1" applyAlignment="1">
      <alignment horizontal="left"/>
    </xf>
    <xf numFmtId="0" fontId="11" fillId="6" borderId="4" xfId="0" applyFont="1" applyFill="1" applyBorder="1" applyAlignment="1">
      <alignment horizontal="left" vertical="center" wrapText="1"/>
    </xf>
    <xf numFmtId="0" fontId="11" fillId="6" borderId="3" xfId="0" applyFont="1" applyFill="1" applyBorder="1" applyAlignment="1">
      <alignment horizontal="left" vertical="center" wrapText="1"/>
    </xf>
    <xf numFmtId="0" fontId="11" fillId="6" borderId="5" xfId="0" applyFont="1" applyFill="1" applyBorder="1" applyAlignment="1">
      <alignment horizontal="left" vertical="center" wrapText="1"/>
    </xf>
    <xf numFmtId="0" fontId="5" fillId="5" borderId="24" xfId="0" applyFont="1" applyFill="1" applyBorder="1"/>
    <xf numFmtId="0" fontId="5" fillId="5" borderId="25" xfId="0" applyFont="1" applyFill="1" applyBorder="1"/>
    <xf numFmtId="0" fontId="5" fillId="5" borderId="42" xfId="0" applyFont="1" applyFill="1" applyBorder="1"/>
    <xf numFmtId="0" fontId="5" fillId="5" borderId="28" xfId="0" applyFont="1" applyFill="1" applyBorder="1"/>
    <xf numFmtId="0" fontId="5" fillId="5" borderId="29" xfId="0" applyFont="1" applyFill="1" applyBorder="1"/>
    <xf numFmtId="0" fontId="5" fillId="5" borderId="51" xfId="0" applyFont="1" applyFill="1" applyBorder="1"/>
    <xf numFmtId="0" fontId="10" fillId="5" borderId="45" xfId="0" applyFont="1" applyFill="1" applyBorder="1"/>
    <xf numFmtId="0" fontId="10" fillId="5" borderId="29" xfId="0" applyFont="1" applyFill="1" applyBorder="1"/>
    <xf numFmtId="2" fontId="10" fillId="5" borderId="26" xfId="0" applyNumberFormat="1" applyFont="1" applyFill="1" applyBorder="1"/>
    <xf numFmtId="0" fontId="0" fillId="5" borderId="0" xfId="0" applyFill="1"/>
    <xf numFmtId="0" fontId="5" fillId="5" borderId="7" xfId="0" applyFont="1" applyFill="1" applyBorder="1"/>
    <xf numFmtId="0" fontId="5" fillId="5" borderId="34" xfId="0" applyFont="1" applyFill="1" applyBorder="1"/>
    <xf numFmtId="0" fontId="5" fillId="5" borderId="1" xfId="0" applyFont="1" applyFill="1" applyBorder="1"/>
    <xf numFmtId="0" fontId="5" fillId="5" borderId="52" xfId="0" applyFont="1" applyFill="1" applyBorder="1"/>
    <xf numFmtId="2" fontId="10" fillId="5" borderId="6" xfId="0" applyNumberFormat="1" applyFont="1" applyFill="1" applyBorder="1"/>
    <xf numFmtId="0" fontId="10" fillId="5" borderId="1" xfId="0" applyFont="1" applyFill="1" applyBorder="1"/>
    <xf numFmtId="2" fontId="10" fillId="5" borderId="32" xfId="0" applyNumberFormat="1" applyFont="1" applyFill="1" applyBorder="1"/>
    <xf numFmtId="0" fontId="5" fillId="5" borderId="35" xfId="0" applyFont="1" applyFill="1" applyBorder="1"/>
    <xf numFmtId="0" fontId="5" fillId="5" borderId="37" xfId="0" applyFont="1" applyFill="1" applyBorder="1"/>
    <xf numFmtId="0" fontId="0" fillId="5" borderId="41" xfId="0" applyFill="1" applyBorder="1"/>
    <xf numFmtId="0" fontId="5" fillId="5" borderId="70" xfId="0" applyFont="1" applyFill="1" applyBorder="1"/>
    <xf numFmtId="0" fontId="5" fillId="5" borderId="40" xfId="0" applyFont="1" applyFill="1" applyBorder="1"/>
    <xf numFmtId="0" fontId="5" fillId="5" borderId="41" xfId="0" applyFont="1" applyFill="1" applyBorder="1"/>
    <xf numFmtId="0" fontId="5" fillId="5" borderId="92" xfId="0" applyFont="1" applyFill="1" applyBorder="1"/>
    <xf numFmtId="2" fontId="10" fillId="5" borderId="96" xfId="0" applyNumberFormat="1" applyFont="1" applyFill="1" applyBorder="1"/>
    <xf numFmtId="0" fontId="10" fillId="5" borderId="41" xfId="0" applyFont="1" applyFill="1" applyBorder="1"/>
    <xf numFmtId="2" fontId="10" fillId="5" borderId="38" xfId="0" applyNumberFormat="1" applyFont="1" applyFill="1" applyBorder="1"/>
  </cellXfs>
  <cellStyles count="16">
    <cellStyle name="Accent2" xfId="4" builtinId="33"/>
    <cellStyle name="Accent3" xfId="5" builtinId="37"/>
    <cellStyle name="Comma" xfId="15" builtinId="3"/>
    <cellStyle name="Comma 2" xfId="6" xr:uid="{00000000-0005-0000-0000-000003000000}"/>
    <cellStyle name="Comma 3" xfId="7" xr:uid="{00000000-0005-0000-0000-000004000000}"/>
    <cellStyle name="Comma 4" xfId="8" xr:uid="{00000000-0005-0000-0000-000005000000}"/>
    <cellStyle name="Comma 5" xfId="9" xr:uid="{00000000-0005-0000-0000-000006000000}"/>
    <cellStyle name="Normal" xfId="0" builtinId="0"/>
    <cellStyle name="Normal 2" xfId="1" xr:uid="{00000000-0005-0000-0000-000008000000}"/>
    <cellStyle name="Normal 2 2" xfId="2" xr:uid="{00000000-0005-0000-0000-000009000000}"/>
    <cellStyle name="Normal 3" xfId="3" xr:uid="{00000000-0005-0000-0000-00000A000000}"/>
    <cellStyle name="Normal 4" xfId="10" xr:uid="{00000000-0005-0000-0000-00000B000000}"/>
    <cellStyle name="Normal 4 2" xfId="11" xr:uid="{00000000-0005-0000-0000-00000C000000}"/>
    <cellStyle name="Normal 5" xfId="12" xr:uid="{00000000-0005-0000-0000-00000D000000}"/>
    <cellStyle name="Normal 6" xfId="13" xr:uid="{00000000-0005-0000-0000-00000E000000}"/>
    <cellStyle name="Normal 7" xfId="14" xr:uid="{00000000-0005-0000-0000-00000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AY189"/>
  <sheetViews>
    <sheetView workbookViewId="0">
      <selection activeCell="E20" sqref="E20"/>
    </sheetView>
  </sheetViews>
  <sheetFormatPr defaultRowHeight="15" x14ac:dyDescent="0.25"/>
  <cols>
    <col min="1" max="2" width="2.7109375" customWidth="1"/>
    <col min="3" max="3" width="10.7109375" customWidth="1"/>
    <col min="4" max="4" width="9.5703125" customWidth="1"/>
    <col min="5" max="5" width="20.140625" customWidth="1"/>
    <col min="6" max="6" width="19.5703125" customWidth="1"/>
    <col min="7" max="7" width="36.28515625" bestFit="1" customWidth="1"/>
    <col min="8" max="8" width="5" bestFit="1" customWidth="1"/>
    <col min="9" max="9" width="13.28515625" customWidth="1"/>
    <col min="10" max="10" width="9.5703125" customWidth="1"/>
    <col min="11" max="11" width="10.5703125" customWidth="1"/>
    <col min="12" max="12" width="9.5703125" customWidth="1"/>
    <col min="13" max="18" width="11.42578125" customWidth="1"/>
    <col min="19" max="19" width="2.7109375" customWidth="1"/>
    <col min="20" max="20" width="13" customWidth="1"/>
    <col min="21" max="21" width="14.42578125" customWidth="1"/>
    <col min="22" max="22" width="14.28515625" customWidth="1"/>
    <col min="23" max="23" width="2.7109375" customWidth="1"/>
    <col min="24" max="24" width="24" customWidth="1"/>
    <col min="25" max="25" width="2.7109375" customWidth="1"/>
    <col min="26" max="27" width="13" style="52" customWidth="1"/>
    <col min="28" max="28" width="10.85546875" style="52" customWidth="1"/>
    <col min="29" max="29" width="13" style="52" customWidth="1"/>
    <col min="30" max="30" width="2.7109375" customWidth="1"/>
    <col min="31" max="31" width="22" customWidth="1"/>
    <col min="32" max="32" width="2.7109375" customWidth="1"/>
    <col min="33" max="33" width="14.28515625" customWidth="1"/>
    <col min="34" max="34" width="14.140625" customWidth="1"/>
    <col min="35" max="35" width="2.7109375" customWidth="1"/>
    <col min="36" max="36" width="14.42578125" style="52" customWidth="1"/>
    <col min="37" max="37" width="14.5703125" style="52" customWidth="1"/>
    <col min="38" max="38" width="13" style="52" customWidth="1"/>
    <col min="39" max="39" width="10.7109375" style="52" customWidth="1"/>
    <col min="40" max="41" width="13" style="52" customWidth="1"/>
    <col min="42" max="42" width="12.5703125" style="52" customWidth="1"/>
    <col min="43" max="45" width="10.85546875" style="52" customWidth="1"/>
    <col min="46" max="46" width="9.42578125" style="52" customWidth="1"/>
    <col min="47" max="47" width="10.85546875" style="52" customWidth="1"/>
    <col min="48" max="48" width="12.140625" style="52" customWidth="1"/>
    <col min="49" max="49" width="11" style="52" customWidth="1"/>
    <col min="50" max="50" width="9.42578125" style="52" customWidth="1"/>
    <col min="51" max="51" width="14.42578125" style="52" bestFit="1" customWidth="1"/>
  </cols>
  <sheetData>
    <row r="1" spans="3:51" ht="36" customHeight="1" x14ac:dyDescent="0.25"/>
    <row r="2" spans="3:51" ht="39" customHeight="1" x14ac:dyDescent="0.45">
      <c r="C2" s="183" t="s">
        <v>1131</v>
      </c>
    </row>
    <row r="3" spans="3:51" ht="65.25" customHeight="1" x14ac:dyDescent="0.25">
      <c r="C3" s="147" t="s">
        <v>914</v>
      </c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9"/>
      <c r="T3" s="150" t="s">
        <v>915</v>
      </c>
      <c r="U3" s="148"/>
      <c r="V3" s="151"/>
      <c r="W3" s="149"/>
      <c r="X3" s="152" t="s">
        <v>916</v>
      </c>
      <c r="Y3" s="149"/>
      <c r="Z3" s="153" t="s">
        <v>917</v>
      </c>
      <c r="AA3" s="153"/>
      <c r="AB3" s="153"/>
      <c r="AC3" s="153"/>
      <c r="AD3" s="149"/>
      <c r="AE3" s="152" t="s">
        <v>918</v>
      </c>
      <c r="AF3" s="154"/>
      <c r="AG3" s="153" t="s">
        <v>919</v>
      </c>
      <c r="AH3" s="153"/>
      <c r="AI3" s="154"/>
      <c r="AJ3" s="155" t="s">
        <v>920</v>
      </c>
      <c r="AK3" s="155"/>
      <c r="AL3" s="155"/>
      <c r="AM3" s="155"/>
      <c r="AN3" s="155"/>
      <c r="AO3" s="155"/>
      <c r="AP3" s="155"/>
      <c r="AQ3" s="155"/>
      <c r="AR3" s="155"/>
      <c r="AS3" s="155"/>
      <c r="AT3" s="155"/>
      <c r="AU3" s="155"/>
      <c r="AV3" s="155"/>
      <c r="AW3" s="155"/>
      <c r="AX3" s="155"/>
      <c r="AY3" s="155"/>
    </row>
    <row r="4" spans="3:51" ht="63" x14ac:dyDescent="0.25">
      <c r="C4" s="156" t="s">
        <v>921</v>
      </c>
      <c r="D4" s="156" t="s">
        <v>922</v>
      </c>
      <c r="E4" s="156" t="s">
        <v>17</v>
      </c>
      <c r="F4" s="156" t="s">
        <v>923</v>
      </c>
      <c r="G4" s="156" t="s">
        <v>924</v>
      </c>
      <c r="H4" s="156" t="s">
        <v>567</v>
      </c>
      <c r="I4" s="156" t="s">
        <v>925</v>
      </c>
      <c r="J4" s="156" t="s">
        <v>926</v>
      </c>
      <c r="K4" s="156" t="s">
        <v>927</v>
      </c>
      <c r="L4" s="156" t="s">
        <v>928</v>
      </c>
      <c r="M4" s="156" t="s">
        <v>929</v>
      </c>
      <c r="N4" s="156" t="s">
        <v>930</v>
      </c>
      <c r="O4" s="156" t="s">
        <v>931</v>
      </c>
      <c r="P4" s="156" t="s">
        <v>932</v>
      </c>
      <c r="Q4" s="156" t="s">
        <v>933</v>
      </c>
      <c r="R4" s="156" t="s">
        <v>934</v>
      </c>
      <c r="S4" s="157"/>
      <c r="T4" s="156" t="s">
        <v>935</v>
      </c>
      <c r="U4" s="156" t="s">
        <v>936</v>
      </c>
      <c r="V4" s="156" t="s">
        <v>937</v>
      </c>
      <c r="W4" s="157"/>
      <c r="X4" s="156" t="s">
        <v>938</v>
      </c>
      <c r="Y4" s="157"/>
      <c r="Z4" s="156" t="s">
        <v>939</v>
      </c>
      <c r="AA4" s="156" t="s">
        <v>940</v>
      </c>
      <c r="AB4" s="156" t="s">
        <v>941</v>
      </c>
      <c r="AC4" s="156" t="s">
        <v>942</v>
      </c>
      <c r="AD4" s="157"/>
      <c r="AE4" s="156" t="s">
        <v>943</v>
      </c>
      <c r="AF4" s="157"/>
      <c r="AG4" s="156" t="s">
        <v>944</v>
      </c>
      <c r="AH4" s="156" t="s">
        <v>945</v>
      </c>
      <c r="AI4" s="157"/>
      <c r="AJ4" s="158" t="s">
        <v>946</v>
      </c>
      <c r="AK4" s="158" t="s">
        <v>947</v>
      </c>
      <c r="AL4" s="158" t="s">
        <v>948</v>
      </c>
      <c r="AM4" s="158" t="s">
        <v>949</v>
      </c>
      <c r="AN4" s="158" t="s">
        <v>935</v>
      </c>
      <c r="AO4" s="158" t="s">
        <v>936</v>
      </c>
      <c r="AP4" s="158" t="s">
        <v>937</v>
      </c>
      <c r="AQ4" s="158" t="s">
        <v>938</v>
      </c>
      <c r="AR4" s="158" t="s">
        <v>939</v>
      </c>
      <c r="AS4" s="158" t="s">
        <v>940</v>
      </c>
      <c r="AT4" s="158" t="s">
        <v>941</v>
      </c>
      <c r="AU4" s="158" t="s">
        <v>942</v>
      </c>
      <c r="AV4" s="158" t="s">
        <v>943</v>
      </c>
      <c r="AW4" s="158" t="s">
        <v>944</v>
      </c>
      <c r="AX4" s="158" t="s">
        <v>945</v>
      </c>
      <c r="AY4" s="158" t="s">
        <v>890</v>
      </c>
    </row>
    <row r="5" spans="3:51" ht="15.75" x14ac:dyDescent="0.25">
      <c r="C5" s="1" t="s">
        <v>950</v>
      </c>
      <c r="D5" s="1"/>
      <c r="E5" s="1" t="s">
        <v>951</v>
      </c>
      <c r="F5" s="1" t="s">
        <v>952</v>
      </c>
      <c r="G5" s="1" t="s">
        <v>953</v>
      </c>
      <c r="H5" s="1">
        <v>6</v>
      </c>
      <c r="I5" s="159">
        <v>9540</v>
      </c>
      <c r="J5" s="159">
        <v>1590</v>
      </c>
      <c r="K5" s="159">
        <v>2290</v>
      </c>
      <c r="L5" s="159">
        <v>1000</v>
      </c>
      <c r="M5" s="159">
        <v>0</v>
      </c>
      <c r="N5" s="159">
        <v>0</v>
      </c>
      <c r="O5" s="159">
        <v>0</v>
      </c>
      <c r="P5" s="159">
        <v>0</v>
      </c>
      <c r="Q5" s="159">
        <v>150</v>
      </c>
      <c r="R5" s="159">
        <v>0</v>
      </c>
      <c r="S5" s="160"/>
      <c r="T5" s="161">
        <v>1</v>
      </c>
      <c r="U5" s="161">
        <v>0</v>
      </c>
      <c r="V5" s="161">
        <v>0.5</v>
      </c>
      <c r="W5" s="162"/>
      <c r="X5" s="161">
        <v>0.02</v>
      </c>
      <c r="Y5" s="162"/>
      <c r="Z5" s="163">
        <f>IF($J5&gt;=5000,6000,3000)</f>
        <v>3000</v>
      </c>
      <c r="AA5" s="163">
        <f>IF($J5&gt;=5000,2650,500)</f>
        <v>500</v>
      </c>
      <c r="AB5" s="163">
        <v>650</v>
      </c>
      <c r="AC5" s="163">
        <v>2500</v>
      </c>
      <c r="AD5" s="162"/>
      <c r="AE5" s="161">
        <v>0</v>
      </c>
      <c r="AF5" s="162"/>
      <c r="AG5" s="161">
        <v>300</v>
      </c>
      <c r="AH5" s="161">
        <v>2000</v>
      </c>
      <c r="AI5" s="162"/>
      <c r="AJ5" s="163">
        <f>J5</f>
        <v>1590</v>
      </c>
      <c r="AK5" s="163">
        <f>M5</f>
        <v>0</v>
      </c>
      <c r="AL5" s="163">
        <f>P5*J5/12</f>
        <v>0</v>
      </c>
      <c r="AM5" s="163">
        <f>Q5</f>
        <v>150</v>
      </c>
      <c r="AN5" s="163">
        <f>T5*J5/24</f>
        <v>66.25</v>
      </c>
      <c r="AO5" s="163">
        <f>U5*J5/12</f>
        <v>0</v>
      </c>
      <c r="AP5" s="163">
        <f>V5*J5/24</f>
        <v>33.125</v>
      </c>
      <c r="AQ5" s="163">
        <f>X5*(AJ5+AL5)</f>
        <v>31.8</v>
      </c>
      <c r="AR5" s="163">
        <f>Z5/24</f>
        <v>125</v>
      </c>
      <c r="AS5" s="163">
        <f>AA5/12</f>
        <v>41.666666666666664</v>
      </c>
      <c r="AT5" s="163">
        <f>AB5/12</f>
        <v>54.166666666666664</v>
      </c>
      <c r="AU5" s="163">
        <f>AC5/12</f>
        <v>208.33333333333334</v>
      </c>
      <c r="AV5" s="163">
        <f>AE5*AJ5/36</f>
        <v>0</v>
      </c>
      <c r="AW5" s="163">
        <f>AG5/36</f>
        <v>8.3333333333333339</v>
      </c>
      <c r="AX5" s="163">
        <f>AH5/36</f>
        <v>55.555555555555557</v>
      </c>
      <c r="AY5" s="163">
        <f>SUM(AJ5:AX5)</f>
        <v>2364.2305555555558</v>
      </c>
    </row>
    <row r="6" spans="3:51" ht="15.75" x14ac:dyDescent="0.25">
      <c r="C6" s="1" t="s">
        <v>950</v>
      </c>
      <c r="D6" s="1"/>
      <c r="E6" s="1" t="s">
        <v>951</v>
      </c>
      <c r="F6" s="1" t="s">
        <v>954</v>
      </c>
      <c r="G6" s="1" t="s">
        <v>955</v>
      </c>
      <c r="H6" s="1">
        <v>10</v>
      </c>
      <c r="I6" s="159">
        <v>10837</v>
      </c>
      <c r="J6" s="159">
        <v>1083.7</v>
      </c>
      <c r="K6" s="159">
        <v>1365</v>
      </c>
      <c r="L6" s="159">
        <v>645</v>
      </c>
      <c r="M6" s="159">
        <v>0</v>
      </c>
      <c r="N6" s="159">
        <v>0</v>
      </c>
      <c r="O6" s="159">
        <v>0</v>
      </c>
      <c r="P6" s="159">
        <v>0</v>
      </c>
      <c r="Q6" s="159">
        <v>200</v>
      </c>
      <c r="R6" s="159">
        <v>150</v>
      </c>
      <c r="S6" s="162"/>
      <c r="T6" s="161">
        <v>1</v>
      </c>
      <c r="U6" s="161">
        <v>0</v>
      </c>
      <c r="V6" s="161">
        <v>0.5</v>
      </c>
      <c r="W6" s="162"/>
      <c r="X6" s="161">
        <v>0.02</v>
      </c>
      <c r="Y6" s="162"/>
      <c r="Z6" s="163">
        <f t="shared" ref="Z6:Z69" si="0">IF($J6&gt;=5000,6000,3000)</f>
        <v>3000</v>
      </c>
      <c r="AA6" s="163">
        <f t="shared" ref="AA6:AA69" si="1">IF($J6&gt;=5000,2650,500)</f>
        <v>500</v>
      </c>
      <c r="AB6" s="163">
        <v>650</v>
      </c>
      <c r="AC6" s="163">
        <v>2500</v>
      </c>
      <c r="AD6" s="162"/>
      <c r="AE6" s="161">
        <v>0</v>
      </c>
      <c r="AF6" s="162"/>
      <c r="AG6" s="161">
        <v>300</v>
      </c>
      <c r="AH6" s="161">
        <v>2000</v>
      </c>
      <c r="AI6" s="162"/>
      <c r="AJ6" s="163">
        <f t="shared" ref="AJ6:AJ69" si="2">J6</f>
        <v>1083.7</v>
      </c>
      <c r="AK6" s="163">
        <f t="shared" ref="AK6:AK69" si="3">M6</f>
        <v>0</v>
      </c>
      <c r="AL6" s="163">
        <f t="shared" ref="AL6:AL69" si="4">P6*J6/12</f>
        <v>0</v>
      </c>
      <c r="AM6" s="163">
        <f t="shared" ref="AM6:AM69" si="5">Q6</f>
        <v>200</v>
      </c>
      <c r="AN6" s="163">
        <f t="shared" ref="AN6:AN69" si="6">T6*J6/24</f>
        <v>45.154166666666669</v>
      </c>
      <c r="AO6" s="163">
        <f t="shared" ref="AO6:AO69" si="7">U6*J6/12</f>
        <v>0</v>
      </c>
      <c r="AP6" s="163">
        <f t="shared" ref="AP6:AP69" si="8">V6*J6/24</f>
        <v>22.577083333333334</v>
      </c>
      <c r="AQ6" s="163">
        <f t="shared" ref="AQ6:AQ69" si="9">X6*(AJ6+AL6)</f>
        <v>21.674000000000003</v>
      </c>
      <c r="AR6" s="163">
        <f t="shared" ref="AR6:AR69" si="10">Z6/24</f>
        <v>125</v>
      </c>
      <c r="AS6" s="163">
        <f t="shared" ref="AS6:AU69" si="11">AA6/12</f>
        <v>41.666666666666664</v>
      </c>
      <c r="AT6" s="163">
        <f t="shared" si="11"/>
        <v>54.166666666666664</v>
      </c>
      <c r="AU6" s="163">
        <f t="shared" si="11"/>
        <v>208.33333333333334</v>
      </c>
      <c r="AV6" s="163">
        <f t="shared" ref="AV6:AV69" si="12">AE6*AJ6/36</f>
        <v>0</v>
      </c>
      <c r="AW6" s="163">
        <f t="shared" ref="AW6:AX69" si="13">AG6/36</f>
        <v>8.3333333333333339</v>
      </c>
      <c r="AX6" s="163">
        <f t="shared" si="13"/>
        <v>55.555555555555557</v>
      </c>
      <c r="AY6" s="164">
        <f t="shared" ref="AY6:AY69" si="14">SUM(AJ6:AX6)</f>
        <v>1866.1608055555557</v>
      </c>
    </row>
    <row r="7" spans="3:51" ht="15.75" x14ac:dyDescent="0.25">
      <c r="C7" s="1" t="s">
        <v>950</v>
      </c>
      <c r="D7" s="1"/>
      <c r="E7" s="1" t="s">
        <v>951</v>
      </c>
      <c r="F7" s="1" t="s">
        <v>956</v>
      </c>
      <c r="G7" s="1" t="s">
        <v>957</v>
      </c>
      <c r="H7" s="1">
        <v>18</v>
      </c>
      <c r="I7" s="159">
        <v>39070</v>
      </c>
      <c r="J7" s="159">
        <v>2170.5555555555557</v>
      </c>
      <c r="K7" s="159">
        <v>3675</v>
      </c>
      <c r="L7" s="159">
        <v>900</v>
      </c>
      <c r="M7" s="159">
        <v>300</v>
      </c>
      <c r="N7" s="159">
        <v>0</v>
      </c>
      <c r="O7" s="159">
        <v>0</v>
      </c>
      <c r="P7" s="159">
        <v>0</v>
      </c>
      <c r="Q7" s="159">
        <v>150</v>
      </c>
      <c r="R7" s="159">
        <v>0</v>
      </c>
      <c r="S7" s="162"/>
      <c r="T7" s="161">
        <v>1</v>
      </c>
      <c r="U7" s="161">
        <v>0</v>
      </c>
      <c r="V7" s="161">
        <v>0.5</v>
      </c>
      <c r="W7" s="162"/>
      <c r="X7" s="161">
        <v>0.02</v>
      </c>
      <c r="Y7" s="162"/>
      <c r="Z7" s="163">
        <f t="shared" si="0"/>
        <v>3000</v>
      </c>
      <c r="AA7" s="163">
        <f t="shared" si="1"/>
        <v>500</v>
      </c>
      <c r="AB7" s="163">
        <v>650</v>
      </c>
      <c r="AC7" s="163">
        <v>2500</v>
      </c>
      <c r="AD7" s="162"/>
      <c r="AE7" s="161">
        <v>0</v>
      </c>
      <c r="AF7" s="162"/>
      <c r="AG7" s="161">
        <v>300</v>
      </c>
      <c r="AH7" s="161">
        <v>2000</v>
      </c>
      <c r="AI7" s="162"/>
      <c r="AJ7" s="163">
        <f t="shared" si="2"/>
        <v>2170.5555555555557</v>
      </c>
      <c r="AK7" s="163">
        <f t="shared" si="3"/>
        <v>300</v>
      </c>
      <c r="AL7" s="163">
        <f t="shared" si="4"/>
        <v>0</v>
      </c>
      <c r="AM7" s="163">
        <f t="shared" si="5"/>
        <v>150</v>
      </c>
      <c r="AN7" s="163">
        <f t="shared" si="6"/>
        <v>90.439814814814824</v>
      </c>
      <c r="AO7" s="163">
        <f t="shared" si="7"/>
        <v>0</v>
      </c>
      <c r="AP7" s="163">
        <f t="shared" si="8"/>
        <v>45.219907407407412</v>
      </c>
      <c r="AQ7" s="163">
        <f t="shared" si="9"/>
        <v>43.411111111111111</v>
      </c>
      <c r="AR7" s="163">
        <f t="shared" si="10"/>
        <v>125</v>
      </c>
      <c r="AS7" s="163">
        <f t="shared" si="11"/>
        <v>41.666666666666664</v>
      </c>
      <c r="AT7" s="163">
        <f t="shared" si="11"/>
        <v>54.166666666666664</v>
      </c>
      <c r="AU7" s="163">
        <f t="shared" si="11"/>
        <v>208.33333333333334</v>
      </c>
      <c r="AV7" s="163">
        <f t="shared" si="12"/>
        <v>0</v>
      </c>
      <c r="AW7" s="163">
        <f t="shared" si="13"/>
        <v>8.3333333333333339</v>
      </c>
      <c r="AX7" s="163">
        <f t="shared" si="13"/>
        <v>55.555555555555557</v>
      </c>
      <c r="AY7" s="164">
        <f t="shared" si="14"/>
        <v>3292.6819444444445</v>
      </c>
    </row>
    <row r="8" spans="3:51" ht="15.75" x14ac:dyDescent="0.25">
      <c r="C8" s="1" t="s">
        <v>950</v>
      </c>
      <c r="D8" s="1" t="s">
        <v>958</v>
      </c>
      <c r="E8" s="1" t="s">
        <v>263</v>
      </c>
      <c r="F8" s="1" t="s">
        <v>263</v>
      </c>
      <c r="G8" s="1" t="s">
        <v>959</v>
      </c>
      <c r="H8" s="1">
        <v>5</v>
      </c>
      <c r="I8" s="159">
        <v>20000</v>
      </c>
      <c r="J8" s="159">
        <v>4000</v>
      </c>
      <c r="K8" s="159">
        <v>5000</v>
      </c>
      <c r="L8" s="159">
        <v>3000</v>
      </c>
      <c r="M8" s="159">
        <v>400</v>
      </c>
      <c r="N8" s="159">
        <v>0</v>
      </c>
      <c r="O8" s="159">
        <v>2</v>
      </c>
      <c r="P8" s="159">
        <v>2</v>
      </c>
      <c r="Q8" s="159">
        <v>0</v>
      </c>
      <c r="R8" s="159">
        <v>0</v>
      </c>
      <c r="S8" s="162"/>
      <c r="T8" s="161">
        <v>1</v>
      </c>
      <c r="U8" s="161">
        <v>0</v>
      </c>
      <c r="V8" s="161">
        <v>0.5</v>
      </c>
      <c r="W8" s="162"/>
      <c r="X8" s="161">
        <v>0.02</v>
      </c>
      <c r="Y8" s="162"/>
      <c r="Z8" s="163">
        <f t="shared" si="0"/>
        <v>3000</v>
      </c>
      <c r="AA8" s="163">
        <f t="shared" si="1"/>
        <v>500</v>
      </c>
      <c r="AB8" s="163">
        <v>650</v>
      </c>
      <c r="AC8" s="163">
        <v>2500</v>
      </c>
      <c r="AD8" s="162"/>
      <c r="AE8" s="161">
        <v>0</v>
      </c>
      <c r="AF8" s="162"/>
      <c r="AG8" s="161">
        <v>300</v>
      </c>
      <c r="AH8" s="161">
        <v>2000</v>
      </c>
      <c r="AI8" s="162"/>
      <c r="AJ8" s="163">
        <f t="shared" si="2"/>
        <v>4000</v>
      </c>
      <c r="AK8" s="163">
        <f t="shared" si="3"/>
        <v>400</v>
      </c>
      <c r="AL8" s="163">
        <f t="shared" si="4"/>
        <v>666.66666666666663</v>
      </c>
      <c r="AM8" s="163">
        <f t="shared" si="5"/>
        <v>0</v>
      </c>
      <c r="AN8" s="163">
        <f t="shared" si="6"/>
        <v>166.66666666666666</v>
      </c>
      <c r="AO8" s="163">
        <f t="shared" si="7"/>
        <v>0</v>
      </c>
      <c r="AP8" s="163">
        <f t="shared" si="8"/>
        <v>83.333333333333329</v>
      </c>
      <c r="AQ8" s="163">
        <f t="shared" si="9"/>
        <v>93.333333333333343</v>
      </c>
      <c r="AR8" s="163">
        <f t="shared" si="10"/>
        <v>125</v>
      </c>
      <c r="AS8" s="163">
        <f t="shared" si="11"/>
        <v>41.666666666666664</v>
      </c>
      <c r="AT8" s="163">
        <f t="shared" si="11"/>
        <v>54.166666666666664</v>
      </c>
      <c r="AU8" s="163">
        <f t="shared" si="11"/>
        <v>208.33333333333334</v>
      </c>
      <c r="AV8" s="163">
        <f t="shared" si="12"/>
        <v>0</v>
      </c>
      <c r="AW8" s="163">
        <f t="shared" si="13"/>
        <v>8.3333333333333339</v>
      </c>
      <c r="AX8" s="163">
        <f t="shared" si="13"/>
        <v>55.555555555555557</v>
      </c>
      <c r="AY8" s="164">
        <f t="shared" si="14"/>
        <v>5903.0555555555557</v>
      </c>
    </row>
    <row r="9" spans="3:51" ht="15.75" x14ac:dyDescent="0.25">
      <c r="C9" s="1" t="s">
        <v>950</v>
      </c>
      <c r="D9" s="1" t="s">
        <v>960</v>
      </c>
      <c r="E9" s="1" t="s">
        <v>961</v>
      </c>
      <c r="F9" s="1" t="s">
        <v>263</v>
      </c>
      <c r="G9" s="1" t="s">
        <v>962</v>
      </c>
      <c r="H9" s="1">
        <v>3</v>
      </c>
      <c r="I9" s="159">
        <v>3285</v>
      </c>
      <c r="J9" s="159">
        <v>1095</v>
      </c>
      <c r="K9" s="159">
        <v>1200</v>
      </c>
      <c r="L9" s="159">
        <v>1000</v>
      </c>
      <c r="M9" s="159">
        <v>0</v>
      </c>
      <c r="N9" s="159">
        <v>0</v>
      </c>
      <c r="O9" s="159">
        <v>0</v>
      </c>
      <c r="P9" s="159">
        <v>0</v>
      </c>
      <c r="Q9" s="159">
        <v>150</v>
      </c>
      <c r="R9" s="159">
        <v>0</v>
      </c>
      <c r="S9" s="162"/>
      <c r="T9" s="161">
        <v>1</v>
      </c>
      <c r="U9" s="161">
        <v>0</v>
      </c>
      <c r="V9" s="161">
        <v>0.5</v>
      </c>
      <c r="W9" s="162"/>
      <c r="X9" s="161">
        <v>0.02</v>
      </c>
      <c r="Y9" s="162"/>
      <c r="Z9" s="163">
        <f t="shared" si="0"/>
        <v>3000</v>
      </c>
      <c r="AA9" s="163">
        <f t="shared" si="1"/>
        <v>500</v>
      </c>
      <c r="AB9" s="163">
        <v>650</v>
      </c>
      <c r="AC9" s="163">
        <v>2500</v>
      </c>
      <c r="AD9" s="162"/>
      <c r="AE9" s="161">
        <v>0</v>
      </c>
      <c r="AF9" s="162"/>
      <c r="AG9" s="161">
        <v>300</v>
      </c>
      <c r="AH9" s="161">
        <v>2000</v>
      </c>
      <c r="AI9" s="162"/>
      <c r="AJ9" s="163">
        <f t="shared" si="2"/>
        <v>1095</v>
      </c>
      <c r="AK9" s="163">
        <f t="shared" si="3"/>
        <v>0</v>
      </c>
      <c r="AL9" s="163">
        <f t="shared" si="4"/>
        <v>0</v>
      </c>
      <c r="AM9" s="163">
        <f t="shared" si="5"/>
        <v>150</v>
      </c>
      <c r="AN9" s="163">
        <f t="shared" si="6"/>
        <v>45.625</v>
      </c>
      <c r="AO9" s="163">
        <f t="shared" si="7"/>
        <v>0</v>
      </c>
      <c r="AP9" s="163">
        <f t="shared" si="8"/>
        <v>22.8125</v>
      </c>
      <c r="AQ9" s="163">
        <f t="shared" si="9"/>
        <v>21.900000000000002</v>
      </c>
      <c r="AR9" s="163">
        <f t="shared" si="10"/>
        <v>125</v>
      </c>
      <c r="AS9" s="163">
        <f t="shared" si="11"/>
        <v>41.666666666666664</v>
      </c>
      <c r="AT9" s="163">
        <f t="shared" si="11"/>
        <v>54.166666666666664</v>
      </c>
      <c r="AU9" s="163">
        <f t="shared" si="11"/>
        <v>208.33333333333334</v>
      </c>
      <c r="AV9" s="163">
        <f t="shared" si="12"/>
        <v>0</v>
      </c>
      <c r="AW9" s="163">
        <f t="shared" si="13"/>
        <v>8.3333333333333339</v>
      </c>
      <c r="AX9" s="163">
        <f t="shared" si="13"/>
        <v>55.555555555555557</v>
      </c>
      <c r="AY9" s="164">
        <f t="shared" si="14"/>
        <v>1828.3930555555557</v>
      </c>
    </row>
    <row r="10" spans="3:51" ht="15.75" x14ac:dyDescent="0.25">
      <c r="C10" s="1" t="s">
        <v>950</v>
      </c>
      <c r="D10" s="1" t="s">
        <v>963</v>
      </c>
      <c r="E10" s="1" t="s">
        <v>951</v>
      </c>
      <c r="F10" s="1" t="s">
        <v>964</v>
      </c>
      <c r="G10" s="1" t="s">
        <v>965</v>
      </c>
      <c r="H10" s="1">
        <v>7</v>
      </c>
      <c r="I10" s="159">
        <v>4747</v>
      </c>
      <c r="J10" s="159">
        <v>678.14285714285711</v>
      </c>
      <c r="K10" s="159">
        <v>847</v>
      </c>
      <c r="L10" s="159">
        <v>650</v>
      </c>
      <c r="M10" s="159">
        <v>0</v>
      </c>
      <c r="N10" s="159">
        <v>0</v>
      </c>
      <c r="O10" s="159">
        <v>0</v>
      </c>
      <c r="P10" s="159">
        <v>0</v>
      </c>
      <c r="Q10" s="159">
        <v>150</v>
      </c>
      <c r="R10" s="159">
        <v>150</v>
      </c>
      <c r="S10" s="162"/>
      <c r="T10" s="161">
        <v>1</v>
      </c>
      <c r="U10" s="161">
        <v>0</v>
      </c>
      <c r="V10" s="161">
        <v>0.5</v>
      </c>
      <c r="W10" s="162"/>
      <c r="X10" s="161">
        <v>0.02</v>
      </c>
      <c r="Y10" s="162"/>
      <c r="Z10" s="163">
        <f t="shared" si="0"/>
        <v>3000</v>
      </c>
      <c r="AA10" s="163">
        <f t="shared" si="1"/>
        <v>500</v>
      </c>
      <c r="AB10" s="163">
        <v>650</v>
      </c>
      <c r="AC10" s="163">
        <v>2500</v>
      </c>
      <c r="AD10" s="162"/>
      <c r="AE10" s="161">
        <v>0</v>
      </c>
      <c r="AF10" s="162"/>
      <c r="AG10" s="161">
        <v>300</v>
      </c>
      <c r="AH10" s="161">
        <v>2000</v>
      </c>
      <c r="AI10" s="162"/>
      <c r="AJ10" s="163">
        <f t="shared" si="2"/>
        <v>678.14285714285711</v>
      </c>
      <c r="AK10" s="163">
        <f t="shared" si="3"/>
        <v>0</v>
      </c>
      <c r="AL10" s="163">
        <f t="shared" si="4"/>
        <v>0</v>
      </c>
      <c r="AM10" s="163">
        <f t="shared" si="5"/>
        <v>150</v>
      </c>
      <c r="AN10" s="163">
        <f t="shared" si="6"/>
        <v>28.25595238095238</v>
      </c>
      <c r="AO10" s="163">
        <f t="shared" si="7"/>
        <v>0</v>
      </c>
      <c r="AP10" s="163">
        <f t="shared" si="8"/>
        <v>14.12797619047619</v>
      </c>
      <c r="AQ10" s="163">
        <f t="shared" si="9"/>
        <v>13.562857142857142</v>
      </c>
      <c r="AR10" s="163">
        <f t="shared" si="10"/>
        <v>125</v>
      </c>
      <c r="AS10" s="163">
        <f t="shared" si="11"/>
        <v>41.666666666666664</v>
      </c>
      <c r="AT10" s="163">
        <f t="shared" si="11"/>
        <v>54.166666666666664</v>
      </c>
      <c r="AU10" s="163">
        <f t="shared" si="11"/>
        <v>208.33333333333334</v>
      </c>
      <c r="AV10" s="163">
        <f t="shared" si="12"/>
        <v>0</v>
      </c>
      <c r="AW10" s="163">
        <f t="shared" si="13"/>
        <v>8.3333333333333339</v>
      </c>
      <c r="AX10" s="163">
        <f t="shared" si="13"/>
        <v>55.555555555555557</v>
      </c>
      <c r="AY10" s="164">
        <f t="shared" si="14"/>
        <v>1377.1451984126984</v>
      </c>
    </row>
    <row r="11" spans="3:51" ht="15.75" x14ac:dyDescent="0.25">
      <c r="C11" s="1" t="s">
        <v>950</v>
      </c>
      <c r="D11" s="1"/>
      <c r="E11" s="1" t="s">
        <v>9</v>
      </c>
      <c r="F11" s="1" t="s">
        <v>966</v>
      </c>
      <c r="G11" s="1" t="s">
        <v>967</v>
      </c>
      <c r="H11" s="1">
        <v>74</v>
      </c>
      <c r="I11" s="159">
        <v>72750</v>
      </c>
      <c r="J11" s="159">
        <v>983.10810810810813</v>
      </c>
      <c r="K11" s="159">
        <v>1200</v>
      </c>
      <c r="L11" s="159">
        <v>850</v>
      </c>
      <c r="M11" s="159">
        <v>0</v>
      </c>
      <c r="N11" s="159">
        <v>0</v>
      </c>
      <c r="O11" s="159">
        <v>0</v>
      </c>
      <c r="P11" s="159">
        <v>0</v>
      </c>
      <c r="Q11" s="159">
        <v>150</v>
      </c>
      <c r="R11" s="159">
        <v>150</v>
      </c>
      <c r="S11" s="162"/>
      <c r="T11" s="161">
        <v>1</v>
      </c>
      <c r="U11" s="161">
        <v>0</v>
      </c>
      <c r="V11" s="161">
        <v>0.5</v>
      </c>
      <c r="W11" s="162"/>
      <c r="X11" s="161">
        <v>0.02</v>
      </c>
      <c r="Y11" s="162"/>
      <c r="Z11" s="163">
        <f t="shared" si="0"/>
        <v>3000</v>
      </c>
      <c r="AA11" s="163">
        <f t="shared" si="1"/>
        <v>500</v>
      </c>
      <c r="AB11" s="163">
        <v>650</v>
      </c>
      <c r="AC11" s="163">
        <v>2500</v>
      </c>
      <c r="AD11" s="162"/>
      <c r="AE11" s="161">
        <v>0</v>
      </c>
      <c r="AF11" s="162"/>
      <c r="AG11" s="161">
        <v>300</v>
      </c>
      <c r="AH11" s="161">
        <v>2000</v>
      </c>
      <c r="AI11" s="162"/>
      <c r="AJ11" s="163">
        <f t="shared" si="2"/>
        <v>983.10810810810813</v>
      </c>
      <c r="AK11" s="163">
        <f t="shared" si="3"/>
        <v>0</v>
      </c>
      <c r="AL11" s="163">
        <f t="shared" si="4"/>
        <v>0</v>
      </c>
      <c r="AM11" s="163">
        <f t="shared" si="5"/>
        <v>150</v>
      </c>
      <c r="AN11" s="163">
        <f t="shared" si="6"/>
        <v>40.962837837837839</v>
      </c>
      <c r="AO11" s="163">
        <f t="shared" si="7"/>
        <v>0</v>
      </c>
      <c r="AP11" s="163">
        <f t="shared" si="8"/>
        <v>20.481418918918919</v>
      </c>
      <c r="AQ11" s="163">
        <f t="shared" si="9"/>
        <v>19.662162162162161</v>
      </c>
      <c r="AR11" s="163">
        <f t="shared" si="10"/>
        <v>125</v>
      </c>
      <c r="AS11" s="163">
        <f t="shared" si="11"/>
        <v>41.666666666666664</v>
      </c>
      <c r="AT11" s="163">
        <f t="shared" si="11"/>
        <v>54.166666666666664</v>
      </c>
      <c r="AU11" s="163">
        <f t="shared" si="11"/>
        <v>208.33333333333334</v>
      </c>
      <c r="AV11" s="163">
        <f t="shared" si="12"/>
        <v>0</v>
      </c>
      <c r="AW11" s="163">
        <f t="shared" si="13"/>
        <v>8.3333333333333339</v>
      </c>
      <c r="AX11" s="163">
        <f t="shared" si="13"/>
        <v>55.555555555555557</v>
      </c>
      <c r="AY11" s="164">
        <f t="shared" si="14"/>
        <v>1707.2700825825827</v>
      </c>
    </row>
    <row r="12" spans="3:51" ht="15.75" x14ac:dyDescent="0.25">
      <c r="C12" s="1" t="s">
        <v>950</v>
      </c>
      <c r="D12" s="1"/>
      <c r="E12" s="1" t="s">
        <v>968</v>
      </c>
      <c r="F12" s="1" t="s">
        <v>966</v>
      </c>
      <c r="G12" s="1" t="s">
        <v>969</v>
      </c>
      <c r="H12" s="1">
        <v>1181</v>
      </c>
      <c r="I12" s="159">
        <v>1055898</v>
      </c>
      <c r="J12" s="159">
        <v>894.07112616426753</v>
      </c>
      <c r="K12" s="159">
        <v>1800</v>
      </c>
      <c r="L12" s="159">
        <v>200</v>
      </c>
      <c r="M12" s="159">
        <v>0</v>
      </c>
      <c r="N12" s="159">
        <v>0</v>
      </c>
      <c r="O12" s="159">
        <v>0</v>
      </c>
      <c r="P12" s="159">
        <v>0</v>
      </c>
      <c r="Q12" s="159">
        <v>250</v>
      </c>
      <c r="R12" s="159">
        <v>0</v>
      </c>
      <c r="S12" s="162"/>
      <c r="T12" s="161">
        <v>1</v>
      </c>
      <c r="U12" s="161">
        <v>0</v>
      </c>
      <c r="V12" s="161">
        <v>0.5</v>
      </c>
      <c r="W12" s="162"/>
      <c r="X12" s="161">
        <v>0.02</v>
      </c>
      <c r="Y12" s="162"/>
      <c r="Z12" s="163">
        <f t="shared" si="0"/>
        <v>3000</v>
      </c>
      <c r="AA12" s="163">
        <f t="shared" si="1"/>
        <v>500</v>
      </c>
      <c r="AB12" s="163">
        <v>650</v>
      </c>
      <c r="AC12" s="163">
        <v>2500</v>
      </c>
      <c r="AD12" s="162"/>
      <c r="AE12" s="161">
        <v>0</v>
      </c>
      <c r="AF12" s="162"/>
      <c r="AG12" s="161">
        <v>300</v>
      </c>
      <c r="AH12" s="161">
        <v>2000</v>
      </c>
      <c r="AI12" s="162"/>
      <c r="AJ12" s="163">
        <f t="shared" si="2"/>
        <v>894.07112616426753</v>
      </c>
      <c r="AK12" s="163">
        <f t="shared" si="3"/>
        <v>0</v>
      </c>
      <c r="AL12" s="163">
        <f t="shared" si="4"/>
        <v>0</v>
      </c>
      <c r="AM12" s="163">
        <f t="shared" si="5"/>
        <v>250</v>
      </c>
      <c r="AN12" s="163">
        <f t="shared" si="6"/>
        <v>37.252963590177814</v>
      </c>
      <c r="AO12" s="163">
        <f t="shared" si="7"/>
        <v>0</v>
      </c>
      <c r="AP12" s="163">
        <f t="shared" si="8"/>
        <v>18.626481795088907</v>
      </c>
      <c r="AQ12" s="163">
        <f t="shared" si="9"/>
        <v>17.881422523285352</v>
      </c>
      <c r="AR12" s="163">
        <f t="shared" si="10"/>
        <v>125</v>
      </c>
      <c r="AS12" s="163">
        <f t="shared" si="11"/>
        <v>41.666666666666664</v>
      </c>
      <c r="AT12" s="163">
        <f t="shared" si="11"/>
        <v>54.166666666666664</v>
      </c>
      <c r="AU12" s="163">
        <f t="shared" si="11"/>
        <v>208.33333333333334</v>
      </c>
      <c r="AV12" s="163">
        <f t="shared" si="12"/>
        <v>0</v>
      </c>
      <c r="AW12" s="163">
        <f t="shared" si="13"/>
        <v>8.3333333333333339</v>
      </c>
      <c r="AX12" s="163">
        <f t="shared" si="13"/>
        <v>55.555555555555557</v>
      </c>
      <c r="AY12" s="164">
        <f t="shared" si="14"/>
        <v>1710.8875496283754</v>
      </c>
    </row>
    <row r="13" spans="3:51" ht="15.75" x14ac:dyDescent="0.25">
      <c r="C13" s="1" t="s">
        <v>950</v>
      </c>
      <c r="D13" s="1"/>
      <c r="E13" s="1" t="s">
        <v>970</v>
      </c>
      <c r="F13" s="1" t="s">
        <v>971</v>
      </c>
      <c r="G13" s="1" t="s">
        <v>972</v>
      </c>
      <c r="H13" s="1">
        <v>7</v>
      </c>
      <c r="I13" s="159">
        <v>28850</v>
      </c>
      <c r="J13" s="159">
        <v>4121.4285714285716</v>
      </c>
      <c r="K13" s="159">
        <v>5500</v>
      </c>
      <c r="L13" s="159">
        <v>2750</v>
      </c>
      <c r="M13" s="159">
        <v>400</v>
      </c>
      <c r="N13" s="159">
        <v>0</v>
      </c>
      <c r="O13" s="159">
        <v>0</v>
      </c>
      <c r="P13" s="159">
        <v>0</v>
      </c>
      <c r="Q13" s="159">
        <v>0</v>
      </c>
      <c r="R13" s="159">
        <v>0</v>
      </c>
      <c r="S13" s="162"/>
      <c r="T13" s="161">
        <v>1</v>
      </c>
      <c r="U13" s="161">
        <v>0</v>
      </c>
      <c r="V13" s="161">
        <v>0.5</v>
      </c>
      <c r="W13" s="162"/>
      <c r="X13" s="161">
        <v>0.02</v>
      </c>
      <c r="Y13" s="162"/>
      <c r="Z13" s="163">
        <f t="shared" si="0"/>
        <v>3000</v>
      </c>
      <c r="AA13" s="163">
        <f t="shared" si="1"/>
        <v>500</v>
      </c>
      <c r="AB13" s="163">
        <v>650</v>
      </c>
      <c r="AC13" s="163">
        <v>2500</v>
      </c>
      <c r="AD13" s="162"/>
      <c r="AE13" s="161">
        <v>0</v>
      </c>
      <c r="AF13" s="162"/>
      <c r="AG13" s="161">
        <v>300</v>
      </c>
      <c r="AH13" s="161">
        <v>2000</v>
      </c>
      <c r="AI13" s="162"/>
      <c r="AJ13" s="163">
        <f t="shared" si="2"/>
        <v>4121.4285714285716</v>
      </c>
      <c r="AK13" s="163">
        <f t="shared" si="3"/>
        <v>400</v>
      </c>
      <c r="AL13" s="163">
        <f t="shared" si="4"/>
        <v>0</v>
      </c>
      <c r="AM13" s="163">
        <f t="shared" si="5"/>
        <v>0</v>
      </c>
      <c r="AN13" s="163">
        <f t="shared" si="6"/>
        <v>171.72619047619048</v>
      </c>
      <c r="AO13" s="163">
        <f t="shared" si="7"/>
        <v>0</v>
      </c>
      <c r="AP13" s="163">
        <f t="shared" si="8"/>
        <v>85.863095238095241</v>
      </c>
      <c r="AQ13" s="163">
        <f t="shared" si="9"/>
        <v>82.428571428571431</v>
      </c>
      <c r="AR13" s="163">
        <f t="shared" si="10"/>
        <v>125</v>
      </c>
      <c r="AS13" s="163">
        <f t="shared" si="11"/>
        <v>41.666666666666664</v>
      </c>
      <c r="AT13" s="163">
        <f t="shared" si="11"/>
        <v>54.166666666666664</v>
      </c>
      <c r="AU13" s="163">
        <f t="shared" si="11"/>
        <v>208.33333333333334</v>
      </c>
      <c r="AV13" s="163">
        <f t="shared" si="12"/>
        <v>0</v>
      </c>
      <c r="AW13" s="163">
        <f t="shared" si="13"/>
        <v>8.3333333333333339</v>
      </c>
      <c r="AX13" s="163">
        <f t="shared" si="13"/>
        <v>55.555555555555557</v>
      </c>
      <c r="AY13" s="164">
        <f t="shared" si="14"/>
        <v>5354.501984126985</v>
      </c>
    </row>
    <row r="14" spans="3:51" ht="15.75" x14ac:dyDescent="0.25">
      <c r="C14" s="1" t="s">
        <v>950</v>
      </c>
      <c r="D14" s="1"/>
      <c r="E14" s="1" t="s">
        <v>951</v>
      </c>
      <c r="F14" s="1" t="s">
        <v>973</v>
      </c>
      <c r="G14" s="1" t="s">
        <v>974</v>
      </c>
      <c r="H14" s="1">
        <v>28</v>
      </c>
      <c r="I14" s="159">
        <v>30540</v>
      </c>
      <c r="J14" s="159">
        <v>1090.7142857142858</v>
      </c>
      <c r="K14" s="159">
        <v>2000</v>
      </c>
      <c r="L14" s="159">
        <v>400</v>
      </c>
      <c r="M14" s="159">
        <v>0</v>
      </c>
      <c r="N14" s="159">
        <v>0</v>
      </c>
      <c r="O14" s="159">
        <v>0</v>
      </c>
      <c r="P14" s="159">
        <v>0</v>
      </c>
      <c r="Q14" s="159">
        <v>150</v>
      </c>
      <c r="R14" s="159">
        <v>0</v>
      </c>
      <c r="S14" s="162"/>
      <c r="T14" s="161">
        <v>1</v>
      </c>
      <c r="U14" s="161">
        <v>0</v>
      </c>
      <c r="V14" s="161">
        <v>0.5</v>
      </c>
      <c r="W14" s="162"/>
      <c r="X14" s="161">
        <v>0.02</v>
      </c>
      <c r="Y14" s="162"/>
      <c r="Z14" s="163">
        <f t="shared" si="0"/>
        <v>3000</v>
      </c>
      <c r="AA14" s="163">
        <f t="shared" si="1"/>
        <v>500</v>
      </c>
      <c r="AB14" s="163">
        <v>650</v>
      </c>
      <c r="AC14" s="163">
        <v>2500</v>
      </c>
      <c r="AD14" s="162"/>
      <c r="AE14" s="161">
        <v>0</v>
      </c>
      <c r="AF14" s="162"/>
      <c r="AG14" s="161">
        <v>300</v>
      </c>
      <c r="AH14" s="161">
        <v>2000</v>
      </c>
      <c r="AI14" s="162"/>
      <c r="AJ14" s="163">
        <f t="shared" si="2"/>
        <v>1090.7142857142858</v>
      </c>
      <c r="AK14" s="163">
        <f t="shared" si="3"/>
        <v>0</v>
      </c>
      <c r="AL14" s="163">
        <f t="shared" si="4"/>
        <v>0</v>
      </c>
      <c r="AM14" s="163">
        <f t="shared" si="5"/>
        <v>150</v>
      </c>
      <c r="AN14" s="163">
        <f t="shared" si="6"/>
        <v>45.446428571428577</v>
      </c>
      <c r="AO14" s="163">
        <f t="shared" si="7"/>
        <v>0</v>
      </c>
      <c r="AP14" s="163">
        <f t="shared" si="8"/>
        <v>22.723214285714288</v>
      </c>
      <c r="AQ14" s="163">
        <f t="shared" si="9"/>
        <v>21.814285714285717</v>
      </c>
      <c r="AR14" s="163">
        <f t="shared" si="10"/>
        <v>125</v>
      </c>
      <c r="AS14" s="163">
        <f t="shared" si="11"/>
        <v>41.666666666666664</v>
      </c>
      <c r="AT14" s="163">
        <f t="shared" si="11"/>
        <v>54.166666666666664</v>
      </c>
      <c r="AU14" s="163">
        <f t="shared" si="11"/>
        <v>208.33333333333334</v>
      </c>
      <c r="AV14" s="163">
        <f t="shared" si="12"/>
        <v>0</v>
      </c>
      <c r="AW14" s="163">
        <f t="shared" si="13"/>
        <v>8.3333333333333339</v>
      </c>
      <c r="AX14" s="163">
        <f t="shared" si="13"/>
        <v>55.555555555555557</v>
      </c>
      <c r="AY14" s="164">
        <f t="shared" si="14"/>
        <v>1823.75376984127</v>
      </c>
    </row>
    <row r="15" spans="3:51" ht="15.75" x14ac:dyDescent="0.25">
      <c r="C15" s="1" t="s">
        <v>950</v>
      </c>
      <c r="D15" s="1"/>
      <c r="E15" s="1" t="s">
        <v>263</v>
      </c>
      <c r="F15" s="1" t="s">
        <v>263</v>
      </c>
      <c r="G15" s="1" t="s">
        <v>975</v>
      </c>
      <c r="H15" s="1">
        <v>24</v>
      </c>
      <c r="I15" s="159">
        <v>26950</v>
      </c>
      <c r="J15" s="159">
        <v>1122.9166666666667</v>
      </c>
      <c r="K15" s="159">
        <v>1400</v>
      </c>
      <c r="L15" s="159">
        <v>900</v>
      </c>
      <c r="M15" s="159">
        <v>0</v>
      </c>
      <c r="N15" s="159">
        <v>0</v>
      </c>
      <c r="O15" s="159">
        <v>0</v>
      </c>
      <c r="P15" s="159">
        <v>0</v>
      </c>
      <c r="Q15" s="159">
        <v>200</v>
      </c>
      <c r="R15" s="159">
        <v>150</v>
      </c>
      <c r="S15" s="162"/>
      <c r="T15" s="161">
        <v>1</v>
      </c>
      <c r="U15" s="161">
        <v>0</v>
      </c>
      <c r="V15" s="161">
        <v>0.5</v>
      </c>
      <c r="W15" s="162"/>
      <c r="X15" s="161">
        <v>0.02</v>
      </c>
      <c r="Y15" s="162"/>
      <c r="Z15" s="163">
        <f t="shared" si="0"/>
        <v>3000</v>
      </c>
      <c r="AA15" s="163">
        <f t="shared" si="1"/>
        <v>500</v>
      </c>
      <c r="AB15" s="163">
        <v>650</v>
      </c>
      <c r="AC15" s="163">
        <v>2500</v>
      </c>
      <c r="AD15" s="162"/>
      <c r="AE15" s="161">
        <v>0</v>
      </c>
      <c r="AF15" s="162"/>
      <c r="AG15" s="161">
        <v>300</v>
      </c>
      <c r="AH15" s="161">
        <v>2000</v>
      </c>
      <c r="AI15" s="162"/>
      <c r="AJ15" s="163">
        <f t="shared" si="2"/>
        <v>1122.9166666666667</v>
      </c>
      <c r="AK15" s="163">
        <f t="shared" si="3"/>
        <v>0</v>
      </c>
      <c r="AL15" s="163">
        <f t="shared" si="4"/>
        <v>0</v>
      </c>
      <c r="AM15" s="163">
        <f t="shared" si="5"/>
        <v>200</v>
      </c>
      <c r="AN15" s="163">
        <f t="shared" si="6"/>
        <v>46.78819444444445</v>
      </c>
      <c r="AO15" s="163">
        <f t="shared" si="7"/>
        <v>0</v>
      </c>
      <c r="AP15" s="163">
        <f t="shared" si="8"/>
        <v>23.394097222222225</v>
      </c>
      <c r="AQ15" s="163">
        <f t="shared" si="9"/>
        <v>22.458333333333336</v>
      </c>
      <c r="AR15" s="163">
        <f t="shared" si="10"/>
        <v>125</v>
      </c>
      <c r="AS15" s="163">
        <f t="shared" si="11"/>
        <v>41.666666666666664</v>
      </c>
      <c r="AT15" s="163">
        <f t="shared" si="11"/>
        <v>54.166666666666664</v>
      </c>
      <c r="AU15" s="163">
        <f t="shared" si="11"/>
        <v>208.33333333333334</v>
      </c>
      <c r="AV15" s="163">
        <f t="shared" si="12"/>
        <v>0</v>
      </c>
      <c r="AW15" s="163">
        <f t="shared" si="13"/>
        <v>8.3333333333333339</v>
      </c>
      <c r="AX15" s="163">
        <f t="shared" si="13"/>
        <v>55.555555555555557</v>
      </c>
      <c r="AY15" s="164">
        <f t="shared" si="14"/>
        <v>1908.6128472222222</v>
      </c>
    </row>
    <row r="16" spans="3:51" ht="15.75" x14ac:dyDescent="0.25">
      <c r="C16" s="1" t="s">
        <v>950</v>
      </c>
      <c r="D16" s="1"/>
      <c r="E16" s="1" t="s">
        <v>263</v>
      </c>
      <c r="F16" s="1" t="s">
        <v>263</v>
      </c>
      <c r="G16" s="1" t="s">
        <v>976</v>
      </c>
      <c r="H16" s="1">
        <v>3</v>
      </c>
      <c r="I16" s="159">
        <v>4000</v>
      </c>
      <c r="J16" s="159">
        <v>1333.3333333333333</v>
      </c>
      <c r="K16" s="159">
        <v>1500</v>
      </c>
      <c r="L16" s="159">
        <v>1200</v>
      </c>
      <c r="M16" s="159">
        <v>0</v>
      </c>
      <c r="N16" s="159">
        <v>0</v>
      </c>
      <c r="O16" s="159">
        <v>0</v>
      </c>
      <c r="P16" s="159">
        <v>0</v>
      </c>
      <c r="Q16" s="159">
        <v>200</v>
      </c>
      <c r="R16" s="159">
        <v>150</v>
      </c>
      <c r="S16" s="162"/>
      <c r="T16" s="161">
        <v>1</v>
      </c>
      <c r="U16" s="161">
        <v>0</v>
      </c>
      <c r="V16" s="161">
        <v>0.5</v>
      </c>
      <c r="W16" s="162"/>
      <c r="X16" s="161">
        <v>0.02</v>
      </c>
      <c r="Y16" s="162"/>
      <c r="Z16" s="163">
        <f t="shared" si="0"/>
        <v>3000</v>
      </c>
      <c r="AA16" s="163">
        <f t="shared" si="1"/>
        <v>500</v>
      </c>
      <c r="AB16" s="163">
        <v>650</v>
      </c>
      <c r="AC16" s="163">
        <v>2500</v>
      </c>
      <c r="AD16" s="162"/>
      <c r="AE16" s="161">
        <v>0</v>
      </c>
      <c r="AF16" s="162"/>
      <c r="AG16" s="161">
        <v>300</v>
      </c>
      <c r="AH16" s="161">
        <v>2000</v>
      </c>
      <c r="AI16" s="162"/>
      <c r="AJ16" s="163">
        <f t="shared" si="2"/>
        <v>1333.3333333333333</v>
      </c>
      <c r="AK16" s="163">
        <f t="shared" si="3"/>
        <v>0</v>
      </c>
      <c r="AL16" s="163">
        <f t="shared" si="4"/>
        <v>0</v>
      </c>
      <c r="AM16" s="163">
        <f t="shared" si="5"/>
        <v>200</v>
      </c>
      <c r="AN16" s="163">
        <f t="shared" si="6"/>
        <v>55.55555555555555</v>
      </c>
      <c r="AO16" s="163">
        <f t="shared" si="7"/>
        <v>0</v>
      </c>
      <c r="AP16" s="163">
        <f t="shared" si="8"/>
        <v>27.777777777777775</v>
      </c>
      <c r="AQ16" s="163">
        <f t="shared" si="9"/>
        <v>26.666666666666664</v>
      </c>
      <c r="AR16" s="163">
        <f t="shared" si="10"/>
        <v>125</v>
      </c>
      <c r="AS16" s="163">
        <f t="shared" si="11"/>
        <v>41.666666666666664</v>
      </c>
      <c r="AT16" s="163">
        <f t="shared" si="11"/>
        <v>54.166666666666664</v>
      </c>
      <c r="AU16" s="163">
        <f t="shared" si="11"/>
        <v>208.33333333333334</v>
      </c>
      <c r="AV16" s="163">
        <f t="shared" si="12"/>
        <v>0</v>
      </c>
      <c r="AW16" s="163">
        <f t="shared" si="13"/>
        <v>8.3333333333333339</v>
      </c>
      <c r="AX16" s="163">
        <f t="shared" si="13"/>
        <v>55.555555555555557</v>
      </c>
      <c r="AY16" s="164">
        <f t="shared" si="14"/>
        <v>2136.3888888888896</v>
      </c>
    </row>
    <row r="17" spans="3:51" ht="15.75" x14ac:dyDescent="0.25">
      <c r="C17" s="1" t="s">
        <v>950</v>
      </c>
      <c r="D17" s="1"/>
      <c r="E17" s="1" t="s">
        <v>263</v>
      </c>
      <c r="F17" s="1" t="s">
        <v>263</v>
      </c>
      <c r="G17" s="1" t="s">
        <v>977</v>
      </c>
      <c r="H17" s="1">
        <v>6</v>
      </c>
      <c r="I17" s="159">
        <v>3695</v>
      </c>
      <c r="J17" s="159">
        <v>615.83333333333337</v>
      </c>
      <c r="K17" s="159">
        <v>660</v>
      </c>
      <c r="L17" s="159">
        <v>535</v>
      </c>
      <c r="M17" s="159">
        <v>0</v>
      </c>
      <c r="N17" s="159">
        <v>0</v>
      </c>
      <c r="O17" s="159">
        <v>0</v>
      </c>
      <c r="P17" s="159">
        <v>0</v>
      </c>
      <c r="Q17" s="159">
        <v>250</v>
      </c>
      <c r="R17" s="159">
        <v>250</v>
      </c>
      <c r="S17" s="162"/>
      <c r="T17" s="161">
        <v>1</v>
      </c>
      <c r="U17" s="161">
        <v>0</v>
      </c>
      <c r="V17" s="161">
        <v>0.5</v>
      </c>
      <c r="W17" s="162"/>
      <c r="X17" s="161">
        <v>0.02</v>
      </c>
      <c r="Y17" s="162"/>
      <c r="Z17" s="163">
        <f t="shared" si="0"/>
        <v>3000</v>
      </c>
      <c r="AA17" s="163">
        <f t="shared" si="1"/>
        <v>500</v>
      </c>
      <c r="AB17" s="163">
        <v>650</v>
      </c>
      <c r="AC17" s="163">
        <v>2500</v>
      </c>
      <c r="AD17" s="162"/>
      <c r="AE17" s="161">
        <v>0</v>
      </c>
      <c r="AF17" s="162"/>
      <c r="AG17" s="161">
        <v>300</v>
      </c>
      <c r="AH17" s="161">
        <v>2000</v>
      </c>
      <c r="AI17" s="162"/>
      <c r="AJ17" s="163">
        <f t="shared" si="2"/>
        <v>615.83333333333337</v>
      </c>
      <c r="AK17" s="163">
        <f t="shared" si="3"/>
        <v>0</v>
      </c>
      <c r="AL17" s="163">
        <f t="shared" si="4"/>
        <v>0</v>
      </c>
      <c r="AM17" s="163">
        <f t="shared" si="5"/>
        <v>250</v>
      </c>
      <c r="AN17" s="163">
        <f t="shared" si="6"/>
        <v>25.659722222222225</v>
      </c>
      <c r="AO17" s="163">
        <f t="shared" si="7"/>
        <v>0</v>
      </c>
      <c r="AP17" s="163">
        <f t="shared" si="8"/>
        <v>12.829861111111112</v>
      </c>
      <c r="AQ17" s="163">
        <f t="shared" si="9"/>
        <v>12.316666666666668</v>
      </c>
      <c r="AR17" s="163">
        <f t="shared" si="10"/>
        <v>125</v>
      </c>
      <c r="AS17" s="163">
        <f t="shared" si="11"/>
        <v>41.666666666666664</v>
      </c>
      <c r="AT17" s="163">
        <f t="shared" si="11"/>
        <v>54.166666666666664</v>
      </c>
      <c r="AU17" s="163">
        <f t="shared" si="11"/>
        <v>208.33333333333334</v>
      </c>
      <c r="AV17" s="163">
        <f t="shared" si="12"/>
        <v>0</v>
      </c>
      <c r="AW17" s="163">
        <f t="shared" si="13"/>
        <v>8.3333333333333339</v>
      </c>
      <c r="AX17" s="163">
        <f t="shared" si="13"/>
        <v>55.555555555555557</v>
      </c>
      <c r="AY17" s="164">
        <f t="shared" si="14"/>
        <v>1409.695138888889</v>
      </c>
    </row>
    <row r="18" spans="3:51" ht="15.75" x14ac:dyDescent="0.25">
      <c r="C18" s="1" t="s">
        <v>950</v>
      </c>
      <c r="D18" s="1"/>
      <c r="E18" s="1" t="s">
        <v>263</v>
      </c>
      <c r="F18" s="1" t="s">
        <v>263</v>
      </c>
      <c r="G18" s="1" t="s">
        <v>978</v>
      </c>
      <c r="H18" s="1">
        <v>3</v>
      </c>
      <c r="I18" s="159">
        <v>3090</v>
      </c>
      <c r="J18" s="159">
        <v>1030</v>
      </c>
      <c r="K18" s="159">
        <v>1300</v>
      </c>
      <c r="L18" s="159">
        <v>690</v>
      </c>
      <c r="M18" s="159">
        <v>0</v>
      </c>
      <c r="N18" s="159">
        <v>0</v>
      </c>
      <c r="O18" s="159">
        <v>0</v>
      </c>
      <c r="P18" s="159">
        <v>0</v>
      </c>
      <c r="Q18" s="159">
        <v>150</v>
      </c>
      <c r="R18" s="159">
        <v>120</v>
      </c>
      <c r="S18" s="162"/>
      <c r="T18" s="161">
        <v>1</v>
      </c>
      <c r="U18" s="161">
        <v>0</v>
      </c>
      <c r="V18" s="161">
        <v>0.5</v>
      </c>
      <c r="W18" s="162"/>
      <c r="X18" s="161">
        <v>0.02</v>
      </c>
      <c r="Y18" s="162"/>
      <c r="Z18" s="163">
        <f t="shared" si="0"/>
        <v>3000</v>
      </c>
      <c r="AA18" s="163">
        <f t="shared" si="1"/>
        <v>500</v>
      </c>
      <c r="AB18" s="163">
        <v>650</v>
      </c>
      <c r="AC18" s="163">
        <v>2500</v>
      </c>
      <c r="AD18" s="162"/>
      <c r="AE18" s="161">
        <v>0</v>
      </c>
      <c r="AF18" s="162"/>
      <c r="AG18" s="161">
        <v>300</v>
      </c>
      <c r="AH18" s="161">
        <v>2000</v>
      </c>
      <c r="AI18" s="162"/>
      <c r="AJ18" s="163">
        <f t="shared" si="2"/>
        <v>1030</v>
      </c>
      <c r="AK18" s="163">
        <f t="shared" si="3"/>
        <v>0</v>
      </c>
      <c r="AL18" s="163">
        <f t="shared" si="4"/>
        <v>0</v>
      </c>
      <c r="AM18" s="163">
        <f t="shared" si="5"/>
        <v>150</v>
      </c>
      <c r="AN18" s="163">
        <f t="shared" si="6"/>
        <v>42.916666666666664</v>
      </c>
      <c r="AO18" s="163">
        <f t="shared" si="7"/>
        <v>0</v>
      </c>
      <c r="AP18" s="163">
        <f t="shared" si="8"/>
        <v>21.458333333333332</v>
      </c>
      <c r="AQ18" s="163">
        <f t="shared" si="9"/>
        <v>20.6</v>
      </c>
      <c r="AR18" s="163">
        <f t="shared" si="10"/>
        <v>125</v>
      </c>
      <c r="AS18" s="163">
        <f t="shared" si="11"/>
        <v>41.666666666666664</v>
      </c>
      <c r="AT18" s="163">
        <f t="shared" si="11"/>
        <v>54.166666666666664</v>
      </c>
      <c r="AU18" s="163">
        <f t="shared" si="11"/>
        <v>208.33333333333334</v>
      </c>
      <c r="AV18" s="163">
        <f t="shared" si="12"/>
        <v>0</v>
      </c>
      <c r="AW18" s="163">
        <f t="shared" si="13"/>
        <v>8.3333333333333339</v>
      </c>
      <c r="AX18" s="163">
        <f t="shared" si="13"/>
        <v>55.555555555555557</v>
      </c>
      <c r="AY18" s="164">
        <f t="shared" si="14"/>
        <v>1758.0305555555556</v>
      </c>
    </row>
    <row r="19" spans="3:51" ht="15.75" x14ac:dyDescent="0.25">
      <c r="C19" s="1" t="s">
        <v>950</v>
      </c>
      <c r="D19" s="1"/>
      <c r="E19" s="1" t="s">
        <v>263</v>
      </c>
      <c r="F19" s="1" t="s">
        <v>263</v>
      </c>
      <c r="G19" s="1" t="s">
        <v>979</v>
      </c>
      <c r="H19" s="1">
        <v>1</v>
      </c>
      <c r="I19" s="159">
        <v>1200</v>
      </c>
      <c r="J19" s="159">
        <v>1200</v>
      </c>
      <c r="K19" s="159">
        <v>1200</v>
      </c>
      <c r="L19" s="159">
        <v>1200</v>
      </c>
      <c r="M19" s="159">
        <v>0</v>
      </c>
      <c r="N19" s="159">
        <v>0</v>
      </c>
      <c r="O19" s="159">
        <v>0</v>
      </c>
      <c r="P19" s="159">
        <v>0</v>
      </c>
      <c r="Q19" s="159">
        <v>150</v>
      </c>
      <c r="R19" s="159">
        <v>150</v>
      </c>
      <c r="S19" s="162"/>
      <c r="T19" s="161">
        <v>1</v>
      </c>
      <c r="U19" s="161">
        <v>0</v>
      </c>
      <c r="V19" s="161">
        <v>0.5</v>
      </c>
      <c r="W19" s="162"/>
      <c r="X19" s="161">
        <v>0.02</v>
      </c>
      <c r="Y19" s="162"/>
      <c r="Z19" s="163">
        <f t="shared" si="0"/>
        <v>3000</v>
      </c>
      <c r="AA19" s="163">
        <f t="shared" si="1"/>
        <v>500</v>
      </c>
      <c r="AB19" s="163">
        <v>650</v>
      </c>
      <c r="AC19" s="163">
        <v>2500</v>
      </c>
      <c r="AD19" s="162"/>
      <c r="AE19" s="161">
        <v>0</v>
      </c>
      <c r="AF19" s="162"/>
      <c r="AG19" s="161">
        <v>300</v>
      </c>
      <c r="AH19" s="161">
        <v>2000</v>
      </c>
      <c r="AI19" s="162"/>
      <c r="AJ19" s="163">
        <f t="shared" si="2"/>
        <v>1200</v>
      </c>
      <c r="AK19" s="163">
        <f t="shared" si="3"/>
        <v>0</v>
      </c>
      <c r="AL19" s="163">
        <f t="shared" si="4"/>
        <v>0</v>
      </c>
      <c r="AM19" s="163">
        <f t="shared" si="5"/>
        <v>150</v>
      </c>
      <c r="AN19" s="163">
        <f t="shared" si="6"/>
        <v>50</v>
      </c>
      <c r="AO19" s="163">
        <f t="shared" si="7"/>
        <v>0</v>
      </c>
      <c r="AP19" s="163">
        <f t="shared" si="8"/>
        <v>25</v>
      </c>
      <c r="AQ19" s="163">
        <f t="shared" si="9"/>
        <v>24</v>
      </c>
      <c r="AR19" s="163">
        <f t="shared" si="10"/>
        <v>125</v>
      </c>
      <c r="AS19" s="163">
        <f t="shared" si="11"/>
        <v>41.666666666666664</v>
      </c>
      <c r="AT19" s="163">
        <f t="shared" si="11"/>
        <v>54.166666666666664</v>
      </c>
      <c r="AU19" s="163">
        <f t="shared" si="11"/>
        <v>208.33333333333334</v>
      </c>
      <c r="AV19" s="163">
        <f t="shared" si="12"/>
        <v>0</v>
      </c>
      <c r="AW19" s="163">
        <f t="shared" si="13"/>
        <v>8.3333333333333339</v>
      </c>
      <c r="AX19" s="163">
        <f t="shared" si="13"/>
        <v>55.555555555555557</v>
      </c>
      <c r="AY19" s="164">
        <f t="shared" si="14"/>
        <v>1942.0555555555557</v>
      </c>
    </row>
    <row r="20" spans="3:51" ht="15.75" x14ac:dyDescent="0.25">
      <c r="C20" s="1" t="s">
        <v>950</v>
      </c>
      <c r="D20" s="1"/>
      <c r="E20" s="1" t="s">
        <v>951</v>
      </c>
      <c r="F20" s="1" t="s">
        <v>980</v>
      </c>
      <c r="G20" s="1" t="s">
        <v>981</v>
      </c>
      <c r="H20" s="1">
        <v>8</v>
      </c>
      <c r="I20" s="159">
        <v>8050</v>
      </c>
      <c r="J20" s="159">
        <v>1006.25</v>
      </c>
      <c r="K20" s="159">
        <v>1350</v>
      </c>
      <c r="L20" s="159">
        <v>800</v>
      </c>
      <c r="M20" s="159">
        <v>0</v>
      </c>
      <c r="N20" s="159">
        <v>0</v>
      </c>
      <c r="O20" s="159">
        <v>0</v>
      </c>
      <c r="P20" s="159">
        <v>0</v>
      </c>
      <c r="Q20" s="159">
        <v>200</v>
      </c>
      <c r="R20" s="159">
        <v>150</v>
      </c>
      <c r="S20" s="162"/>
      <c r="T20" s="161">
        <v>1</v>
      </c>
      <c r="U20" s="161">
        <v>0</v>
      </c>
      <c r="V20" s="161">
        <v>0.5</v>
      </c>
      <c r="W20" s="162"/>
      <c r="X20" s="161">
        <v>0.02</v>
      </c>
      <c r="Y20" s="162"/>
      <c r="Z20" s="163">
        <f t="shared" si="0"/>
        <v>3000</v>
      </c>
      <c r="AA20" s="163">
        <f t="shared" si="1"/>
        <v>500</v>
      </c>
      <c r="AB20" s="163">
        <v>650</v>
      </c>
      <c r="AC20" s="163">
        <v>2500</v>
      </c>
      <c r="AD20" s="162"/>
      <c r="AE20" s="161">
        <v>0</v>
      </c>
      <c r="AF20" s="162"/>
      <c r="AG20" s="161">
        <v>300</v>
      </c>
      <c r="AH20" s="161">
        <v>2000</v>
      </c>
      <c r="AI20" s="162"/>
      <c r="AJ20" s="163">
        <f t="shared" si="2"/>
        <v>1006.25</v>
      </c>
      <c r="AK20" s="163">
        <f t="shared" si="3"/>
        <v>0</v>
      </c>
      <c r="AL20" s="163">
        <f t="shared" si="4"/>
        <v>0</v>
      </c>
      <c r="AM20" s="163">
        <f t="shared" si="5"/>
        <v>200</v>
      </c>
      <c r="AN20" s="163">
        <f t="shared" si="6"/>
        <v>41.927083333333336</v>
      </c>
      <c r="AO20" s="163">
        <f t="shared" si="7"/>
        <v>0</v>
      </c>
      <c r="AP20" s="163">
        <f t="shared" si="8"/>
        <v>20.963541666666668</v>
      </c>
      <c r="AQ20" s="163">
        <f t="shared" si="9"/>
        <v>20.125</v>
      </c>
      <c r="AR20" s="163">
        <f t="shared" si="10"/>
        <v>125</v>
      </c>
      <c r="AS20" s="163">
        <f t="shared" si="11"/>
        <v>41.666666666666664</v>
      </c>
      <c r="AT20" s="163">
        <f t="shared" si="11"/>
        <v>54.166666666666664</v>
      </c>
      <c r="AU20" s="163">
        <f t="shared" si="11"/>
        <v>208.33333333333334</v>
      </c>
      <c r="AV20" s="163">
        <f t="shared" si="12"/>
        <v>0</v>
      </c>
      <c r="AW20" s="163">
        <f t="shared" si="13"/>
        <v>8.3333333333333339</v>
      </c>
      <c r="AX20" s="163">
        <f t="shared" si="13"/>
        <v>55.555555555555557</v>
      </c>
      <c r="AY20" s="164">
        <f t="shared" si="14"/>
        <v>1782.3211805555557</v>
      </c>
    </row>
    <row r="21" spans="3:51" ht="15.75" x14ac:dyDescent="0.25">
      <c r="C21" s="1" t="s">
        <v>950</v>
      </c>
      <c r="D21" s="1"/>
      <c r="E21" s="1" t="s">
        <v>951</v>
      </c>
      <c r="F21" s="1" t="s">
        <v>980</v>
      </c>
      <c r="G21" s="1" t="s">
        <v>816</v>
      </c>
      <c r="H21" s="1">
        <v>5</v>
      </c>
      <c r="I21" s="159">
        <v>5900</v>
      </c>
      <c r="J21" s="159">
        <v>1180</v>
      </c>
      <c r="K21" s="159">
        <v>1300</v>
      </c>
      <c r="L21" s="159">
        <v>1100</v>
      </c>
      <c r="M21" s="159">
        <v>0</v>
      </c>
      <c r="N21" s="159">
        <v>0</v>
      </c>
      <c r="O21" s="159">
        <v>0</v>
      </c>
      <c r="P21" s="159">
        <v>0</v>
      </c>
      <c r="Q21" s="159">
        <v>150</v>
      </c>
      <c r="R21" s="159">
        <v>150</v>
      </c>
      <c r="S21" s="162"/>
      <c r="T21" s="161">
        <v>1</v>
      </c>
      <c r="U21" s="161">
        <v>0</v>
      </c>
      <c r="V21" s="161">
        <v>0.5</v>
      </c>
      <c r="W21" s="162"/>
      <c r="X21" s="161">
        <v>0.02</v>
      </c>
      <c r="Y21" s="162"/>
      <c r="Z21" s="163">
        <f t="shared" si="0"/>
        <v>3000</v>
      </c>
      <c r="AA21" s="163">
        <f t="shared" si="1"/>
        <v>500</v>
      </c>
      <c r="AB21" s="163">
        <v>650</v>
      </c>
      <c r="AC21" s="163">
        <v>2500</v>
      </c>
      <c r="AD21" s="162"/>
      <c r="AE21" s="161">
        <v>0</v>
      </c>
      <c r="AF21" s="162"/>
      <c r="AG21" s="161">
        <v>300</v>
      </c>
      <c r="AH21" s="161">
        <v>2000</v>
      </c>
      <c r="AI21" s="162"/>
      <c r="AJ21" s="163">
        <f t="shared" si="2"/>
        <v>1180</v>
      </c>
      <c r="AK21" s="163">
        <f t="shared" si="3"/>
        <v>0</v>
      </c>
      <c r="AL21" s="163">
        <f t="shared" si="4"/>
        <v>0</v>
      </c>
      <c r="AM21" s="163">
        <f t="shared" si="5"/>
        <v>150</v>
      </c>
      <c r="AN21" s="163">
        <f t="shared" si="6"/>
        <v>49.166666666666664</v>
      </c>
      <c r="AO21" s="163">
        <f t="shared" si="7"/>
        <v>0</v>
      </c>
      <c r="AP21" s="163">
        <f t="shared" si="8"/>
        <v>24.583333333333332</v>
      </c>
      <c r="AQ21" s="163">
        <f t="shared" si="9"/>
        <v>23.6</v>
      </c>
      <c r="AR21" s="163">
        <f t="shared" si="10"/>
        <v>125</v>
      </c>
      <c r="AS21" s="163">
        <f t="shared" si="11"/>
        <v>41.666666666666664</v>
      </c>
      <c r="AT21" s="163">
        <f t="shared" si="11"/>
        <v>54.166666666666664</v>
      </c>
      <c r="AU21" s="163">
        <f t="shared" si="11"/>
        <v>208.33333333333334</v>
      </c>
      <c r="AV21" s="163">
        <f t="shared" si="12"/>
        <v>0</v>
      </c>
      <c r="AW21" s="163">
        <f t="shared" si="13"/>
        <v>8.3333333333333339</v>
      </c>
      <c r="AX21" s="163">
        <f t="shared" si="13"/>
        <v>55.555555555555557</v>
      </c>
      <c r="AY21" s="164">
        <f t="shared" si="14"/>
        <v>1920.4055555555556</v>
      </c>
    </row>
    <row r="22" spans="3:51" ht="15.75" x14ac:dyDescent="0.25">
      <c r="C22" s="1" t="s">
        <v>950</v>
      </c>
      <c r="D22" s="1"/>
      <c r="E22" s="1" t="s">
        <v>951</v>
      </c>
      <c r="F22" s="1" t="s">
        <v>980</v>
      </c>
      <c r="G22" s="1" t="s">
        <v>806</v>
      </c>
      <c r="H22" s="1">
        <v>2</v>
      </c>
      <c r="I22" s="159">
        <v>2350</v>
      </c>
      <c r="J22" s="159">
        <v>1175</v>
      </c>
      <c r="K22" s="159">
        <v>1500</v>
      </c>
      <c r="L22" s="159">
        <v>850</v>
      </c>
      <c r="M22" s="159">
        <v>0</v>
      </c>
      <c r="N22" s="159">
        <v>0</v>
      </c>
      <c r="O22" s="159">
        <v>0</v>
      </c>
      <c r="P22" s="159">
        <v>0</v>
      </c>
      <c r="Q22" s="159">
        <v>150</v>
      </c>
      <c r="R22" s="159">
        <v>150</v>
      </c>
      <c r="S22" s="162"/>
      <c r="T22" s="161">
        <v>1</v>
      </c>
      <c r="U22" s="161">
        <v>0</v>
      </c>
      <c r="V22" s="161">
        <v>0.5</v>
      </c>
      <c r="W22" s="162"/>
      <c r="X22" s="161">
        <v>0.02</v>
      </c>
      <c r="Y22" s="162"/>
      <c r="Z22" s="163">
        <f t="shared" si="0"/>
        <v>3000</v>
      </c>
      <c r="AA22" s="163">
        <f t="shared" si="1"/>
        <v>500</v>
      </c>
      <c r="AB22" s="163">
        <v>650</v>
      </c>
      <c r="AC22" s="163">
        <v>2500</v>
      </c>
      <c r="AD22" s="162"/>
      <c r="AE22" s="161">
        <v>0</v>
      </c>
      <c r="AF22" s="162"/>
      <c r="AG22" s="161">
        <v>300</v>
      </c>
      <c r="AH22" s="161">
        <v>2000</v>
      </c>
      <c r="AI22" s="162"/>
      <c r="AJ22" s="163">
        <f t="shared" si="2"/>
        <v>1175</v>
      </c>
      <c r="AK22" s="163">
        <f t="shared" si="3"/>
        <v>0</v>
      </c>
      <c r="AL22" s="163">
        <f t="shared" si="4"/>
        <v>0</v>
      </c>
      <c r="AM22" s="163">
        <f t="shared" si="5"/>
        <v>150</v>
      </c>
      <c r="AN22" s="163">
        <f t="shared" si="6"/>
        <v>48.958333333333336</v>
      </c>
      <c r="AO22" s="163">
        <f t="shared" si="7"/>
        <v>0</v>
      </c>
      <c r="AP22" s="163">
        <f t="shared" si="8"/>
        <v>24.479166666666668</v>
      </c>
      <c r="AQ22" s="163">
        <f t="shared" si="9"/>
        <v>23.5</v>
      </c>
      <c r="AR22" s="163">
        <f t="shared" si="10"/>
        <v>125</v>
      </c>
      <c r="AS22" s="163">
        <f t="shared" si="11"/>
        <v>41.666666666666664</v>
      </c>
      <c r="AT22" s="163">
        <f t="shared" si="11"/>
        <v>54.166666666666664</v>
      </c>
      <c r="AU22" s="163">
        <f t="shared" si="11"/>
        <v>208.33333333333334</v>
      </c>
      <c r="AV22" s="163">
        <f t="shared" si="12"/>
        <v>0</v>
      </c>
      <c r="AW22" s="163">
        <f t="shared" si="13"/>
        <v>8.3333333333333339</v>
      </c>
      <c r="AX22" s="163">
        <f t="shared" si="13"/>
        <v>55.555555555555557</v>
      </c>
      <c r="AY22" s="164">
        <f t="shared" si="14"/>
        <v>1914.9930555555557</v>
      </c>
    </row>
    <row r="23" spans="3:51" ht="15.75" x14ac:dyDescent="0.25">
      <c r="C23" s="1" t="s">
        <v>950</v>
      </c>
      <c r="D23" s="1"/>
      <c r="E23" s="1" t="s">
        <v>951</v>
      </c>
      <c r="F23" s="1" t="s">
        <v>980</v>
      </c>
      <c r="G23" s="1" t="s">
        <v>982</v>
      </c>
      <c r="H23" s="1">
        <v>1500</v>
      </c>
      <c r="I23" s="159">
        <v>1465284</v>
      </c>
      <c r="J23" s="159">
        <v>976.85599999999999</v>
      </c>
      <c r="K23" s="159">
        <v>4000</v>
      </c>
      <c r="L23" s="159">
        <v>600</v>
      </c>
      <c r="M23" s="159">
        <v>300</v>
      </c>
      <c r="N23" s="159">
        <v>0</v>
      </c>
      <c r="O23" s="159">
        <v>0</v>
      </c>
      <c r="P23" s="159">
        <v>0</v>
      </c>
      <c r="Q23" s="159">
        <v>250</v>
      </c>
      <c r="R23" s="159">
        <v>0</v>
      </c>
      <c r="S23" s="162"/>
      <c r="T23" s="161">
        <v>1</v>
      </c>
      <c r="U23" s="161">
        <v>0</v>
      </c>
      <c r="V23" s="161">
        <v>0.5</v>
      </c>
      <c r="W23" s="162"/>
      <c r="X23" s="161">
        <v>0.02</v>
      </c>
      <c r="Y23" s="162"/>
      <c r="Z23" s="163">
        <f t="shared" si="0"/>
        <v>3000</v>
      </c>
      <c r="AA23" s="163">
        <f t="shared" si="1"/>
        <v>500</v>
      </c>
      <c r="AB23" s="163">
        <v>650</v>
      </c>
      <c r="AC23" s="163">
        <v>2500</v>
      </c>
      <c r="AD23" s="162"/>
      <c r="AE23" s="161">
        <v>0</v>
      </c>
      <c r="AF23" s="162"/>
      <c r="AG23" s="161">
        <v>300</v>
      </c>
      <c r="AH23" s="161">
        <v>2000</v>
      </c>
      <c r="AI23" s="162"/>
      <c r="AJ23" s="163">
        <f t="shared" si="2"/>
        <v>976.85599999999999</v>
      </c>
      <c r="AK23" s="163">
        <f t="shared" si="3"/>
        <v>300</v>
      </c>
      <c r="AL23" s="163">
        <f t="shared" si="4"/>
        <v>0</v>
      </c>
      <c r="AM23" s="163">
        <f t="shared" si="5"/>
        <v>250</v>
      </c>
      <c r="AN23" s="163">
        <f t="shared" si="6"/>
        <v>40.702333333333335</v>
      </c>
      <c r="AO23" s="163">
        <f t="shared" si="7"/>
        <v>0</v>
      </c>
      <c r="AP23" s="163">
        <f t="shared" si="8"/>
        <v>20.351166666666668</v>
      </c>
      <c r="AQ23" s="163">
        <f t="shared" si="9"/>
        <v>19.537120000000002</v>
      </c>
      <c r="AR23" s="163">
        <f t="shared" si="10"/>
        <v>125</v>
      </c>
      <c r="AS23" s="163">
        <f t="shared" si="11"/>
        <v>41.666666666666664</v>
      </c>
      <c r="AT23" s="163">
        <f t="shared" si="11"/>
        <v>54.166666666666664</v>
      </c>
      <c r="AU23" s="163">
        <f t="shared" si="11"/>
        <v>208.33333333333334</v>
      </c>
      <c r="AV23" s="163">
        <f t="shared" si="12"/>
        <v>0</v>
      </c>
      <c r="AW23" s="163">
        <f t="shared" si="13"/>
        <v>8.3333333333333339</v>
      </c>
      <c r="AX23" s="163">
        <f t="shared" si="13"/>
        <v>55.555555555555557</v>
      </c>
      <c r="AY23" s="164">
        <f t="shared" si="14"/>
        <v>2100.5021755555554</v>
      </c>
    </row>
    <row r="24" spans="3:51" ht="15.75" x14ac:dyDescent="0.25">
      <c r="C24" s="1" t="s">
        <v>950</v>
      </c>
      <c r="D24" s="1"/>
      <c r="E24" s="1" t="s">
        <v>951</v>
      </c>
      <c r="F24" s="1" t="s">
        <v>980</v>
      </c>
      <c r="G24" s="1" t="s">
        <v>983</v>
      </c>
      <c r="H24" s="1">
        <v>87</v>
      </c>
      <c r="I24" s="159">
        <v>180149</v>
      </c>
      <c r="J24" s="159">
        <v>2070.67816091954</v>
      </c>
      <c r="K24" s="159">
        <v>3200</v>
      </c>
      <c r="L24" s="159">
        <v>520</v>
      </c>
      <c r="M24" s="159">
        <v>300</v>
      </c>
      <c r="N24" s="159">
        <v>0</v>
      </c>
      <c r="O24" s="159">
        <v>0</v>
      </c>
      <c r="P24" s="159">
        <v>0</v>
      </c>
      <c r="Q24" s="159">
        <v>400</v>
      </c>
      <c r="R24" s="159">
        <v>0</v>
      </c>
      <c r="S24" s="162"/>
      <c r="T24" s="161">
        <v>1</v>
      </c>
      <c r="U24" s="161">
        <v>0</v>
      </c>
      <c r="V24" s="161">
        <v>0.5</v>
      </c>
      <c r="W24" s="162"/>
      <c r="X24" s="161">
        <v>0.02</v>
      </c>
      <c r="Y24" s="162"/>
      <c r="Z24" s="163">
        <f t="shared" si="0"/>
        <v>3000</v>
      </c>
      <c r="AA24" s="163">
        <f t="shared" si="1"/>
        <v>500</v>
      </c>
      <c r="AB24" s="163">
        <v>650</v>
      </c>
      <c r="AC24" s="163">
        <v>2500</v>
      </c>
      <c r="AD24" s="162"/>
      <c r="AE24" s="161">
        <v>0</v>
      </c>
      <c r="AF24" s="162"/>
      <c r="AG24" s="161">
        <v>300</v>
      </c>
      <c r="AH24" s="161">
        <v>2000</v>
      </c>
      <c r="AI24" s="162"/>
      <c r="AJ24" s="163">
        <f t="shared" si="2"/>
        <v>2070.67816091954</v>
      </c>
      <c r="AK24" s="163">
        <f t="shared" si="3"/>
        <v>300</v>
      </c>
      <c r="AL24" s="163">
        <f t="shared" si="4"/>
        <v>0</v>
      </c>
      <c r="AM24" s="163">
        <f t="shared" si="5"/>
        <v>400</v>
      </c>
      <c r="AN24" s="163">
        <f t="shared" si="6"/>
        <v>86.278256704980834</v>
      </c>
      <c r="AO24" s="163">
        <f t="shared" si="7"/>
        <v>0</v>
      </c>
      <c r="AP24" s="163">
        <f t="shared" si="8"/>
        <v>43.139128352490417</v>
      </c>
      <c r="AQ24" s="163">
        <f t="shared" si="9"/>
        <v>41.413563218390799</v>
      </c>
      <c r="AR24" s="163">
        <f t="shared" si="10"/>
        <v>125</v>
      </c>
      <c r="AS24" s="163">
        <f t="shared" si="11"/>
        <v>41.666666666666664</v>
      </c>
      <c r="AT24" s="163">
        <f t="shared" si="11"/>
        <v>54.166666666666664</v>
      </c>
      <c r="AU24" s="163">
        <f t="shared" si="11"/>
        <v>208.33333333333334</v>
      </c>
      <c r="AV24" s="163">
        <f t="shared" si="12"/>
        <v>0</v>
      </c>
      <c r="AW24" s="163">
        <f t="shared" si="13"/>
        <v>8.3333333333333339</v>
      </c>
      <c r="AX24" s="163">
        <f t="shared" si="13"/>
        <v>55.555555555555557</v>
      </c>
      <c r="AY24" s="164">
        <f t="shared" si="14"/>
        <v>3434.5646647509575</v>
      </c>
    </row>
    <row r="25" spans="3:51" ht="15.75" x14ac:dyDescent="0.25">
      <c r="C25" s="1" t="s">
        <v>950</v>
      </c>
      <c r="D25" s="1"/>
      <c r="E25" s="1" t="s">
        <v>951</v>
      </c>
      <c r="F25" s="1" t="s">
        <v>980</v>
      </c>
      <c r="G25" s="1" t="s">
        <v>984</v>
      </c>
      <c r="H25" s="1">
        <v>3</v>
      </c>
      <c r="I25" s="159">
        <v>3300</v>
      </c>
      <c r="J25" s="159">
        <v>1100</v>
      </c>
      <c r="K25" s="159">
        <v>1500</v>
      </c>
      <c r="L25" s="159">
        <v>900</v>
      </c>
      <c r="M25" s="159">
        <v>300</v>
      </c>
      <c r="N25" s="159">
        <v>0</v>
      </c>
      <c r="O25" s="159">
        <v>2</v>
      </c>
      <c r="P25" s="159">
        <v>2</v>
      </c>
      <c r="Q25" s="159">
        <v>200</v>
      </c>
      <c r="R25" s="159">
        <v>150</v>
      </c>
      <c r="S25" s="162"/>
      <c r="T25" s="161">
        <v>1</v>
      </c>
      <c r="U25" s="161">
        <v>0</v>
      </c>
      <c r="V25" s="161">
        <v>0.5</v>
      </c>
      <c r="W25" s="162"/>
      <c r="X25" s="161">
        <v>0.02</v>
      </c>
      <c r="Y25" s="162"/>
      <c r="Z25" s="163">
        <f t="shared" si="0"/>
        <v>3000</v>
      </c>
      <c r="AA25" s="163">
        <f t="shared" si="1"/>
        <v>500</v>
      </c>
      <c r="AB25" s="163">
        <v>650</v>
      </c>
      <c r="AC25" s="163">
        <v>2500</v>
      </c>
      <c r="AD25" s="162"/>
      <c r="AE25" s="161">
        <v>0</v>
      </c>
      <c r="AF25" s="162"/>
      <c r="AG25" s="161">
        <v>300</v>
      </c>
      <c r="AH25" s="161">
        <v>2000</v>
      </c>
      <c r="AI25" s="162"/>
      <c r="AJ25" s="163">
        <f t="shared" si="2"/>
        <v>1100</v>
      </c>
      <c r="AK25" s="163">
        <f t="shared" si="3"/>
        <v>300</v>
      </c>
      <c r="AL25" s="163">
        <f t="shared" si="4"/>
        <v>183.33333333333334</v>
      </c>
      <c r="AM25" s="163">
        <f t="shared" si="5"/>
        <v>200</v>
      </c>
      <c r="AN25" s="163">
        <f t="shared" si="6"/>
        <v>45.833333333333336</v>
      </c>
      <c r="AO25" s="163">
        <f t="shared" si="7"/>
        <v>0</v>
      </c>
      <c r="AP25" s="163">
        <f t="shared" si="8"/>
        <v>22.916666666666668</v>
      </c>
      <c r="AQ25" s="163">
        <f t="shared" si="9"/>
        <v>25.666666666666664</v>
      </c>
      <c r="AR25" s="163">
        <f t="shared" si="10"/>
        <v>125</v>
      </c>
      <c r="AS25" s="163">
        <f t="shared" si="11"/>
        <v>41.666666666666664</v>
      </c>
      <c r="AT25" s="163">
        <f t="shared" si="11"/>
        <v>54.166666666666664</v>
      </c>
      <c r="AU25" s="163">
        <f t="shared" si="11"/>
        <v>208.33333333333334</v>
      </c>
      <c r="AV25" s="163">
        <f t="shared" si="12"/>
        <v>0</v>
      </c>
      <c r="AW25" s="163">
        <f t="shared" si="13"/>
        <v>8.3333333333333339</v>
      </c>
      <c r="AX25" s="163">
        <f t="shared" si="13"/>
        <v>55.555555555555557</v>
      </c>
      <c r="AY25" s="164">
        <f t="shared" si="14"/>
        <v>2370.8055555555561</v>
      </c>
    </row>
    <row r="26" spans="3:51" ht="15.75" x14ac:dyDescent="0.25">
      <c r="C26" s="1" t="s">
        <v>950</v>
      </c>
      <c r="D26" s="1"/>
      <c r="E26" s="1" t="s">
        <v>951</v>
      </c>
      <c r="F26" s="1" t="s">
        <v>980</v>
      </c>
      <c r="G26" s="1" t="s">
        <v>985</v>
      </c>
      <c r="H26" s="1">
        <v>354</v>
      </c>
      <c r="I26" s="159">
        <v>339234</v>
      </c>
      <c r="J26" s="159">
        <v>958.28813559322032</v>
      </c>
      <c r="K26" s="159">
        <v>1300</v>
      </c>
      <c r="L26" s="159">
        <v>800</v>
      </c>
      <c r="M26" s="159">
        <v>0</v>
      </c>
      <c r="N26" s="159">
        <v>0</v>
      </c>
      <c r="O26" s="159">
        <v>0</v>
      </c>
      <c r="P26" s="159">
        <v>0</v>
      </c>
      <c r="Q26" s="159">
        <v>250</v>
      </c>
      <c r="R26" s="159">
        <v>0</v>
      </c>
      <c r="S26" s="162"/>
      <c r="T26" s="161">
        <v>1</v>
      </c>
      <c r="U26" s="161">
        <v>0</v>
      </c>
      <c r="V26" s="161">
        <v>0.5</v>
      </c>
      <c r="W26" s="162"/>
      <c r="X26" s="161">
        <v>0.02</v>
      </c>
      <c r="Y26" s="162"/>
      <c r="Z26" s="163">
        <f t="shared" si="0"/>
        <v>3000</v>
      </c>
      <c r="AA26" s="163">
        <f t="shared" si="1"/>
        <v>500</v>
      </c>
      <c r="AB26" s="163">
        <v>650</v>
      </c>
      <c r="AC26" s="163">
        <v>2500</v>
      </c>
      <c r="AD26" s="162"/>
      <c r="AE26" s="161">
        <v>0</v>
      </c>
      <c r="AF26" s="162"/>
      <c r="AG26" s="161">
        <v>300</v>
      </c>
      <c r="AH26" s="161">
        <v>2000</v>
      </c>
      <c r="AI26" s="162"/>
      <c r="AJ26" s="163">
        <f t="shared" si="2"/>
        <v>958.28813559322032</v>
      </c>
      <c r="AK26" s="163">
        <f t="shared" si="3"/>
        <v>0</v>
      </c>
      <c r="AL26" s="163">
        <f t="shared" si="4"/>
        <v>0</v>
      </c>
      <c r="AM26" s="163">
        <f t="shared" si="5"/>
        <v>250</v>
      </c>
      <c r="AN26" s="163">
        <f t="shared" si="6"/>
        <v>39.92867231638418</v>
      </c>
      <c r="AO26" s="163">
        <f t="shared" si="7"/>
        <v>0</v>
      </c>
      <c r="AP26" s="163">
        <f t="shared" si="8"/>
        <v>19.96433615819209</v>
      </c>
      <c r="AQ26" s="163">
        <f t="shared" si="9"/>
        <v>19.165762711864406</v>
      </c>
      <c r="AR26" s="163">
        <f t="shared" si="10"/>
        <v>125</v>
      </c>
      <c r="AS26" s="163">
        <f t="shared" si="11"/>
        <v>41.666666666666664</v>
      </c>
      <c r="AT26" s="163">
        <f t="shared" si="11"/>
        <v>54.166666666666664</v>
      </c>
      <c r="AU26" s="163">
        <f t="shared" si="11"/>
        <v>208.33333333333334</v>
      </c>
      <c r="AV26" s="163">
        <f t="shared" si="12"/>
        <v>0</v>
      </c>
      <c r="AW26" s="163">
        <f t="shared" si="13"/>
        <v>8.3333333333333339</v>
      </c>
      <c r="AX26" s="163">
        <f t="shared" si="13"/>
        <v>55.555555555555557</v>
      </c>
      <c r="AY26" s="164">
        <f t="shared" si="14"/>
        <v>1780.4024623352166</v>
      </c>
    </row>
    <row r="27" spans="3:51" ht="15.75" x14ac:dyDescent="0.25">
      <c r="C27" s="1" t="s">
        <v>950</v>
      </c>
      <c r="D27" s="1"/>
      <c r="E27" s="1" t="s">
        <v>986</v>
      </c>
      <c r="F27" s="1" t="s">
        <v>986</v>
      </c>
      <c r="G27" s="1" t="s">
        <v>987</v>
      </c>
      <c r="H27" s="1">
        <v>17</v>
      </c>
      <c r="I27" s="159">
        <v>20100</v>
      </c>
      <c r="J27" s="159">
        <v>1182.3529411764705</v>
      </c>
      <c r="K27" s="159">
        <v>1400</v>
      </c>
      <c r="L27" s="159">
        <v>1000</v>
      </c>
      <c r="M27" s="159">
        <v>0</v>
      </c>
      <c r="N27" s="159">
        <v>0</v>
      </c>
      <c r="O27" s="159">
        <v>0</v>
      </c>
      <c r="P27" s="159">
        <v>0</v>
      </c>
      <c r="Q27" s="159">
        <v>150</v>
      </c>
      <c r="R27" s="159">
        <v>150</v>
      </c>
      <c r="S27" s="162"/>
      <c r="T27" s="161">
        <v>1</v>
      </c>
      <c r="U27" s="161">
        <v>0</v>
      </c>
      <c r="V27" s="161">
        <v>0.5</v>
      </c>
      <c r="W27" s="162"/>
      <c r="X27" s="161">
        <v>0.02</v>
      </c>
      <c r="Y27" s="162"/>
      <c r="Z27" s="163">
        <f t="shared" si="0"/>
        <v>3000</v>
      </c>
      <c r="AA27" s="163">
        <f t="shared" si="1"/>
        <v>500</v>
      </c>
      <c r="AB27" s="163">
        <v>650</v>
      </c>
      <c r="AC27" s="163">
        <v>2500</v>
      </c>
      <c r="AD27" s="162"/>
      <c r="AE27" s="161">
        <v>0</v>
      </c>
      <c r="AF27" s="162"/>
      <c r="AG27" s="161">
        <v>300</v>
      </c>
      <c r="AH27" s="161">
        <v>2000</v>
      </c>
      <c r="AI27" s="162"/>
      <c r="AJ27" s="163">
        <f t="shared" si="2"/>
        <v>1182.3529411764705</v>
      </c>
      <c r="AK27" s="163">
        <f t="shared" si="3"/>
        <v>0</v>
      </c>
      <c r="AL27" s="163">
        <f t="shared" si="4"/>
        <v>0</v>
      </c>
      <c r="AM27" s="163">
        <f t="shared" si="5"/>
        <v>150</v>
      </c>
      <c r="AN27" s="163">
        <f t="shared" si="6"/>
        <v>49.264705882352935</v>
      </c>
      <c r="AO27" s="163">
        <f t="shared" si="7"/>
        <v>0</v>
      </c>
      <c r="AP27" s="163">
        <f t="shared" si="8"/>
        <v>24.632352941176467</v>
      </c>
      <c r="AQ27" s="163">
        <f t="shared" si="9"/>
        <v>23.647058823529409</v>
      </c>
      <c r="AR27" s="163">
        <f t="shared" si="10"/>
        <v>125</v>
      </c>
      <c r="AS27" s="163">
        <f t="shared" si="11"/>
        <v>41.666666666666664</v>
      </c>
      <c r="AT27" s="163">
        <f t="shared" si="11"/>
        <v>54.166666666666664</v>
      </c>
      <c r="AU27" s="163">
        <f t="shared" si="11"/>
        <v>208.33333333333334</v>
      </c>
      <c r="AV27" s="163">
        <f t="shared" si="12"/>
        <v>0</v>
      </c>
      <c r="AW27" s="163">
        <f t="shared" si="13"/>
        <v>8.3333333333333339</v>
      </c>
      <c r="AX27" s="163">
        <f t="shared" si="13"/>
        <v>55.555555555555557</v>
      </c>
      <c r="AY27" s="164">
        <f t="shared" si="14"/>
        <v>1922.9526143790852</v>
      </c>
    </row>
    <row r="28" spans="3:51" ht="15.75" x14ac:dyDescent="0.25">
      <c r="C28" s="1" t="s">
        <v>950</v>
      </c>
      <c r="D28" s="1"/>
      <c r="E28" s="1" t="s">
        <v>986</v>
      </c>
      <c r="F28" s="1" t="s">
        <v>986</v>
      </c>
      <c r="G28" s="1" t="s">
        <v>988</v>
      </c>
      <c r="H28" s="1">
        <v>13</v>
      </c>
      <c r="I28" s="159">
        <v>13600</v>
      </c>
      <c r="J28" s="159">
        <v>1046.1538461538462</v>
      </c>
      <c r="K28" s="159">
        <v>1200</v>
      </c>
      <c r="L28" s="159">
        <v>900</v>
      </c>
      <c r="M28" s="159">
        <v>0</v>
      </c>
      <c r="N28" s="159">
        <v>0</v>
      </c>
      <c r="O28" s="159">
        <v>0</v>
      </c>
      <c r="P28" s="159">
        <v>0</v>
      </c>
      <c r="Q28" s="159">
        <v>150</v>
      </c>
      <c r="R28" s="159">
        <v>150</v>
      </c>
      <c r="S28" s="162"/>
      <c r="T28" s="161">
        <v>1</v>
      </c>
      <c r="U28" s="161">
        <v>0</v>
      </c>
      <c r="V28" s="161">
        <v>0.5</v>
      </c>
      <c r="W28" s="162"/>
      <c r="X28" s="161">
        <v>0.02</v>
      </c>
      <c r="Y28" s="162"/>
      <c r="Z28" s="163">
        <f t="shared" si="0"/>
        <v>3000</v>
      </c>
      <c r="AA28" s="163">
        <f t="shared" si="1"/>
        <v>500</v>
      </c>
      <c r="AB28" s="163">
        <v>650</v>
      </c>
      <c r="AC28" s="163">
        <v>2500</v>
      </c>
      <c r="AD28" s="162"/>
      <c r="AE28" s="161">
        <v>0</v>
      </c>
      <c r="AF28" s="162"/>
      <c r="AG28" s="161">
        <v>300</v>
      </c>
      <c r="AH28" s="161">
        <v>2000</v>
      </c>
      <c r="AI28" s="162"/>
      <c r="AJ28" s="163">
        <f t="shared" si="2"/>
        <v>1046.1538461538462</v>
      </c>
      <c r="AK28" s="163">
        <f t="shared" si="3"/>
        <v>0</v>
      </c>
      <c r="AL28" s="163">
        <f t="shared" si="4"/>
        <v>0</v>
      </c>
      <c r="AM28" s="163">
        <f t="shared" si="5"/>
        <v>150</v>
      </c>
      <c r="AN28" s="163">
        <f t="shared" si="6"/>
        <v>43.589743589743591</v>
      </c>
      <c r="AO28" s="163">
        <f t="shared" si="7"/>
        <v>0</v>
      </c>
      <c r="AP28" s="163">
        <f t="shared" si="8"/>
        <v>21.794871794871796</v>
      </c>
      <c r="AQ28" s="163">
        <f t="shared" si="9"/>
        <v>20.923076923076923</v>
      </c>
      <c r="AR28" s="163">
        <f t="shared" si="10"/>
        <v>125</v>
      </c>
      <c r="AS28" s="163">
        <f t="shared" si="11"/>
        <v>41.666666666666664</v>
      </c>
      <c r="AT28" s="163">
        <f t="shared" si="11"/>
        <v>54.166666666666664</v>
      </c>
      <c r="AU28" s="163">
        <f t="shared" si="11"/>
        <v>208.33333333333334</v>
      </c>
      <c r="AV28" s="163">
        <f t="shared" si="12"/>
        <v>0</v>
      </c>
      <c r="AW28" s="163">
        <f t="shared" si="13"/>
        <v>8.3333333333333339</v>
      </c>
      <c r="AX28" s="163">
        <f t="shared" si="13"/>
        <v>55.555555555555557</v>
      </c>
      <c r="AY28" s="164">
        <f t="shared" si="14"/>
        <v>1775.5170940170942</v>
      </c>
    </row>
    <row r="29" spans="3:51" ht="15.75" x14ac:dyDescent="0.25">
      <c r="C29" s="1" t="s">
        <v>950</v>
      </c>
      <c r="D29" s="1"/>
      <c r="E29" s="1" t="s">
        <v>986</v>
      </c>
      <c r="F29" s="1" t="s">
        <v>986</v>
      </c>
      <c r="G29" s="1" t="s">
        <v>989</v>
      </c>
      <c r="H29" s="1">
        <v>5</v>
      </c>
      <c r="I29" s="159">
        <v>5500</v>
      </c>
      <c r="J29" s="159">
        <v>1100</v>
      </c>
      <c r="K29" s="159">
        <v>1100</v>
      </c>
      <c r="L29" s="159">
        <v>1100</v>
      </c>
      <c r="M29" s="159">
        <v>0</v>
      </c>
      <c r="N29" s="159">
        <v>0</v>
      </c>
      <c r="O29" s="159">
        <v>0</v>
      </c>
      <c r="P29" s="159">
        <v>0</v>
      </c>
      <c r="Q29" s="159">
        <v>150</v>
      </c>
      <c r="R29" s="159">
        <v>150</v>
      </c>
      <c r="S29" s="162"/>
      <c r="T29" s="161">
        <v>1</v>
      </c>
      <c r="U29" s="161">
        <v>0</v>
      </c>
      <c r="V29" s="161">
        <v>0.5</v>
      </c>
      <c r="W29" s="162"/>
      <c r="X29" s="161">
        <v>0.02</v>
      </c>
      <c r="Y29" s="162"/>
      <c r="Z29" s="163">
        <f t="shared" si="0"/>
        <v>3000</v>
      </c>
      <c r="AA29" s="163">
        <f t="shared" si="1"/>
        <v>500</v>
      </c>
      <c r="AB29" s="163">
        <v>650</v>
      </c>
      <c r="AC29" s="163">
        <v>2500</v>
      </c>
      <c r="AD29" s="162"/>
      <c r="AE29" s="161">
        <v>0</v>
      </c>
      <c r="AF29" s="162"/>
      <c r="AG29" s="161">
        <v>300</v>
      </c>
      <c r="AH29" s="161">
        <v>2000</v>
      </c>
      <c r="AI29" s="162"/>
      <c r="AJ29" s="163">
        <f t="shared" si="2"/>
        <v>1100</v>
      </c>
      <c r="AK29" s="163">
        <f t="shared" si="3"/>
        <v>0</v>
      </c>
      <c r="AL29" s="163">
        <f t="shared" si="4"/>
        <v>0</v>
      </c>
      <c r="AM29" s="163">
        <f t="shared" si="5"/>
        <v>150</v>
      </c>
      <c r="AN29" s="163">
        <f t="shared" si="6"/>
        <v>45.833333333333336</v>
      </c>
      <c r="AO29" s="163">
        <f t="shared" si="7"/>
        <v>0</v>
      </c>
      <c r="AP29" s="163">
        <f t="shared" si="8"/>
        <v>22.916666666666668</v>
      </c>
      <c r="AQ29" s="163">
        <f t="shared" si="9"/>
        <v>22</v>
      </c>
      <c r="AR29" s="163">
        <f t="shared" si="10"/>
        <v>125</v>
      </c>
      <c r="AS29" s="163">
        <f t="shared" si="11"/>
        <v>41.666666666666664</v>
      </c>
      <c r="AT29" s="163">
        <f t="shared" si="11"/>
        <v>54.166666666666664</v>
      </c>
      <c r="AU29" s="163">
        <f t="shared" si="11"/>
        <v>208.33333333333334</v>
      </c>
      <c r="AV29" s="163">
        <f t="shared" si="12"/>
        <v>0</v>
      </c>
      <c r="AW29" s="163">
        <f t="shared" si="13"/>
        <v>8.3333333333333339</v>
      </c>
      <c r="AX29" s="163">
        <f t="shared" si="13"/>
        <v>55.555555555555557</v>
      </c>
      <c r="AY29" s="164">
        <f t="shared" si="14"/>
        <v>1833.8055555555557</v>
      </c>
    </row>
    <row r="30" spans="3:51" ht="15.75" x14ac:dyDescent="0.25">
      <c r="C30" s="1" t="s">
        <v>950</v>
      </c>
      <c r="D30" s="1"/>
      <c r="E30" s="1" t="s">
        <v>990</v>
      </c>
      <c r="F30" s="1" t="s">
        <v>990</v>
      </c>
      <c r="G30" s="1" t="s">
        <v>549</v>
      </c>
      <c r="H30" s="1">
        <v>248</v>
      </c>
      <c r="I30" s="159">
        <v>286891</v>
      </c>
      <c r="J30" s="159">
        <v>1156.8185483870968</v>
      </c>
      <c r="K30" s="159">
        <v>4500</v>
      </c>
      <c r="L30" s="159">
        <v>400</v>
      </c>
      <c r="M30" s="159">
        <v>300</v>
      </c>
      <c r="N30" s="159">
        <v>0</v>
      </c>
      <c r="O30" s="159"/>
      <c r="P30" s="159"/>
      <c r="Q30" s="159">
        <v>250</v>
      </c>
      <c r="R30" s="159">
        <v>0</v>
      </c>
      <c r="S30" s="162"/>
      <c r="T30" s="161">
        <v>1</v>
      </c>
      <c r="U30" s="161">
        <v>0</v>
      </c>
      <c r="V30" s="161">
        <v>0.5</v>
      </c>
      <c r="W30" s="162"/>
      <c r="X30" s="161">
        <v>0.02</v>
      </c>
      <c r="Y30" s="162"/>
      <c r="Z30" s="163">
        <f t="shared" si="0"/>
        <v>3000</v>
      </c>
      <c r="AA30" s="163">
        <f t="shared" si="1"/>
        <v>500</v>
      </c>
      <c r="AB30" s="163">
        <v>650</v>
      </c>
      <c r="AC30" s="163">
        <v>2500</v>
      </c>
      <c r="AD30" s="162"/>
      <c r="AE30" s="161">
        <v>0</v>
      </c>
      <c r="AF30" s="162"/>
      <c r="AG30" s="161">
        <v>300</v>
      </c>
      <c r="AH30" s="161">
        <v>2000</v>
      </c>
      <c r="AI30" s="162"/>
      <c r="AJ30" s="163">
        <f t="shared" si="2"/>
        <v>1156.8185483870968</v>
      </c>
      <c r="AK30" s="163">
        <f t="shared" si="3"/>
        <v>300</v>
      </c>
      <c r="AL30" s="163">
        <f t="shared" si="4"/>
        <v>0</v>
      </c>
      <c r="AM30" s="163">
        <f t="shared" si="5"/>
        <v>250</v>
      </c>
      <c r="AN30" s="163">
        <f t="shared" si="6"/>
        <v>48.200772849462368</v>
      </c>
      <c r="AO30" s="163">
        <f t="shared" si="7"/>
        <v>0</v>
      </c>
      <c r="AP30" s="163">
        <f t="shared" si="8"/>
        <v>24.100386424731184</v>
      </c>
      <c r="AQ30" s="163">
        <f t="shared" si="9"/>
        <v>23.136370967741936</v>
      </c>
      <c r="AR30" s="163">
        <f t="shared" si="10"/>
        <v>125</v>
      </c>
      <c r="AS30" s="163">
        <f t="shared" si="11"/>
        <v>41.666666666666664</v>
      </c>
      <c r="AT30" s="163">
        <f t="shared" si="11"/>
        <v>54.166666666666664</v>
      </c>
      <c r="AU30" s="163">
        <f t="shared" si="11"/>
        <v>208.33333333333334</v>
      </c>
      <c r="AV30" s="163">
        <f t="shared" si="12"/>
        <v>0</v>
      </c>
      <c r="AW30" s="163">
        <f t="shared" si="13"/>
        <v>8.3333333333333339</v>
      </c>
      <c r="AX30" s="163">
        <f t="shared" si="13"/>
        <v>55.555555555555557</v>
      </c>
      <c r="AY30" s="164">
        <f t="shared" si="14"/>
        <v>2295.311634184588</v>
      </c>
    </row>
    <row r="31" spans="3:51" ht="15.75" x14ac:dyDescent="0.25">
      <c r="C31" s="1" t="s">
        <v>950</v>
      </c>
      <c r="D31" s="1"/>
      <c r="E31" s="1" t="s">
        <v>991</v>
      </c>
      <c r="F31" s="1" t="s">
        <v>992</v>
      </c>
      <c r="G31" s="1" t="s">
        <v>993</v>
      </c>
      <c r="H31" s="1">
        <v>221</v>
      </c>
      <c r="I31" s="159">
        <v>586714</v>
      </c>
      <c r="J31" s="159">
        <v>2654.8144796380088</v>
      </c>
      <c r="K31" s="159">
        <v>14000</v>
      </c>
      <c r="L31" s="159">
        <v>200</v>
      </c>
      <c r="M31" s="159">
        <v>500</v>
      </c>
      <c r="N31" s="159">
        <v>0</v>
      </c>
      <c r="O31" s="159">
        <v>2</v>
      </c>
      <c r="P31" s="159">
        <v>3</v>
      </c>
      <c r="Q31" s="159">
        <v>250</v>
      </c>
      <c r="R31" s="159">
        <v>0</v>
      </c>
      <c r="S31" s="162"/>
      <c r="T31" s="161">
        <v>1</v>
      </c>
      <c r="U31" s="161">
        <v>0</v>
      </c>
      <c r="V31" s="161">
        <v>0.5</v>
      </c>
      <c r="W31" s="162"/>
      <c r="X31" s="161">
        <v>0.02</v>
      </c>
      <c r="Y31" s="162"/>
      <c r="Z31" s="163">
        <f t="shared" si="0"/>
        <v>3000</v>
      </c>
      <c r="AA31" s="163">
        <f t="shared" si="1"/>
        <v>500</v>
      </c>
      <c r="AB31" s="163">
        <v>650</v>
      </c>
      <c r="AC31" s="163">
        <v>2500</v>
      </c>
      <c r="AD31" s="162"/>
      <c r="AE31" s="161">
        <v>0</v>
      </c>
      <c r="AF31" s="162"/>
      <c r="AG31" s="161">
        <v>300</v>
      </c>
      <c r="AH31" s="161">
        <v>2000</v>
      </c>
      <c r="AI31" s="162"/>
      <c r="AJ31" s="163">
        <f t="shared" si="2"/>
        <v>2654.8144796380088</v>
      </c>
      <c r="AK31" s="163">
        <f t="shared" si="3"/>
        <v>500</v>
      </c>
      <c r="AL31" s="163">
        <f t="shared" si="4"/>
        <v>663.70361990950221</v>
      </c>
      <c r="AM31" s="163">
        <f t="shared" si="5"/>
        <v>250</v>
      </c>
      <c r="AN31" s="163">
        <f t="shared" si="6"/>
        <v>110.61726998491703</v>
      </c>
      <c r="AO31" s="163">
        <f t="shared" si="7"/>
        <v>0</v>
      </c>
      <c r="AP31" s="163">
        <f t="shared" si="8"/>
        <v>55.308634992458515</v>
      </c>
      <c r="AQ31" s="163">
        <f t="shared" si="9"/>
        <v>66.370361990950229</v>
      </c>
      <c r="AR31" s="163">
        <f t="shared" si="10"/>
        <v>125</v>
      </c>
      <c r="AS31" s="163">
        <f t="shared" si="11"/>
        <v>41.666666666666664</v>
      </c>
      <c r="AT31" s="163">
        <f t="shared" si="11"/>
        <v>54.166666666666664</v>
      </c>
      <c r="AU31" s="163">
        <f t="shared" si="11"/>
        <v>208.33333333333334</v>
      </c>
      <c r="AV31" s="163">
        <f t="shared" si="12"/>
        <v>0</v>
      </c>
      <c r="AW31" s="163">
        <f t="shared" si="13"/>
        <v>8.3333333333333339</v>
      </c>
      <c r="AX31" s="163">
        <f t="shared" si="13"/>
        <v>55.555555555555557</v>
      </c>
      <c r="AY31" s="164">
        <f t="shared" si="14"/>
        <v>4793.8699220713925</v>
      </c>
    </row>
    <row r="32" spans="3:51" ht="15.75" x14ac:dyDescent="0.25">
      <c r="C32" s="1" t="s">
        <v>950</v>
      </c>
      <c r="D32" s="1"/>
      <c r="E32" s="1" t="s">
        <v>994</v>
      </c>
      <c r="F32" s="1" t="s">
        <v>994</v>
      </c>
      <c r="G32" s="1" t="s">
        <v>995</v>
      </c>
      <c r="H32" s="1">
        <v>3</v>
      </c>
      <c r="I32" s="159">
        <v>9850</v>
      </c>
      <c r="J32" s="159">
        <v>3283.3333333333335</v>
      </c>
      <c r="K32" s="159">
        <v>4200</v>
      </c>
      <c r="L32" s="159">
        <v>1650</v>
      </c>
      <c r="M32" s="159">
        <v>0</v>
      </c>
      <c r="N32" s="159">
        <v>0</v>
      </c>
      <c r="O32" s="159">
        <v>0</v>
      </c>
      <c r="P32" s="159">
        <v>0</v>
      </c>
      <c r="Q32" s="159">
        <v>150</v>
      </c>
      <c r="R32" s="159">
        <v>0</v>
      </c>
      <c r="S32" s="162"/>
      <c r="T32" s="161">
        <v>1</v>
      </c>
      <c r="U32" s="161">
        <v>0</v>
      </c>
      <c r="V32" s="161">
        <v>0.5</v>
      </c>
      <c r="W32" s="162"/>
      <c r="X32" s="161">
        <v>0.02</v>
      </c>
      <c r="Y32" s="162"/>
      <c r="Z32" s="163">
        <f t="shared" si="0"/>
        <v>3000</v>
      </c>
      <c r="AA32" s="163">
        <f t="shared" si="1"/>
        <v>500</v>
      </c>
      <c r="AB32" s="163">
        <v>650</v>
      </c>
      <c r="AC32" s="163">
        <v>2500</v>
      </c>
      <c r="AD32" s="162"/>
      <c r="AE32" s="161">
        <v>0</v>
      </c>
      <c r="AF32" s="162"/>
      <c r="AG32" s="161">
        <v>300</v>
      </c>
      <c r="AH32" s="161">
        <v>2000</v>
      </c>
      <c r="AI32" s="162"/>
      <c r="AJ32" s="163">
        <f t="shared" si="2"/>
        <v>3283.3333333333335</v>
      </c>
      <c r="AK32" s="163">
        <f t="shared" si="3"/>
        <v>0</v>
      </c>
      <c r="AL32" s="163">
        <f t="shared" si="4"/>
        <v>0</v>
      </c>
      <c r="AM32" s="163">
        <f t="shared" si="5"/>
        <v>150</v>
      </c>
      <c r="AN32" s="163">
        <f t="shared" si="6"/>
        <v>136.80555555555557</v>
      </c>
      <c r="AO32" s="163">
        <f t="shared" si="7"/>
        <v>0</v>
      </c>
      <c r="AP32" s="163">
        <f t="shared" si="8"/>
        <v>68.402777777777786</v>
      </c>
      <c r="AQ32" s="163">
        <f t="shared" si="9"/>
        <v>65.666666666666671</v>
      </c>
      <c r="AR32" s="163">
        <f t="shared" si="10"/>
        <v>125</v>
      </c>
      <c r="AS32" s="163">
        <f t="shared" si="11"/>
        <v>41.666666666666664</v>
      </c>
      <c r="AT32" s="163">
        <f t="shared" si="11"/>
        <v>54.166666666666664</v>
      </c>
      <c r="AU32" s="163">
        <f t="shared" si="11"/>
        <v>208.33333333333334</v>
      </c>
      <c r="AV32" s="163">
        <f t="shared" si="12"/>
        <v>0</v>
      </c>
      <c r="AW32" s="163">
        <f t="shared" si="13"/>
        <v>8.3333333333333339</v>
      </c>
      <c r="AX32" s="163">
        <f t="shared" si="13"/>
        <v>55.555555555555557</v>
      </c>
      <c r="AY32" s="164">
        <f t="shared" si="14"/>
        <v>4197.2638888888887</v>
      </c>
    </row>
    <row r="33" spans="3:51" ht="15.75" x14ac:dyDescent="0.25">
      <c r="C33" s="1" t="s">
        <v>950</v>
      </c>
      <c r="D33" s="1"/>
      <c r="E33" s="1" t="s">
        <v>996</v>
      </c>
      <c r="F33" s="1" t="s">
        <v>991</v>
      </c>
      <c r="G33" s="1" t="s">
        <v>997</v>
      </c>
      <c r="H33" s="1">
        <v>10</v>
      </c>
      <c r="I33" s="159">
        <v>28100</v>
      </c>
      <c r="J33" s="159">
        <v>2810</v>
      </c>
      <c r="K33" s="159">
        <v>3200</v>
      </c>
      <c r="L33" s="159">
        <v>500</v>
      </c>
      <c r="M33" s="159">
        <v>300</v>
      </c>
      <c r="N33" s="159">
        <v>0</v>
      </c>
      <c r="O33" s="159">
        <v>0</v>
      </c>
      <c r="P33" s="159">
        <v>0</v>
      </c>
      <c r="Q33" s="159">
        <v>150</v>
      </c>
      <c r="R33" s="159">
        <v>0</v>
      </c>
      <c r="S33" s="162"/>
      <c r="T33" s="161">
        <v>1</v>
      </c>
      <c r="U33" s="161">
        <v>0</v>
      </c>
      <c r="V33" s="161">
        <v>0.5</v>
      </c>
      <c r="W33" s="162"/>
      <c r="X33" s="161">
        <v>0.02</v>
      </c>
      <c r="Y33" s="162"/>
      <c r="Z33" s="163">
        <f t="shared" si="0"/>
        <v>3000</v>
      </c>
      <c r="AA33" s="163">
        <f t="shared" si="1"/>
        <v>500</v>
      </c>
      <c r="AB33" s="163">
        <v>650</v>
      </c>
      <c r="AC33" s="163">
        <v>2500</v>
      </c>
      <c r="AD33" s="162"/>
      <c r="AE33" s="161">
        <v>0</v>
      </c>
      <c r="AF33" s="162"/>
      <c r="AG33" s="161">
        <v>300</v>
      </c>
      <c r="AH33" s="161">
        <v>2000</v>
      </c>
      <c r="AI33" s="162"/>
      <c r="AJ33" s="163">
        <f t="shared" si="2"/>
        <v>2810</v>
      </c>
      <c r="AK33" s="163">
        <f t="shared" si="3"/>
        <v>300</v>
      </c>
      <c r="AL33" s="163">
        <f t="shared" si="4"/>
        <v>0</v>
      </c>
      <c r="AM33" s="163">
        <f t="shared" si="5"/>
        <v>150</v>
      </c>
      <c r="AN33" s="163">
        <f t="shared" si="6"/>
        <v>117.08333333333333</v>
      </c>
      <c r="AO33" s="163">
        <f t="shared" si="7"/>
        <v>0</v>
      </c>
      <c r="AP33" s="163">
        <f t="shared" si="8"/>
        <v>58.541666666666664</v>
      </c>
      <c r="AQ33" s="163">
        <f t="shared" si="9"/>
        <v>56.2</v>
      </c>
      <c r="AR33" s="163">
        <f t="shared" si="10"/>
        <v>125</v>
      </c>
      <c r="AS33" s="163">
        <f t="shared" si="11"/>
        <v>41.666666666666664</v>
      </c>
      <c r="AT33" s="163">
        <f t="shared" si="11"/>
        <v>54.166666666666664</v>
      </c>
      <c r="AU33" s="163">
        <f t="shared" si="11"/>
        <v>208.33333333333334</v>
      </c>
      <c r="AV33" s="163">
        <f t="shared" si="12"/>
        <v>0</v>
      </c>
      <c r="AW33" s="163">
        <f t="shared" si="13"/>
        <v>8.3333333333333339</v>
      </c>
      <c r="AX33" s="163">
        <f t="shared" si="13"/>
        <v>55.555555555555557</v>
      </c>
      <c r="AY33" s="164">
        <f t="shared" si="14"/>
        <v>3984.8805555555555</v>
      </c>
    </row>
    <row r="34" spans="3:51" ht="15.75" x14ac:dyDescent="0.25">
      <c r="C34" s="1" t="s">
        <v>950</v>
      </c>
      <c r="D34" s="1"/>
      <c r="E34" s="1" t="s">
        <v>951</v>
      </c>
      <c r="F34" s="1" t="s">
        <v>998</v>
      </c>
      <c r="G34" s="1" t="s">
        <v>999</v>
      </c>
      <c r="H34" s="1">
        <v>11</v>
      </c>
      <c r="I34" s="159">
        <v>12650</v>
      </c>
      <c r="J34" s="159">
        <v>1150</v>
      </c>
      <c r="K34" s="159">
        <v>1400</v>
      </c>
      <c r="L34" s="159">
        <v>1000</v>
      </c>
      <c r="M34" s="159">
        <v>0</v>
      </c>
      <c r="N34" s="159">
        <v>0</v>
      </c>
      <c r="O34" s="159">
        <v>0</v>
      </c>
      <c r="P34" s="159">
        <v>0</v>
      </c>
      <c r="Q34" s="159">
        <v>150</v>
      </c>
      <c r="R34" s="159">
        <v>150</v>
      </c>
      <c r="S34" s="162"/>
      <c r="T34" s="161">
        <v>1</v>
      </c>
      <c r="U34" s="161">
        <v>0</v>
      </c>
      <c r="V34" s="161">
        <v>0.5</v>
      </c>
      <c r="W34" s="162"/>
      <c r="X34" s="161">
        <v>0.02</v>
      </c>
      <c r="Y34" s="162"/>
      <c r="Z34" s="163">
        <f t="shared" si="0"/>
        <v>3000</v>
      </c>
      <c r="AA34" s="163">
        <f t="shared" si="1"/>
        <v>500</v>
      </c>
      <c r="AB34" s="163">
        <v>650</v>
      </c>
      <c r="AC34" s="163">
        <v>2500</v>
      </c>
      <c r="AD34" s="162"/>
      <c r="AE34" s="161">
        <v>0</v>
      </c>
      <c r="AF34" s="162"/>
      <c r="AG34" s="161">
        <v>300</v>
      </c>
      <c r="AH34" s="161">
        <v>2000</v>
      </c>
      <c r="AI34" s="162"/>
      <c r="AJ34" s="163">
        <f t="shared" si="2"/>
        <v>1150</v>
      </c>
      <c r="AK34" s="163">
        <f t="shared" si="3"/>
        <v>0</v>
      </c>
      <c r="AL34" s="163">
        <f t="shared" si="4"/>
        <v>0</v>
      </c>
      <c r="AM34" s="163">
        <f t="shared" si="5"/>
        <v>150</v>
      </c>
      <c r="AN34" s="163">
        <f t="shared" si="6"/>
        <v>47.916666666666664</v>
      </c>
      <c r="AO34" s="163">
        <f t="shared" si="7"/>
        <v>0</v>
      </c>
      <c r="AP34" s="163">
        <f t="shared" si="8"/>
        <v>23.958333333333332</v>
      </c>
      <c r="AQ34" s="163">
        <f t="shared" si="9"/>
        <v>23</v>
      </c>
      <c r="AR34" s="163">
        <f t="shared" si="10"/>
        <v>125</v>
      </c>
      <c r="AS34" s="163">
        <f t="shared" si="11"/>
        <v>41.666666666666664</v>
      </c>
      <c r="AT34" s="163">
        <f t="shared" si="11"/>
        <v>54.166666666666664</v>
      </c>
      <c r="AU34" s="163">
        <f t="shared" si="11"/>
        <v>208.33333333333334</v>
      </c>
      <c r="AV34" s="163">
        <f t="shared" si="12"/>
        <v>0</v>
      </c>
      <c r="AW34" s="163">
        <f t="shared" si="13"/>
        <v>8.3333333333333339</v>
      </c>
      <c r="AX34" s="163">
        <f t="shared" si="13"/>
        <v>55.555555555555557</v>
      </c>
      <c r="AY34" s="164">
        <f t="shared" si="14"/>
        <v>1887.9305555555557</v>
      </c>
    </row>
    <row r="35" spans="3:51" ht="15.75" x14ac:dyDescent="0.25">
      <c r="C35" s="1" t="s">
        <v>950</v>
      </c>
      <c r="D35" s="1"/>
      <c r="E35" s="1" t="s">
        <v>968</v>
      </c>
      <c r="F35" s="1" t="s">
        <v>966</v>
      </c>
      <c r="G35" s="1" t="s">
        <v>1000</v>
      </c>
      <c r="H35" s="1">
        <v>15</v>
      </c>
      <c r="I35" s="159">
        <v>43593</v>
      </c>
      <c r="J35" s="159">
        <v>2906.2</v>
      </c>
      <c r="K35" s="159">
        <v>3600</v>
      </c>
      <c r="L35" s="159">
        <v>1418</v>
      </c>
      <c r="M35" s="159">
        <v>0</v>
      </c>
      <c r="N35" s="159">
        <v>0</v>
      </c>
      <c r="O35" s="159">
        <v>0</v>
      </c>
      <c r="P35" s="159">
        <v>0</v>
      </c>
      <c r="Q35" s="159">
        <v>250</v>
      </c>
      <c r="R35" s="159">
        <v>0</v>
      </c>
      <c r="S35" s="162"/>
      <c r="T35" s="161">
        <v>1</v>
      </c>
      <c r="U35" s="161">
        <v>0</v>
      </c>
      <c r="V35" s="161">
        <v>0.5</v>
      </c>
      <c r="W35" s="162"/>
      <c r="X35" s="161">
        <v>0.02</v>
      </c>
      <c r="Y35" s="162"/>
      <c r="Z35" s="163">
        <f t="shared" si="0"/>
        <v>3000</v>
      </c>
      <c r="AA35" s="163">
        <f t="shared" si="1"/>
        <v>500</v>
      </c>
      <c r="AB35" s="163">
        <v>650</v>
      </c>
      <c r="AC35" s="163">
        <v>2500</v>
      </c>
      <c r="AD35" s="162"/>
      <c r="AE35" s="161">
        <v>0</v>
      </c>
      <c r="AF35" s="162"/>
      <c r="AG35" s="161">
        <v>300</v>
      </c>
      <c r="AH35" s="161">
        <v>2000</v>
      </c>
      <c r="AI35" s="162"/>
      <c r="AJ35" s="163">
        <f t="shared" si="2"/>
        <v>2906.2</v>
      </c>
      <c r="AK35" s="163">
        <f t="shared" si="3"/>
        <v>0</v>
      </c>
      <c r="AL35" s="163">
        <f t="shared" si="4"/>
        <v>0</v>
      </c>
      <c r="AM35" s="163">
        <f t="shared" si="5"/>
        <v>250</v>
      </c>
      <c r="AN35" s="163">
        <f t="shared" si="6"/>
        <v>121.09166666666665</v>
      </c>
      <c r="AO35" s="163">
        <f t="shared" si="7"/>
        <v>0</v>
      </c>
      <c r="AP35" s="163">
        <f t="shared" si="8"/>
        <v>60.545833333333327</v>
      </c>
      <c r="AQ35" s="163">
        <f t="shared" si="9"/>
        <v>58.123999999999995</v>
      </c>
      <c r="AR35" s="163">
        <f t="shared" si="10"/>
        <v>125</v>
      </c>
      <c r="AS35" s="163">
        <f t="shared" si="11"/>
        <v>41.666666666666664</v>
      </c>
      <c r="AT35" s="163">
        <f t="shared" si="11"/>
        <v>54.166666666666664</v>
      </c>
      <c r="AU35" s="163">
        <f t="shared" si="11"/>
        <v>208.33333333333334</v>
      </c>
      <c r="AV35" s="163">
        <f t="shared" si="12"/>
        <v>0</v>
      </c>
      <c r="AW35" s="163">
        <f t="shared" si="13"/>
        <v>8.3333333333333339</v>
      </c>
      <c r="AX35" s="163">
        <f t="shared" si="13"/>
        <v>55.555555555555557</v>
      </c>
      <c r="AY35" s="164">
        <f t="shared" si="14"/>
        <v>3889.0170555555551</v>
      </c>
    </row>
    <row r="36" spans="3:51" ht="15.75" x14ac:dyDescent="0.25">
      <c r="C36" s="1" t="s">
        <v>950</v>
      </c>
      <c r="D36" s="1"/>
      <c r="E36" s="1" t="s">
        <v>968</v>
      </c>
      <c r="F36" s="1" t="s">
        <v>1001</v>
      </c>
      <c r="G36" s="1" t="s">
        <v>1002</v>
      </c>
      <c r="H36" s="1">
        <v>153</v>
      </c>
      <c r="I36" s="159">
        <v>488789</v>
      </c>
      <c r="J36" s="159">
        <v>3194.6993464052289</v>
      </c>
      <c r="K36" s="159">
        <v>5000</v>
      </c>
      <c r="L36" s="159">
        <v>1400</v>
      </c>
      <c r="M36" s="159">
        <v>400</v>
      </c>
      <c r="N36" s="159">
        <v>0</v>
      </c>
      <c r="O36" s="159">
        <v>2</v>
      </c>
      <c r="P36" s="159">
        <v>3</v>
      </c>
      <c r="Q36" s="159">
        <v>150</v>
      </c>
      <c r="R36" s="159">
        <v>0</v>
      </c>
      <c r="S36" s="162"/>
      <c r="T36" s="161">
        <v>1</v>
      </c>
      <c r="U36" s="161">
        <v>0</v>
      </c>
      <c r="V36" s="161">
        <v>0.5</v>
      </c>
      <c r="W36" s="162"/>
      <c r="X36" s="161">
        <v>0.02</v>
      </c>
      <c r="Y36" s="162"/>
      <c r="Z36" s="163">
        <f t="shared" si="0"/>
        <v>3000</v>
      </c>
      <c r="AA36" s="163">
        <f t="shared" si="1"/>
        <v>500</v>
      </c>
      <c r="AB36" s="163">
        <v>650</v>
      </c>
      <c r="AC36" s="163">
        <v>2500</v>
      </c>
      <c r="AD36" s="162"/>
      <c r="AE36" s="161">
        <v>0</v>
      </c>
      <c r="AF36" s="162"/>
      <c r="AG36" s="161">
        <v>300</v>
      </c>
      <c r="AH36" s="161">
        <v>2000</v>
      </c>
      <c r="AI36" s="162"/>
      <c r="AJ36" s="163">
        <f t="shared" si="2"/>
        <v>3194.6993464052289</v>
      </c>
      <c r="AK36" s="163">
        <f t="shared" si="3"/>
        <v>400</v>
      </c>
      <c r="AL36" s="163">
        <f t="shared" si="4"/>
        <v>798.67483660130722</v>
      </c>
      <c r="AM36" s="163">
        <f t="shared" si="5"/>
        <v>150</v>
      </c>
      <c r="AN36" s="163">
        <f t="shared" si="6"/>
        <v>133.11247276688454</v>
      </c>
      <c r="AO36" s="163">
        <f t="shared" si="7"/>
        <v>0</v>
      </c>
      <c r="AP36" s="163">
        <f t="shared" si="8"/>
        <v>66.556236383442268</v>
      </c>
      <c r="AQ36" s="163">
        <f t="shared" si="9"/>
        <v>79.867483660130716</v>
      </c>
      <c r="AR36" s="163">
        <f t="shared" si="10"/>
        <v>125</v>
      </c>
      <c r="AS36" s="163">
        <f t="shared" si="11"/>
        <v>41.666666666666664</v>
      </c>
      <c r="AT36" s="163">
        <f t="shared" si="11"/>
        <v>54.166666666666664</v>
      </c>
      <c r="AU36" s="163">
        <f t="shared" si="11"/>
        <v>208.33333333333334</v>
      </c>
      <c r="AV36" s="163">
        <f t="shared" si="12"/>
        <v>0</v>
      </c>
      <c r="AW36" s="163">
        <f t="shared" si="13"/>
        <v>8.3333333333333339</v>
      </c>
      <c r="AX36" s="163">
        <f t="shared" si="13"/>
        <v>55.555555555555557</v>
      </c>
      <c r="AY36" s="164">
        <f t="shared" si="14"/>
        <v>5315.9659313725497</v>
      </c>
    </row>
    <row r="37" spans="3:51" ht="15.75" x14ac:dyDescent="0.25">
      <c r="C37" s="1" t="s">
        <v>950</v>
      </c>
      <c r="D37" s="1"/>
      <c r="E37" s="1" t="s">
        <v>1003</v>
      </c>
      <c r="F37" s="1" t="s">
        <v>1003</v>
      </c>
      <c r="G37" s="1" t="s">
        <v>1004</v>
      </c>
      <c r="H37" s="1">
        <v>202</v>
      </c>
      <c r="I37" s="159">
        <v>232429</v>
      </c>
      <c r="J37" s="159">
        <v>1150.6386138613861</v>
      </c>
      <c r="K37" s="159">
        <v>5500</v>
      </c>
      <c r="L37" s="159">
        <v>200</v>
      </c>
      <c r="M37" s="159">
        <v>500</v>
      </c>
      <c r="N37" s="159">
        <v>0</v>
      </c>
      <c r="O37" s="159">
        <v>2</v>
      </c>
      <c r="P37" s="159">
        <v>2</v>
      </c>
      <c r="Q37" s="159">
        <v>250</v>
      </c>
      <c r="R37" s="159">
        <v>0</v>
      </c>
      <c r="S37" s="162"/>
      <c r="T37" s="161">
        <v>1</v>
      </c>
      <c r="U37" s="161">
        <v>0</v>
      </c>
      <c r="V37" s="161">
        <v>0.5</v>
      </c>
      <c r="W37" s="162"/>
      <c r="X37" s="161">
        <v>0.02</v>
      </c>
      <c r="Y37" s="162"/>
      <c r="Z37" s="163">
        <f t="shared" si="0"/>
        <v>3000</v>
      </c>
      <c r="AA37" s="163">
        <f t="shared" si="1"/>
        <v>500</v>
      </c>
      <c r="AB37" s="163">
        <v>650</v>
      </c>
      <c r="AC37" s="163">
        <v>2500</v>
      </c>
      <c r="AD37" s="162"/>
      <c r="AE37" s="161">
        <v>0</v>
      </c>
      <c r="AF37" s="162"/>
      <c r="AG37" s="161">
        <v>300</v>
      </c>
      <c r="AH37" s="161">
        <v>2000</v>
      </c>
      <c r="AI37" s="162"/>
      <c r="AJ37" s="163">
        <f t="shared" si="2"/>
        <v>1150.6386138613861</v>
      </c>
      <c r="AK37" s="163">
        <f t="shared" si="3"/>
        <v>500</v>
      </c>
      <c r="AL37" s="163">
        <f t="shared" si="4"/>
        <v>191.77310231023102</v>
      </c>
      <c r="AM37" s="163">
        <f t="shared" si="5"/>
        <v>250</v>
      </c>
      <c r="AN37" s="163">
        <f t="shared" si="6"/>
        <v>47.943275577557756</v>
      </c>
      <c r="AO37" s="163">
        <f t="shared" si="7"/>
        <v>0</v>
      </c>
      <c r="AP37" s="163">
        <f t="shared" si="8"/>
        <v>23.971637788778878</v>
      </c>
      <c r="AQ37" s="163">
        <f t="shared" si="9"/>
        <v>26.848234323432344</v>
      </c>
      <c r="AR37" s="163">
        <f t="shared" si="10"/>
        <v>125</v>
      </c>
      <c r="AS37" s="163">
        <f t="shared" si="11"/>
        <v>41.666666666666664</v>
      </c>
      <c r="AT37" s="163">
        <f t="shared" si="11"/>
        <v>54.166666666666664</v>
      </c>
      <c r="AU37" s="163">
        <f t="shared" si="11"/>
        <v>208.33333333333334</v>
      </c>
      <c r="AV37" s="163">
        <f t="shared" si="12"/>
        <v>0</v>
      </c>
      <c r="AW37" s="163">
        <f t="shared" si="13"/>
        <v>8.3333333333333339</v>
      </c>
      <c r="AX37" s="163">
        <f t="shared" si="13"/>
        <v>55.555555555555557</v>
      </c>
      <c r="AY37" s="164">
        <f t="shared" si="14"/>
        <v>2684.2304194169419</v>
      </c>
    </row>
    <row r="38" spans="3:51" ht="15.75" x14ac:dyDescent="0.25">
      <c r="C38" s="1" t="s">
        <v>950</v>
      </c>
      <c r="D38" s="1"/>
      <c r="E38" s="1" t="s">
        <v>1005</v>
      </c>
      <c r="F38" s="1" t="s">
        <v>1005</v>
      </c>
      <c r="G38" s="1" t="s">
        <v>1006</v>
      </c>
      <c r="H38" s="1">
        <v>2</v>
      </c>
      <c r="I38" s="159">
        <v>4500</v>
      </c>
      <c r="J38" s="159">
        <v>2250</v>
      </c>
      <c r="K38" s="159">
        <v>2500</v>
      </c>
      <c r="L38" s="159">
        <v>2000</v>
      </c>
      <c r="M38" s="159">
        <v>0</v>
      </c>
      <c r="N38" s="159">
        <v>0</v>
      </c>
      <c r="O38" s="159">
        <v>0</v>
      </c>
      <c r="P38" s="159">
        <v>0</v>
      </c>
      <c r="Q38" s="159">
        <v>200</v>
      </c>
      <c r="R38" s="159">
        <v>0</v>
      </c>
      <c r="S38" s="162"/>
      <c r="T38" s="161">
        <v>1</v>
      </c>
      <c r="U38" s="161">
        <v>0</v>
      </c>
      <c r="V38" s="161">
        <v>0.5</v>
      </c>
      <c r="W38" s="162"/>
      <c r="X38" s="161">
        <v>0.02</v>
      </c>
      <c r="Y38" s="162"/>
      <c r="Z38" s="163">
        <f t="shared" si="0"/>
        <v>3000</v>
      </c>
      <c r="AA38" s="163">
        <f t="shared" si="1"/>
        <v>500</v>
      </c>
      <c r="AB38" s="163">
        <v>650</v>
      </c>
      <c r="AC38" s="163">
        <v>2500</v>
      </c>
      <c r="AD38" s="162"/>
      <c r="AE38" s="161">
        <v>0</v>
      </c>
      <c r="AF38" s="162"/>
      <c r="AG38" s="161">
        <v>300</v>
      </c>
      <c r="AH38" s="161">
        <v>2000</v>
      </c>
      <c r="AI38" s="162"/>
      <c r="AJ38" s="163">
        <f t="shared" si="2"/>
        <v>2250</v>
      </c>
      <c r="AK38" s="163">
        <f t="shared" si="3"/>
        <v>0</v>
      </c>
      <c r="AL38" s="163">
        <f t="shared" si="4"/>
        <v>0</v>
      </c>
      <c r="AM38" s="163">
        <f t="shared" si="5"/>
        <v>200</v>
      </c>
      <c r="AN38" s="163">
        <f t="shared" si="6"/>
        <v>93.75</v>
      </c>
      <c r="AO38" s="163">
        <f t="shared" si="7"/>
        <v>0</v>
      </c>
      <c r="AP38" s="163">
        <f t="shared" si="8"/>
        <v>46.875</v>
      </c>
      <c r="AQ38" s="163">
        <f t="shared" si="9"/>
        <v>45</v>
      </c>
      <c r="AR38" s="163">
        <f t="shared" si="10"/>
        <v>125</v>
      </c>
      <c r="AS38" s="163">
        <f t="shared" si="11"/>
        <v>41.666666666666664</v>
      </c>
      <c r="AT38" s="163">
        <f t="shared" si="11"/>
        <v>54.166666666666664</v>
      </c>
      <c r="AU38" s="163">
        <f t="shared" si="11"/>
        <v>208.33333333333334</v>
      </c>
      <c r="AV38" s="163">
        <f t="shared" si="12"/>
        <v>0</v>
      </c>
      <c r="AW38" s="163">
        <f t="shared" si="13"/>
        <v>8.3333333333333339</v>
      </c>
      <c r="AX38" s="163">
        <f t="shared" si="13"/>
        <v>55.555555555555557</v>
      </c>
      <c r="AY38" s="164">
        <f t="shared" si="14"/>
        <v>3128.6805555555557</v>
      </c>
    </row>
    <row r="39" spans="3:51" ht="15.75" x14ac:dyDescent="0.25">
      <c r="C39" s="1" t="s">
        <v>950</v>
      </c>
      <c r="D39" s="1"/>
      <c r="E39" s="1" t="s">
        <v>986</v>
      </c>
      <c r="F39" s="1" t="s">
        <v>986</v>
      </c>
      <c r="G39" s="1" t="s">
        <v>1007</v>
      </c>
      <c r="H39" s="1">
        <v>6</v>
      </c>
      <c r="I39" s="159">
        <v>16875</v>
      </c>
      <c r="J39" s="159">
        <v>2812.5</v>
      </c>
      <c r="K39" s="159">
        <v>3200</v>
      </c>
      <c r="L39" s="159">
        <v>2300</v>
      </c>
      <c r="M39" s="159">
        <v>0</v>
      </c>
      <c r="N39" s="159">
        <v>0</v>
      </c>
      <c r="O39" s="159">
        <v>0</v>
      </c>
      <c r="P39" s="159">
        <v>0</v>
      </c>
      <c r="Q39" s="159">
        <v>0</v>
      </c>
      <c r="R39" s="159">
        <v>0</v>
      </c>
      <c r="S39" s="162"/>
      <c r="T39" s="161">
        <v>1</v>
      </c>
      <c r="U39" s="161">
        <v>0</v>
      </c>
      <c r="V39" s="161">
        <v>0.5</v>
      </c>
      <c r="W39" s="162"/>
      <c r="X39" s="161">
        <v>0.02</v>
      </c>
      <c r="Y39" s="162"/>
      <c r="Z39" s="163">
        <f t="shared" si="0"/>
        <v>3000</v>
      </c>
      <c r="AA39" s="163">
        <f t="shared" si="1"/>
        <v>500</v>
      </c>
      <c r="AB39" s="163">
        <v>650</v>
      </c>
      <c r="AC39" s="163">
        <v>2500</v>
      </c>
      <c r="AD39" s="162"/>
      <c r="AE39" s="161">
        <v>0</v>
      </c>
      <c r="AF39" s="162"/>
      <c r="AG39" s="161">
        <v>300</v>
      </c>
      <c r="AH39" s="161">
        <v>2000</v>
      </c>
      <c r="AI39" s="162"/>
      <c r="AJ39" s="163">
        <f t="shared" si="2"/>
        <v>2812.5</v>
      </c>
      <c r="AK39" s="163">
        <f t="shared" si="3"/>
        <v>0</v>
      </c>
      <c r="AL39" s="163">
        <f t="shared" si="4"/>
        <v>0</v>
      </c>
      <c r="AM39" s="163">
        <f t="shared" si="5"/>
        <v>0</v>
      </c>
      <c r="AN39" s="163">
        <f t="shared" si="6"/>
        <v>117.1875</v>
      </c>
      <c r="AO39" s="163">
        <f t="shared" si="7"/>
        <v>0</v>
      </c>
      <c r="AP39" s="163">
        <f t="shared" si="8"/>
        <v>58.59375</v>
      </c>
      <c r="AQ39" s="163">
        <f t="shared" si="9"/>
        <v>56.25</v>
      </c>
      <c r="AR39" s="163">
        <f t="shared" si="10"/>
        <v>125</v>
      </c>
      <c r="AS39" s="163">
        <f t="shared" si="11"/>
        <v>41.666666666666664</v>
      </c>
      <c r="AT39" s="163">
        <f t="shared" si="11"/>
        <v>54.166666666666664</v>
      </c>
      <c r="AU39" s="163">
        <f t="shared" si="11"/>
        <v>208.33333333333334</v>
      </c>
      <c r="AV39" s="163">
        <f t="shared" si="12"/>
        <v>0</v>
      </c>
      <c r="AW39" s="163">
        <f t="shared" si="13"/>
        <v>8.3333333333333339</v>
      </c>
      <c r="AX39" s="163">
        <f t="shared" si="13"/>
        <v>55.555555555555557</v>
      </c>
      <c r="AY39" s="164">
        <f t="shared" si="14"/>
        <v>3537.5868055555557</v>
      </c>
    </row>
    <row r="40" spans="3:51" ht="15.75" x14ac:dyDescent="0.25">
      <c r="C40" s="1" t="s">
        <v>950</v>
      </c>
      <c r="D40" s="1"/>
      <c r="E40" s="1" t="s">
        <v>1008</v>
      </c>
      <c r="F40" s="1" t="s">
        <v>1008</v>
      </c>
      <c r="G40" s="1" t="s">
        <v>1009</v>
      </c>
      <c r="H40" s="1">
        <v>2</v>
      </c>
      <c r="I40" s="159">
        <v>5500</v>
      </c>
      <c r="J40" s="159">
        <v>2750</v>
      </c>
      <c r="K40" s="159">
        <v>3000</v>
      </c>
      <c r="L40" s="159">
        <v>2500</v>
      </c>
      <c r="M40" s="159">
        <v>0</v>
      </c>
      <c r="N40" s="159">
        <v>0</v>
      </c>
      <c r="O40" s="159">
        <v>0</v>
      </c>
      <c r="P40" s="159">
        <v>0</v>
      </c>
      <c r="Q40" s="159">
        <v>0</v>
      </c>
      <c r="R40" s="159">
        <v>0</v>
      </c>
      <c r="S40" s="162"/>
      <c r="T40" s="161">
        <v>1</v>
      </c>
      <c r="U40" s="161">
        <v>0</v>
      </c>
      <c r="V40" s="161">
        <v>0.5</v>
      </c>
      <c r="W40" s="162"/>
      <c r="X40" s="161">
        <v>0.02</v>
      </c>
      <c r="Y40" s="162"/>
      <c r="Z40" s="163">
        <f t="shared" si="0"/>
        <v>3000</v>
      </c>
      <c r="AA40" s="163">
        <f t="shared" si="1"/>
        <v>500</v>
      </c>
      <c r="AB40" s="163">
        <v>650</v>
      </c>
      <c r="AC40" s="163">
        <v>2500</v>
      </c>
      <c r="AD40" s="162"/>
      <c r="AE40" s="161">
        <v>0</v>
      </c>
      <c r="AF40" s="162"/>
      <c r="AG40" s="161">
        <v>300</v>
      </c>
      <c r="AH40" s="161">
        <v>2000</v>
      </c>
      <c r="AI40" s="162"/>
      <c r="AJ40" s="163">
        <f t="shared" si="2"/>
        <v>2750</v>
      </c>
      <c r="AK40" s="163">
        <f t="shared" si="3"/>
        <v>0</v>
      </c>
      <c r="AL40" s="163">
        <f t="shared" si="4"/>
        <v>0</v>
      </c>
      <c r="AM40" s="163">
        <f t="shared" si="5"/>
        <v>0</v>
      </c>
      <c r="AN40" s="163">
        <f t="shared" si="6"/>
        <v>114.58333333333333</v>
      </c>
      <c r="AO40" s="163">
        <f t="shared" si="7"/>
        <v>0</v>
      </c>
      <c r="AP40" s="163">
        <f t="shared" si="8"/>
        <v>57.291666666666664</v>
      </c>
      <c r="AQ40" s="163">
        <f t="shared" si="9"/>
        <v>55</v>
      </c>
      <c r="AR40" s="163">
        <f t="shared" si="10"/>
        <v>125</v>
      </c>
      <c r="AS40" s="163">
        <f t="shared" si="11"/>
        <v>41.666666666666664</v>
      </c>
      <c r="AT40" s="163">
        <f t="shared" si="11"/>
        <v>54.166666666666664</v>
      </c>
      <c r="AU40" s="163">
        <f t="shared" si="11"/>
        <v>208.33333333333334</v>
      </c>
      <c r="AV40" s="163">
        <f t="shared" si="12"/>
        <v>0</v>
      </c>
      <c r="AW40" s="163">
        <f t="shared" si="13"/>
        <v>8.3333333333333339</v>
      </c>
      <c r="AX40" s="163">
        <f t="shared" si="13"/>
        <v>55.555555555555557</v>
      </c>
      <c r="AY40" s="164">
        <f t="shared" si="14"/>
        <v>3469.9305555555557</v>
      </c>
    </row>
    <row r="41" spans="3:51" ht="15.75" x14ac:dyDescent="0.25">
      <c r="C41" s="1" t="s">
        <v>950</v>
      </c>
      <c r="D41" s="1"/>
      <c r="E41" s="1" t="s">
        <v>990</v>
      </c>
      <c r="F41" s="1" t="s">
        <v>990</v>
      </c>
      <c r="G41" s="1" t="s">
        <v>1010</v>
      </c>
      <c r="H41" s="1">
        <v>50</v>
      </c>
      <c r="I41" s="159">
        <v>143791</v>
      </c>
      <c r="J41" s="159">
        <v>2875.82</v>
      </c>
      <c r="K41" s="159">
        <v>4000</v>
      </c>
      <c r="L41" s="159">
        <v>1386</v>
      </c>
      <c r="M41" s="159">
        <v>400</v>
      </c>
      <c r="N41" s="159">
        <v>0</v>
      </c>
      <c r="O41" s="159">
        <v>2</v>
      </c>
      <c r="P41" s="159">
        <v>2</v>
      </c>
      <c r="Q41" s="159">
        <v>250</v>
      </c>
      <c r="R41" s="159">
        <v>0</v>
      </c>
      <c r="S41" s="162"/>
      <c r="T41" s="161">
        <v>1</v>
      </c>
      <c r="U41" s="161">
        <v>0</v>
      </c>
      <c r="V41" s="161">
        <v>0.5</v>
      </c>
      <c r="W41" s="162"/>
      <c r="X41" s="161">
        <v>0.02</v>
      </c>
      <c r="Y41" s="162"/>
      <c r="Z41" s="163">
        <f t="shared" si="0"/>
        <v>3000</v>
      </c>
      <c r="AA41" s="163">
        <f t="shared" si="1"/>
        <v>500</v>
      </c>
      <c r="AB41" s="163">
        <v>650</v>
      </c>
      <c r="AC41" s="163">
        <v>2500</v>
      </c>
      <c r="AD41" s="162"/>
      <c r="AE41" s="161">
        <v>0</v>
      </c>
      <c r="AF41" s="162"/>
      <c r="AG41" s="161">
        <v>300</v>
      </c>
      <c r="AH41" s="161">
        <v>2000</v>
      </c>
      <c r="AI41" s="162"/>
      <c r="AJ41" s="163">
        <f t="shared" si="2"/>
        <v>2875.82</v>
      </c>
      <c r="AK41" s="163">
        <f t="shared" si="3"/>
        <v>400</v>
      </c>
      <c r="AL41" s="163">
        <f t="shared" si="4"/>
        <v>479.30333333333334</v>
      </c>
      <c r="AM41" s="163">
        <f t="shared" si="5"/>
        <v>250</v>
      </c>
      <c r="AN41" s="163">
        <f t="shared" si="6"/>
        <v>119.82583333333334</v>
      </c>
      <c r="AO41" s="163">
        <f t="shared" si="7"/>
        <v>0</v>
      </c>
      <c r="AP41" s="163">
        <f t="shared" si="8"/>
        <v>59.912916666666668</v>
      </c>
      <c r="AQ41" s="163">
        <f t="shared" si="9"/>
        <v>67.102466666666672</v>
      </c>
      <c r="AR41" s="163">
        <f t="shared" si="10"/>
        <v>125</v>
      </c>
      <c r="AS41" s="163">
        <f t="shared" si="11"/>
        <v>41.666666666666664</v>
      </c>
      <c r="AT41" s="163">
        <f t="shared" si="11"/>
        <v>54.166666666666664</v>
      </c>
      <c r="AU41" s="163">
        <f t="shared" si="11"/>
        <v>208.33333333333334</v>
      </c>
      <c r="AV41" s="163">
        <f t="shared" si="12"/>
        <v>0</v>
      </c>
      <c r="AW41" s="163">
        <f t="shared" si="13"/>
        <v>8.3333333333333339</v>
      </c>
      <c r="AX41" s="163">
        <f t="shared" si="13"/>
        <v>55.555555555555557</v>
      </c>
      <c r="AY41" s="164">
        <f t="shared" si="14"/>
        <v>4745.0201055555563</v>
      </c>
    </row>
    <row r="42" spans="3:51" ht="15.75" x14ac:dyDescent="0.25">
      <c r="C42" s="1" t="s">
        <v>950</v>
      </c>
      <c r="D42" s="1"/>
      <c r="E42" s="1" t="s">
        <v>263</v>
      </c>
      <c r="F42" s="1" t="s">
        <v>263</v>
      </c>
      <c r="G42" s="1" t="s">
        <v>1011</v>
      </c>
      <c r="H42" s="1">
        <v>2</v>
      </c>
      <c r="I42" s="159">
        <v>4500</v>
      </c>
      <c r="J42" s="159">
        <v>2250</v>
      </c>
      <c r="K42" s="159">
        <v>2500</v>
      </c>
      <c r="L42" s="159">
        <v>2000</v>
      </c>
      <c r="M42" s="159">
        <v>0</v>
      </c>
      <c r="N42" s="159">
        <v>0</v>
      </c>
      <c r="O42" s="159">
        <v>0</v>
      </c>
      <c r="P42" s="159">
        <v>0</v>
      </c>
      <c r="Q42" s="159">
        <v>150</v>
      </c>
      <c r="R42" s="159">
        <v>0</v>
      </c>
      <c r="S42" s="162"/>
      <c r="T42" s="161">
        <v>1</v>
      </c>
      <c r="U42" s="161">
        <v>0</v>
      </c>
      <c r="V42" s="161">
        <v>0.5</v>
      </c>
      <c r="W42" s="162"/>
      <c r="X42" s="161">
        <v>0.02</v>
      </c>
      <c r="Y42" s="162"/>
      <c r="Z42" s="163">
        <f t="shared" si="0"/>
        <v>3000</v>
      </c>
      <c r="AA42" s="163">
        <f t="shared" si="1"/>
        <v>500</v>
      </c>
      <c r="AB42" s="163">
        <v>650</v>
      </c>
      <c r="AC42" s="163">
        <v>2500</v>
      </c>
      <c r="AD42" s="162"/>
      <c r="AE42" s="161">
        <v>0</v>
      </c>
      <c r="AF42" s="162"/>
      <c r="AG42" s="161">
        <v>300</v>
      </c>
      <c r="AH42" s="161">
        <v>2000</v>
      </c>
      <c r="AI42" s="162"/>
      <c r="AJ42" s="163">
        <f t="shared" si="2"/>
        <v>2250</v>
      </c>
      <c r="AK42" s="163">
        <f t="shared" si="3"/>
        <v>0</v>
      </c>
      <c r="AL42" s="163">
        <f t="shared" si="4"/>
        <v>0</v>
      </c>
      <c r="AM42" s="163">
        <f t="shared" si="5"/>
        <v>150</v>
      </c>
      <c r="AN42" s="163">
        <f t="shared" si="6"/>
        <v>93.75</v>
      </c>
      <c r="AO42" s="163">
        <f t="shared" si="7"/>
        <v>0</v>
      </c>
      <c r="AP42" s="163">
        <f t="shared" si="8"/>
        <v>46.875</v>
      </c>
      <c r="AQ42" s="163">
        <f t="shared" si="9"/>
        <v>45</v>
      </c>
      <c r="AR42" s="163">
        <f t="shared" si="10"/>
        <v>125</v>
      </c>
      <c r="AS42" s="163">
        <f t="shared" si="11"/>
        <v>41.666666666666664</v>
      </c>
      <c r="AT42" s="163">
        <f t="shared" si="11"/>
        <v>54.166666666666664</v>
      </c>
      <c r="AU42" s="163">
        <f t="shared" si="11"/>
        <v>208.33333333333334</v>
      </c>
      <c r="AV42" s="163">
        <f t="shared" si="12"/>
        <v>0</v>
      </c>
      <c r="AW42" s="163">
        <f t="shared" si="13"/>
        <v>8.3333333333333339</v>
      </c>
      <c r="AX42" s="163">
        <f t="shared" si="13"/>
        <v>55.555555555555557</v>
      </c>
      <c r="AY42" s="164">
        <f t="shared" si="14"/>
        <v>3078.6805555555557</v>
      </c>
    </row>
    <row r="43" spans="3:51" ht="15.75" x14ac:dyDescent="0.25">
      <c r="C43" s="1" t="s">
        <v>950</v>
      </c>
      <c r="D43" s="1"/>
      <c r="E43" s="1" t="s">
        <v>9</v>
      </c>
      <c r="F43" s="1" t="s">
        <v>1001</v>
      </c>
      <c r="G43" s="1" t="s">
        <v>1012</v>
      </c>
      <c r="H43" s="1">
        <v>25</v>
      </c>
      <c r="I43" s="159">
        <v>87655</v>
      </c>
      <c r="J43" s="159">
        <v>3506.2</v>
      </c>
      <c r="K43" s="159">
        <v>5775</v>
      </c>
      <c r="L43" s="159">
        <v>2300</v>
      </c>
      <c r="M43" s="159">
        <v>400</v>
      </c>
      <c r="N43" s="159">
        <v>0</v>
      </c>
      <c r="O43" s="159">
        <v>2</v>
      </c>
      <c r="P43" s="159">
        <v>3</v>
      </c>
      <c r="Q43" s="159">
        <v>150</v>
      </c>
      <c r="R43" s="159">
        <v>0</v>
      </c>
      <c r="S43" s="162"/>
      <c r="T43" s="161">
        <v>1</v>
      </c>
      <c r="U43" s="161">
        <v>0</v>
      </c>
      <c r="V43" s="161">
        <v>0.5</v>
      </c>
      <c r="W43" s="162"/>
      <c r="X43" s="161">
        <v>0.02</v>
      </c>
      <c r="Y43" s="162"/>
      <c r="Z43" s="163">
        <f t="shared" si="0"/>
        <v>3000</v>
      </c>
      <c r="AA43" s="163">
        <f t="shared" si="1"/>
        <v>500</v>
      </c>
      <c r="AB43" s="163">
        <v>650</v>
      </c>
      <c r="AC43" s="163">
        <v>2500</v>
      </c>
      <c r="AD43" s="162"/>
      <c r="AE43" s="161">
        <v>0</v>
      </c>
      <c r="AF43" s="162"/>
      <c r="AG43" s="161">
        <v>300</v>
      </c>
      <c r="AH43" s="161">
        <v>2000</v>
      </c>
      <c r="AI43" s="162"/>
      <c r="AJ43" s="163">
        <f t="shared" si="2"/>
        <v>3506.2</v>
      </c>
      <c r="AK43" s="163">
        <f t="shared" si="3"/>
        <v>400</v>
      </c>
      <c r="AL43" s="163">
        <f t="shared" si="4"/>
        <v>876.54999999999984</v>
      </c>
      <c r="AM43" s="163">
        <f t="shared" si="5"/>
        <v>150</v>
      </c>
      <c r="AN43" s="163">
        <f t="shared" si="6"/>
        <v>146.09166666666667</v>
      </c>
      <c r="AO43" s="163">
        <f t="shared" si="7"/>
        <v>0</v>
      </c>
      <c r="AP43" s="163">
        <f t="shared" si="8"/>
        <v>73.045833333333334</v>
      </c>
      <c r="AQ43" s="163">
        <f t="shared" si="9"/>
        <v>87.655000000000001</v>
      </c>
      <c r="AR43" s="163">
        <f t="shared" si="10"/>
        <v>125</v>
      </c>
      <c r="AS43" s="163">
        <f t="shared" si="11"/>
        <v>41.666666666666664</v>
      </c>
      <c r="AT43" s="163">
        <f t="shared" si="11"/>
        <v>54.166666666666664</v>
      </c>
      <c r="AU43" s="163">
        <f t="shared" si="11"/>
        <v>208.33333333333334</v>
      </c>
      <c r="AV43" s="163">
        <f t="shared" si="12"/>
        <v>0</v>
      </c>
      <c r="AW43" s="163">
        <f t="shared" si="13"/>
        <v>8.3333333333333339</v>
      </c>
      <c r="AX43" s="163">
        <f t="shared" si="13"/>
        <v>55.555555555555557</v>
      </c>
      <c r="AY43" s="164">
        <f t="shared" si="14"/>
        <v>5732.5980555555552</v>
      </c>
    </row>
    <row r="44" spans="3:51" ht="15.75" x14ac:dyDescent="0.25">
      <c r="C44" s="1" t="s">
        <v>950</v>
      </c>
      <c r="D44" s="1"/>
      <c r="E44" s="1" t="s">
        <v>986</v>
      </c>
      <c r="F44" s="1" t="s">
        <v>986</v>
      </c>
      <c r="G44" s="1" t="s">
        <v>1013</v>
      </c>
      <c r="H44" s="1">
        <v>3</v>
      </c>
      <c r="I44" s="159">
        <v>7750</v>
      </c>
      <c r="J44" s="159">
        <v>2583.3333333333335</v>
      </c>
      <c r="K44" s="159">
        <v>3150</v>
      </c>
      <c r="L44" s="159">
        <v>2200</v>
      </c>
      <c r="M44" s="159">
        <v>0</v>
      </c>
      <c r="N44" s="159">
        <v>0</v>
      </c>
      <c r="O44" s="159">
        <v>0</v>
      </c>
      <c r="P44" s="159">
        <v>0</v>
      </c>
      <c r="Q44" s="159">
        <v>0</v>
      </c>
      <c r="R44" s="159">
        <v>0</v>
      </c>
      <c r="S44" s="162"/>
      <c r="T44" s="161">
        <v>1</v>
      </c>
      <c r="U44" s="161">
        <v>0</v>
      </c>
      <c r="V44" s="161">
        <v>0.5</v>
      </c>
      <c r="W44" s="162"/>
      <c r="X44" s="161">
        <v>0.02</v>
      </c>
      <c r="Y44" s="162"/>
      <c r="Z44" s="163">
        <f t="shared" si="0"/>
        <v>3000</v>
      </c>
      <c r="AA44" s="163">
        <f t="shared" si="1"/>
        <v>500</v>
      </c>
      <c r="AB44" s="163">
        <v>650</v>
      </c>
      <c r="AC44" s="163">
        <v>2500</v>
      </c>
      <c r="AD44" s="162"/>
      <c r="AE44" s="161">
        <v>0</v>
      </c>
      <c r="AF44" s="162"/>
      <c r="AG44" s="161">
        <v>300</v>
      </c>
      <c r="AH44" s="161">
        <v>2000</v>
      </c>
      <c r="AI44" s="162"/>
      <c r="AJ44" s="163">
        <f t="shared" si="2"/>
        <v>2583.3333333333335</v>
      </c>
      <c r="AK44" s="163">
        <f t="shared" si="3"/>
        <v>0</v>
      </c>
      <c r="AL44" s="163">
        <f t="shared" si="4"/>
        <v>0</v>
      </c>
      <c r="AM44" s="163">
        <f t="shared" si="5"/>
        <v>0</v>
      </c>
      <c r="AN44" s="163">
        <f t="shared" si="6"/>
        <v>107.6388888888889</v>
      </c>
      <c r="AO44" s="163">
        <f t="shared" si="7"/>
        <v>0</v>
      </c>
      <c r="AP44" s="163">
        <f t="shared" si="8"/>
        <v>53.81944444444445</v>
      </c>
      <c r="AQ44" s="163">
        <f t="shared" si="9"/>
        <v>51.666666666666671</v>
      </c>
      <c r="AR44" s="163">
        <f t="shared" si="10"/>
        <v>125</v>
      </c>
      <c r="AS44" s="163">
        <f t="shared" si="11"/>
        <v>41.666666666666664</v>
      </c>
      <c r="AT44" s="163">
        <f t="shared" si="11"/>
        <v>54.166666666666664</v>
      </c>
      <c r="AU44" s="163">
        <f t="shared" si="11"/>
        <v>208.33333333333334</v>
      </c>
      <c r="AV44" s="163">
        <f t="shared" si="12"/>
        <v>0</v>
      </c>
      <c r="AW44" s="163">
        <f t="shared" si="13"/>
        <v>8.3333333333333339</v>
      </c>
      <c r="AX44" s="163">
        <f t="shared" si="13"/>
        <v>55.555555555555557</v>
      </c>
      <c r="AY44" s="164">
        <f t="shared" si="14"/>
        <v>3289.5138888888887</v>
      </c>
    </row>
    <row r="45" spans="3:51" ht="15.75" x14ac:dyDescent="0.25">
      <c r="C45" s="1" t="s">
        <v>950</v>
      </c>
      <c r="D45" s="1"/>
      <c r="E45" s="1" t="s">
        <v>4</v>
      </c>
      <c r="F45" s="1" t="s">
        <v>4</v>
      </c>
      <c r="G45" s="1" t="s">
        <v>1014</v>
      </c>
      <c r="H45" s="1">
        <v>8</v>
      </c>
      <c r="I45" s="159">
        <v>20825</v>
      </c>
      <c r="J45" s="159">
        <v>2603.125</v>
      </c>
      <c r="K45" s="159">
        <v>3300</v>
      </c>
      <c r="L45" s="159">
        <v>2000</v>
      </c>
      <c r="M45" s="159">
        <v>0</v>
      </c>
      <c r="N45" s="159">
        <v>0</v>
      </c>
      <c r="O45" s="159">
        <v>0</v>
      </c>
      <c r="P45" s="159">
        <v>0</v>
      </c>
      <c r="Q45" s="159">
        <v>150</v>
      </c>
      <c r="R45" s="159">
        <v>0</v>
      </c>
      <c r="S45" s="162"/>
      <c r="T45" s="161">
        <v>1</v>
      </c>
      <c r="U45" s="161">
        <v>0</v>
      </c>
      <c r="V45" s="161">
        <v>0.5</v>
      </c>
      <c r="W45" s="162"/>
      <c r="X45" s="161">
        <v>0.02</v>
      </c>
      <c r="Y45" s="162"/>
      <c r="Z45" s="163">
        <f t="shared" si="0"/>
        <v>3000</v>
      </c>
      <c r="AA45" s="163">
        <f t="shared" si="1"/>
        <v>500</v>
      </c>
      <c r="AB45" s="163">
        <v>650</v>
      </c>
      <c r="AC45" s="163">
        <v>2500</v>
      </c>
      <c r="AD45" s="162"/>
      <c r="AE45" s="161">
        <v>0</v>
      </c>
      <c r="AF45" s="162"/>
      <c r="AG45" s="161">
        <v>300</v>
      </c>
      <c r="AH45" s="161">
        <v>2000</v>
      </c>
      <c r="AI45" s="162"/>
      <c r="AJ45" s="163">
        <f t="shared" si="2"/>
        <v>2603.125</v>
      </c>
      <c r="AK45" s="163">
        <f t="shared" si="3"/>
        <v>0</v>
      </c>
      <c r="AL45" s="163">
        <f t="shared" si="4"/>
        <v>0</v>
      </c>
      <c r="AM45" s="163">
        <f t="shared" si="5"/>
        <v>150</v>
      </c>
      <c r="AN45" s="163">
        <f t="shared" si="6"/>
        <v>108.46354166666667</v>
      </c>
      <c r="AO45" s="163">
        <f t="shared" si="7"/>
        <v>0</v>
      </c>
      <c r="AP45" s="163">
        <f t="shared" si="8"/>
        <v>54.231770833333336</v>
      </c>
      <c r="AQ45" s="163">
        <f t="shared" si="9"/>
        <v>52.0625</v>
      </c>
      <c r="AR45" s="163">
        <f t="shared" si="10"/>
        <v>125</v>
      </c>
      <c r="AS45" s="163">
        <f t="shared" si="11"/>
        <v>41.666666666666664</v>
      </c>
      <c r="AT45" s="163">
        <f t="shared" si="11"/>
        <v>54.166666666666664</v>
      </c>
      <c r="AU45" s="163">
        <f t="shared" si="11"/>
        <v>208.33333333333334</v>
      </c>
      <c r="AV45" s="163">
        <f t="shared" si="12"/>
        <v>0</v>
      </c>
      <c r="AW45" s="163">
        <f t="shared" si="13"/>
        <v>8.3333333333333339</v>
      </c>
      <c r="AX45" s="163">
        <f t="shared" si="13"/>
        <v>55.555555555555557</v>
      </c>
      <c r="AY45" s="164">
        <f t="shared" si="14"/>
        <v>3460.9383680555557</v>
      </c>
    </row>
    <row r="46" spans="3:51" ht="15.75" x14ac:dyDescent="0.25">
      <c r="C46" s="1" t="s">
        <v>950</v>
      </c>
      <c r="D46" s="1"/>
      <c r="E46" s="1" t="s">
        <v>961</v>
      </c>
      <c r="F46" s="1" t="s">
        <v>725</v>
      </c>
      <c r="G46" s="1" t="s">
        <v>1015</v>
      </c>
      <c r="H46" s="1">
        <v>25</v>
      </c>
      <c r="I46" s="159">
        <v>82062</v>
      </c>
      <c r="J46" s="159">
        <v>3282.48</v>
      </c>
      <c r="K46" s="159">
        <v>5500</v>
      </c>
      <c r="L46" s="159">
        <v>2200</v>
      </c>
      <c r="M46" s="159">
        <v>300</v>
      </c>
      <c r="N46" s="159">
        <v>0</v>
      </c>
      <c r="O46" s="159">
        <v>2</v>
      </c>
      <c r="P46" s="159">
        <v>2</v>
      </c>
      <c r="Q46" s="159">
        <v>150</v>
      </c>
      <c r="R46" s="159">
        <v>0</v>
      </c>
      <c r="S46" s="162"/>
      <c r="T46" s="161">
        <v>1</v>
      </c>
      <c r="U46" s="161">
        <v>0</v>
      </c>
      <c r="V46" s="161">
        <v>0.5</v>
      </c>
      <c r="W46" s="162"/>
      <c r="X46" s="161">
        <v>0.02</v>
      </c>
      <c r="Y46" s="162"/>
      <c r="Z46" s="163">
        <f t="shared" si="0"/>
        <v>3000</v>
      </c>
      <c r="AA46" s="163">
        <f t="shared" si="1"/>
        <v>500</v>
      </c>
      <c r="AB46" s="163">
        <v>650</v>
      </c>
      <c r="AC46" s="163">
        <v>2500</v>
      </c>
      <c r="AD46" s="162"/>
      <c r="AE46" s="161">
        <v>0</v>
      </c>
      <c r="AF46" s="162"/>
      <c r="AG46" s="161">
        <v>300</v>
      </c>
      <c r="AH46" s="161">
        <v>2000</v>
      </c>
      <c r="AI46" s="162"/>
      <c r="AJ46" s="163">
        <f t="shared" si="2"/>
        <v>3282.48</v>
      </c>
      <c r="AK46" s="163">
        <f t="shared" si="3"/>
        <v>300</v>
      </c>
      <c r="AL46" s="163">
        <f t="shared" si="4"/>
        <v>547.08000000000004</v>
      </c>
      <c r="AM46" s="163">
        <f t="shared" si="5"/>
        <v>150</v>
      </c>
      <c r="AN46" s="163">
        <f t="shared" si="6"/>
        <v>136.77000000000001</v>
      </c>
      <c r="AO46" s="163">
        <f t="shared" si="7"/>
        <v>0</v>
      </c>
      <c r="AP46" s="163">
        <f t="shared" si="8"/>
        <v>68.385000000000005</v>
      </c>
      <c r="AQ46" s="163">
        <f t="shared" si="9"/>
        <v>76.591200000000001</v>
      </c>
      <c r="AR46" s="163">
        <f t="shared" si="10"/>
        <v>125</v>
      </c>
      <c r="AS46" s="163">
        <f t="shared" si="11"/>
        <v>41.666666666666664</v>
      </c>
      <c r="AT46" s="163">
        <f t="shared" si="11"/>
        <v>54.166666666666664</v>
      </c>
      <c r="AU46" s="163">
        <f t="shared" si="11"/>
        <v>208.33333333333334</v>
      </c>
      <c r="AV46" s="163">
        <f t="shared" si="12"/>
        <v>0</v>
      </c>
      <c r="AW46" s="163">
        <f t="shared" si="13"/>
        <v>8.3333333333333339</v>
      </c>
      <c r="AX46" s="163">
        <f t="shared" si="13"/>
        <v>55.555555555555557</v>
      </c>
      <c r="AY46" s="164">
        <f t="shared" si="14"/>
        <v>5054.3617555555566</v>
      </c>
    </row>
    <row r="47" spans="3:51" ht="15.75" x14ac:dyDescent="0.25">
      <c r="C47" s="1" t="s">
        <v>950</v>
      </c>
      <c r="D47" s="1"/>
      <c r="E47" s="1"/>
      <c r="F47" s="1"/>
      <c r="G47" s="1" t="s">
        <v>1016</v>
      </c>
      <c r="H47" s="1">
        <v>4</v>
      </c>
      <c r="I47" s="159">
        <v>7764</v>
      </c>
      <c r="J47" s="159">
        <v>1941</v>
      </c>
      <c r="K47" s="159">
        <v>2100</v>
      </c>
      <c r="L47" s="159">
        <v>1850</v>
      </c>
      <c r="M47" s="159">
        <v>0</v>
      </c>
      <c r="N47" s="159">
        <v>0</v>
      </c>
      <c r="O47" s="159">
        <v>0</v>
      </c>
      <c r="P47" s="159">
        <v>0</v>
      </c>
      <c r="Q47" s="159">
        <v>250</v>
      </c>
      <c r="R47" s="159">
        <v>0</v>
      </c>
      <c r="S47" s="162"/>
      <c r="T47" s="161">
        <v>1</v>
      </c>
      <c r="U47" s="161">
        <v>0</v>
      </c>
      <c r="V47" s="161">
        <v>0.5</v>
      </c>
      <c r="W47" s="162"/>
      <c r="X47" s="161">
        <v>0.02</v>
      </c>
      <c r="Y47" s="162"/>
      <c r="Z47" s="163">
        <f t="shared" si="0"/>
        <v>3000</v>
      </c>
      <c r="AA47" s="163">
        <f t="shared" si="1"/>
        <v>500</v>
      </c>
      <c r="AB47" s="163">
        <v>650</v>
      </c>
      <c r="AC47" s="163">
        <v>2500</v>
      </c>
      <c r="AD47" s="162"/>
      <c r="AE47" s="161">
        <v>0</v>
      </c>
      <c r="AF47" s="162"/>
      <c r="AG47" s="161">
        <v>300</v>
      </c>
      <c r="AH47" s="161">
        <v>2000</v>
      </c>
      <c r="AI47" s="162"/>
      <c r="AJ47" s="163">
        <f t="shared" si="2"/>
        <v>1941</v>
      </c>
      <c r="AK47" s="163">
        <f t="shared" si="3"/>
        <v>0</v>
      </c>
      <c r="AL47" s="163">
        <f t="shared" si="4"/>
        <v>0</v>
      </c>
      <c r="AM47" s="163">
        <f t="shared" si="5"/>
        <v>250</v>
      </c>
      <c r="AN47" s="163">
        <f t="shared" si="6"/>
        <v>80.875</v>
      </c>
      <c r="AO47" s="163">
        <f t="shared" si="7"/>
        <v>0</v>
      </c>
      <c r="AP47" s="163">
        <f t="shared" si="8"/>
        <v>40.4375</v>
      </c>
      <c r="AQ47" s="163">
        <f t="shared" si="9"/>
        <v>38.82</v>
      </c>
      <c r="AR47" s="163">
        <f t="shared" si="10"/>
        <v>125</v>
      </c>
      <c r="AS47" s="163">
        <f t="shared" si="11"/>
        <v>41.666666666666664</v>
      </c>
      <c r="AT47" s="163">
        <f t="shared" si="11"/>
        <v>54.166666666666664</v>
      </c>
      <c r="AU47" s="163">
        <f t="shared" si="11"/>
        <v>208.33333333333334</v>
      </c>
      <c r="AV47" s="163">
        <f t="shared" si="12"/>
        <v>0</v>
      </c>
      <c r="AW47" s="163">
        <f t="shared" si="13"/>
        <v>8.3333333333333339</v>
      </c>
      <c r="AX47" s="163">
        <f t="shared" si="13"/>
        <v>55.555555555555557</v>
      </c>
      <c r="AY47" s="164">
        <f t="shared" si="14"/>
        <v>2844.1880555555558</v>
      </c>
    </row>
    <row r="48" spans="3:51" ht="15.75" x14ac:dyDescent="0.25">
      <c r="C48" s="1" t="s">
        <v>950</v>
      </c>
      <c r="D48" s="1"/>
      <c r="E48" s="1" t="s">
        <v>9</v>
      </c>
      <c r="F48" s="1" t="s">
        <v>570</v>
      </c>
      <c r="G48" s="1" t="s">
        <v>1017</v>
      </c>
      <c r="H48" s="1">
        <v>5</v>
      </c>
      <c r="I48" s="159">
        <v>15545</v>
      </c>
      <c r="J48" s="159">
        <v>3109</v>
      </c>
      <c r="K48" s="159">
        <v>3500</v>
      </c>
      <c r="L48" s="159">
        <v>2800</v>
      </c>
      <c r="M48" s="159">
        <v>0</v>
      </c>
      <c r="N48" s="159">
        <v>0</v>
      </c>
      <c r="O48" s="159">
        <v>2</v>
      </c>
      <c r="P48" s="159">
        <v>2</v>
      </c>
      <c r="Q48" s="159">
        <v>0</v>
      </c>
      <c r="R48" s="159">
        <v>0</v>
      </c>
      <c r="S48" s="162"/>
      <c r="T48" s="161">
        <v>1</v>
      </c>
      <c r="U48" s="161">
        <v>0</v>
      </c>
      <c r="V48" s="161">
        <v>0.5</v>
      </c>
      <c r="W48" s="162"/>
      <c r="X48" s="161">
        <v>0.02</v>
      </c>
      <c r="Y48" s="162"/>
      <c r="Z48" s="163">
        <f t="shared" si="0"/>
        <v>3000</v>
      </c>
      <c r="AA48" s="163">
        <f t="shared" si="1"/>
        <v>500</v>
      </c>
      <c r="AB48" s="163">
        <v>650</v>
      </c>
      <c r="AC48" s="163">
        <v>2500</v>
      </c>
      <c r="AD48" s="162"/>
      <c r="AE48" s="161">
        <v>0</v>
      </c>
      <c r="AF48" s="162"/>
      <c r="AG48" s="161">
        <v>300</v>
      </c>
      <c r="AH48" s="161">
        <v>2000</v>
      </c>
      <c r="AI48" s="162"/>
      <c r="AJ48" s="163">
        <f t="shared" si="2"/>
        <v>3109</v>
      </c>
      <c r="AK48" s="163">
        <f t="shared" si="3"/>
        <v>0</v>
      </c>
      <c r="AL48" s="163">
        <f t="shared" si="4"/>
        <v>518.16666666666663</v>
      </c>
      <c r="AM48" s="163">
        <f t="shared" si="5"/>
        <v>0</v>
      </c>
      <c r="AN48" s="163">
        <f t="shared" si="6"/>
        <v>129.54166666666666</v>
      </c>
      <c r="AO48" s="163">
        <f t="shared" si="7"/>
        <v>0</v>
      </c>
      <c r="AP48" s="163">
        <f t="shared" si="8"/>
        <v>64.770833333333329</v>
      </c>
      <c r="AQ48" s="163">
        <f t="shared" si="9"/>
        <v>72.543333333333337</v>
      </c>
      <c r="AR48" s="163">
        <f t="shared" si="10"/>
        <v>125</v>
      </c>
      <c r="AS48" s="163">
        <f t="shared" si="11"/>
        <v>41.666666666666664</v>
      </c>
      <c r="AT48" s="163">
        <f t="shared" si="11"/>
        <v>54.166666666666664</v>
      </c>
      <c r="AU48" s="163">
        <f t="shared" si="11"/>
        <v>208.33333333333334</v>
      </c>
      <c r="AV48" s="163">
        <f t="shared" si="12"/>
        <v>0</v>
      </c>
      <c r="AW48" s="163">
        <f t="shared" si="13"/>
        <v>8.3333333333333339</v>
      </c>
      <c r="AX48" s="163">
        <f t="shared" si="13"/>
        <v>55.555555555555557</v>
      </c>
      <c r="AY48" s="164">
        <f t="shared" si="14"/>
        <v>4387.0780555555548</v>
      </c>
    </row>
    <row r="49" spans="3:51" ht="15.75" x14ac:dyDescent="0.25">
      <c r="C49" s="1" t="s">
        <v>950</v>
      </c>
      <c r="D49" s="1"/>
      <c r="E49" s="1" t="s">
        <v>1018</v>
      </c>
      <c r="F49" s="1" t="s">
        <v>1019</v>
      </c>
      <c r="G49" s="1" t="s">
        <v>1020</v>
      </c>
      <c r="H49" s="1">
        <v>10</v>
      </c>
      <c r="I49" s="159">
        <v>30300</v>
      </c>
      <c r="J49" s="159">
        <v>3030</v>
      </c>
      <c r="K49" s="159">
        <v>4500</v>
      </c>
      <c r="L49" s="159">
        <v>2200</v>
      </c>
      <c r="M49" s="159">
        <v>0</v>
      </c>
      <c r="N49" s="159">
        <v>0</v>
      </c>
      <c r="O49" s="159">
        <v>2</v>
      </c>
      <c r="P49" s="159">
        <v>2</v>
      </c>
      <c r="Q49" s="159">
        <v>150</v>
      </c>
      <c r="R49" s="159">
        <v>0</v>
      </c>
      <c r="S49" s="162"/>
      <c r="T49" s="161">
        <v>1</v>
      </c>
      <c r="U49" s="161">
        <v>0</v>
      </c>
      <c r="V49" s="161">
        <v>0.5</v>
      </c>
      <c r="W49" s="162"/>
      <c r="X49" s="161">
        <v>0.02</v>
      </c>
      <c r="Y49" s="162"/>
      <c r="Z49" s="163">
        <f t="shared" si="0"/>
        <v>3000</v>
      </c>
      <c r="AA49" s="163">
        <f t="shared" si="1"/>
        <v>500</v>
      </c>
      <c r="AB49" s="163">
        <v>650</v>
      </c>
      <c r="AC49" s="163">
        <v>2500</v>
      </c>
      <c r="AD49" s="162"/>
      <c r="AE49" s="161">
        <v>0</v>
      </c>
      <c r="AF49" s="162"/>
      <c r="AG49" s="161">
        <v>300</v>
      </c>
      <c r="AH49" s="161">
        <v>2000</v>
      </c>
      <c r="AI49" s="162"/>
      <c r="AJ49" s="163">
        <f t="shared" si="2"/>
        <v>3030</v>
      </c>
      <c r="AK49" s="163">
        <f t="shared" si="3"/>
        <v>0</v>
      </c>
      <c r="AL49" s="163">
        <f t="shared" si="4"/>
        <v>505</v>
      </c>
      <c r="AM49" s="163">
        <f t="shared" si="5"/>
        <v>150</v>
      </c>
      <c r="AN49" s="163">
        <f t="shared" si="6"/>
        <v>126.25</v>
      </c>
      <c r="AO49" s="163">
        <f t="shared" si="7"/>
        <v>0</v>
      </c>
      <c r="AP49" s="163">
        <f t="shared" si="8"/>
        <v>63.125</v>
      </c>
      <c r="AQ49" s="163">
        <f t="shared" si="9"/>
        <v>70.7</v>
      </c>
      <c r="AR49" s="163">
        <f t="shared" si="10"/>
        <v>125</v>
      </c>
      <c r="AS49" s="163">
        <f t="shared" si="11"/>
        <v>41.666666666666664</v>
      </c>
      <c r="AT49" s="163">
        <f t="shared" si="11"/>
        <v>54.166666666666664</v>
      </c>
      <c r="AU49" s="163">
        <f t="shared" si="11"/>
        <v>208.33333333333334</v>
      </c>
      <c r="AV49" s="163">
        <f t="shared" si="12"/>
        <v>0</v>
      </c>
      <c r="AW49" s="163">
        <f t="shared" si="13"/>
        <v>8.3333333333333339</v>
      </c>
      <c r="AX49" s="163">
        <f t="shared" si="13"/>
        <v>55.555555555555557</v>
      </c>
      <c r="AY49" s="164">
        <f t="shared" si="14"/>
        <v>4438.1305555555555</v>
      </c>
    </row>
    <row r="50" spans="3:51" ht="15.75" x14ac:dyDescent="0.25">
      <c r="C50" s="1" t="s">
        <v>950</v>
      </c>
      <c r="D50" s="1"/>
      <c r="E50" s="1" t="s">
        <v>263</v>
      </c>
      <c r="F50" s="1" t="s">
        <v>263</v>
      </c>
      <c r="G50" s="1" t="s">
        <v>1021</v>
      </c>
      <c r="H50" s="1">
        <v>3</v>
      </c>
      <c r="I50" s="159">
        <v>12364</v>
      </c>
      <c r="J50" s="159">
        <v>4121.333333333333</v>
      </c>
      <c r="K50" s="159">
        <v>6064</v>
      </c>
      <c r="L50" s="159">
        <v>2900</v>
      </c>
      <c r="M50" s="159">
        <v>0</v>
      </c>
      <c r="N50" s="159">
        <v>0</v>
      </c>
      <c r="O50" s="159">
        <v>2</v>
      </c>
      <c r="P50" s="159">
        <v>2</v>
      </c>
      <c r="Q50" s="159">
        <v>0</v>
      </c>
      <c r="R50" s="159">
        <v>0</v>
      </c>
      <c r="S50" s="162"/>
      <c r="T50" s="161">
        <v>1</v>
      </c>
      <c r="U50" s="161">
        <v>0</v>
      </c>
      <c r="V50" s="161">
        <v>0.5</v>
      </c>
      <c r="W50" s="162"/>
      <c r="X50" s="161">
        <v>0.02</v>
      </c>
      <c r="Y50" s="162"/>
      <c r="Z50" s="163">
        <f t="shared" si="0"/>
        <v>3000</v>
      </c>
      <c r="AA50" s="163">
        <f t="shared" si="1"/>
        <v>500</v>
      </c>
      <c r="AB50" s="163">
        <v>650</v>
      </c>
      <c r="AC50" s="163">
        <v>2500</v>
      </c>
      <c r="AD50" s="162"/>
      <c r="AE50" s="161">
        <v>0</v>
      </c>
      <c r="AF50" s="162"/>
      <c r="AG50" s="161">
        <v>300</v>
      </c>
      <c r="AH50" s="161">
        <v>2000</v>
      </c>
      <c r="AI50" s="162"/>
      <c r="AJ50" s="163">
        <f t="shared" si="2"/>
        <v>4121.333333333333</v>
      </c>
      <c r="AK50" s="163">
        <f t="shared" si="3"/>
        <v>0</v>
      </c>
      <c r="AL50" s="163">
        <f t="shared" si="4"/>
        <v>686.8888888888888</v>
      </c>
      <c r="AM50" s="163">
        <f t="shared" si="5"/>
        <v>0</v>
      </c>
      <c r="AN50" s="163">
        <f t="shared" si="6"/>
        <v>171.7222222222222</v>
      </c>
      <c r="AO50" s="163">
        <f t="shared" si="7"/>
        <v>0</v>
      </c>
      <c r="AP50" s="163">
        <f t="shared" si="8"/>
        <v>85.8611111111111</v>
      </c>
      <c r="AQ50" s="163">
        <f t="shared" si="9"/>
        <v>96.164444444444442</v>
      </c>
      <c r="AR50" s="163">
        <f t="shared" si="10"/>
        <v>125</v>
      </c>
      <c r="AS50" s="163">
        <f t="shared" si="11"/>
        <v>41.666666666666664</v>
      </c>
      <c r="AT50" s="163">
        <f t="shared" si="11"/>
        <v>54.166666666666664</v>
      </c>
      <c r="AU50" s="163">
        <f t="shared" si="11"/>
        <v>208.33333333333334</v>
      </c>
      <c r="AV50" s="163">
        <f t="shared" si="12"/>
        <v>0</v>
      </c>
      <c r="AW50" s="163">
        <f t="shared" si="13"/>
        <v>8.3333333333333339</v>
      </c>
      <c r="AX50" s="163">
        <f t="shared" si="13"/>
        <v>55.555555555555557</v>
      </c>
      <c r="AY50" s="164">
        <f t="shared" si="14"/>
        <v>5655.0255555555559</v>
      </c>
    </row>
    <row r="51" spans="3:51" ht="15.75" x14ac:dyDescent="0.25">
      <c r="C51" s="1" t="s">
        <v>950</v>
      </c>
      <c r="D51" s="1"/>
      <c r="E51" s="1" t="s">
        <v>1018</v>
      </c>
      <c r="F51" s="1" t="s">
        <v>1022</v>
      </c>
      <c r="G51" s="1" t="s">
        <v>1023</v>
      </c>
      <c r="H51" s="1">
        <v>25</v>
      </c>
      <c r="I51" s="159">
        <v>74415</v>
      </c>
      <c r="J51" s="159">
        <v>2976.6</v>
      </c>
      <c r="K51" s="159">
        <v>4500</v>
      </c>
      <c r="L51" s="159">
        <v>2000</v>
      </c>
      <c r="M51" s="159">
        <v>0</v>
      </c>
      <c r="N51" s="159">
        <v>0</v>
      </c>
      <c r="O51" s="159">
        <v>0</v>
      </c>
      <c r="P51" s="159">
        <v>0</v>
      </c>
      <c r="Q51" s="159">
        <v>150</v>
      </c>
      <c r="R51" s="159">
        <v>0</v>
      </c>
      <c r="S51" s="162"/>
      <c r="T51" s="161">
        <v>1</v>
      </c>
      <c r="U51" s="161">
        <v>0</v>
      </c>
      <c r="V51" s="161">
        <v>0.5</v>
      </c>
      <c r="W51" s="162"/>
      <c r="X51" s="161">
        <v>0.02</v>
      </c>
      <c r="Y51" s="162"/>
      <c r="Z51" s="163">
        <f t="shared" si="0"/>
        <v>3000</v>
      </c>
      <c r="AA51" s="163">
        <f t="shared" si="1"/>
        <v>500</v>
      </c>
      <c r="AB51" s="163">
        <v>650</v>
      </c>
      <c r="AC51" s="163">
        <v>2500</v>
      </c>
      <c r="AD51" s="162"/>
      <c r="AE51" s="161">
        <v>0</v>
      </c>
      <c r="AF51" s="162"/>
      <c r="AG51" s="161">
        <v>300</v>
      </c>
      <c r="AH51" s="161">
        <v>2000</v>
      </c>
      <c r="AI51" s="162"/>
      <c r="AJ51" s="163">
        <f t="shared" si="2"/>
        <v>2976.6</v>
      </c>
      <c r="AK51" s="163">
        <f t="shared" si="3"/>
        <v>0</v>
      </c>
      <c r="AL51" s="163">
        <f t="shared" si="4"/>
        <v>0</v>
      </c>
      <c r="AM51" s="163">
        <f t="shared" si="5"/>
        <v>150</v>
      </c>
      <c r="AN51" s="163">
        <f t="shared" si="6"/>
        <v>124.02499999999999</v>
      </c>
      <c r="AO51" s="163">
        <f t="shared" si="7"/>
        <v>0</v>
      </c>
      <c r="AP51" s="163">
        <f t="shared" si="8"/>
        <v>62.012499999999996</v>
      </c>
      <c r="AQ51" s="163">
        <f t="shared" si="9"/>
        <v>59.531999999999996</v>
      </c>
      <c r="AR51" s="163">
        <f t="shared" si="10"/>
        <v>125</v>
      </c>
      <c r="AS51" s="163">
        <f t="shared" si="11"/>
        <v>41.666666666666664</v>
      </c>
      <c r="AT51" s="163">
        <f t="shared" si="11"/>
        <v>54.166666666666664</v>
      </c>
      <c r="AU51" s="163">
        <f t="shared" si="11"/>
        <v>208.33333333333334</v>
      </c>
      <c r="AV51" s="163">
        <f t="shared" si="12"/>
        <v>0</v>
      </c>
      <c r="AW51" s="163">
        <f t="shared" si="13"/>
        <v>8.3333333333333339</v>
      </c>
      <c r="AX51" s="163">
        <f t="shared" si="13"/>
        <v>55.555555555555557</v>
      </c>
      <c r="AY51" s="164">
        <f t="shared" si="14"/>
        <v>3865.2250555555556</v>
      </c>
    </row>
    <row r="52" spans="3:51" ht="15.75" x14ac:dyDescent="0.25">
      <c r="C52" s="1" t="s">
        <v>950</v>
      </c>
      <c r="D52" s="1"/>
      <c r="E52" s="1" t="s">
        <v>1024</v>
      </c>
      <c r="F52" s="1" t="s">
        <v>1024</v>
      </c>
      <c r="G52" s="1" t="s">
        <v>1025</v>
      </c>
      <c r="H52" s="1">
        <v>41</v>
      </c>
      <c r="I52" s="159">
        <v>143699</v>
      </c>
      <c r="J52" s="159">
        <v>3504.8536585365855</v>
      </c>
      <c r="K52" s="159">
        <v>6500</v>
      </c>
      <c r="L52" s="159">
        <v>1700</v>
      </c>
      <c r="M52" s="159">
        <v>0</v>
      </c>
      <c r="N52" s="159">
        <v>0</v>
      </c>
      <c r="O52" s="159">
        <v>3</v>
      </c>
      <c r="P52" s="159">
        <v>3</v>
      </c>
      <c r="Q52" s="159">
        <v>150</v>
      </c>
      <c r="R52" s="159">
        <v>0</v>
      </c>
      <c r="S52" s="162"/>
      <c r="T52" s="161">
        <v>1</v>
      </c>
      <c r="U52" s="161">
        <v>0</v>
      </c>
      <c r="V52" s="161">
        <v>0.5</v>
      </c>
      <c r="W52" s="162"/>
      <c r="X52" s="161">
        <v>0.02</v>
      </c>
      <c r="Y52" s="162"/>
      <c r="Z52" s="163">
        <f t="shared" si="0"/>
        <v>3000</v>
      </c>
      <c r="AA52" s="163">
        <f t="shared" si="1"/>
        <v>500</v>
      </c>
      <c r="AB52" s="163">
        <v>650</v>
      </c>
      <c r="AC52" s="163">
        <v>2500</v>
      </c>
      <c r="AD52" s="162"/>
      <c r="AE52" s="161">
        <v>0</v>
      </c>
      <c r="AF52" s="162"/>
      <c r="AG52" s="161">
        <v>300</v>
      </c>
      <c r="AH52" s="161">
        <v>2000</v>
      </c>
      <c r="AI52" s="162"/>
      <c r="AJ52" s="163">
        <f t="shared" si="2"/>
        <v>3504.8536585365855</v>
      </c>
      <c r="AK52" s="163">
        <f t="shared" si="3"/>
        <v>0</v>
      </c>
      <c r="AL52" s="163">
        <f t="shared" si="4"/>
        <v>876.21341463414637</v>
      </c>
      <c r="AM52" s="163">
        <f t="shared" si="5"/>
        <v>150</v>
      </c>
      <c r="AN52" s="163">
        <f t="shared" si="6"/>
        <v>146.03556910569105</v>
      </c>
      <c r="AO52" s="163">
        <f t="shared" si="7"/>
        <v>0</v>
      </c>
      <c r="AP52" s="163">
        <f t="shared" si="8"/>
        <v>73.017784552845526</v>
      </c>
      <c r="AQ52" s="163">
        <f t="shared" si="9"/>
        <v>87.621341463414652</v>
      </c>
      <c r="AR52" s="163">
        <f t="shared" si="10"/>
        <v>125</v>
      </c>
      <c r="AS52" s="163">
        <f t="shared" si="11"/>
        <v>41.666666666666664</v>
      </c>
      <c r="AT52" s="163">
        <f t="shared" si="11"/>
        <v>54.166666666666664</v>
      </c>
      <c r="AU52" s="163">
        <f t="shared" si="11"/>
        <v>208.33333333333334</v>
      </c>
      <c r="AV52" s="163">
        <f t="shared" si="12"/>
        <v>0</v>
      </c>
      <c r="AW52" s="163">
        <f t="shared" si="13"/>
        <v>8.3333333333333339</v>
      </c>
      <c r="AX52" s="163">
        <f t="shared" si="13"/>
        <v>55.555555555555557</v>
      </c>
      <c r="AY52" s="164">
        <f t="shared" si="14"/>
        <v>5330.7973238482391</v>
      </c>
    </row>
    <row r="53" spans="3:51" ht="15.75" x14ac:dyDescent="0.25">
      <c r="C53" s="1" t="s">
        <v>950</v>
      </c>
      <c r="D53" s="1"/>
      <c r="E53" s="1" t="s">
        <v>951</v>
      </c>
      <c r="F53" s="1" t="s">
        <v>1026</v>
      </c>
      <c r="G53" s="1" t="s">
        <v>1027</v>
      </c>
      <c r="H53" s="1">
        <v>1</v>
      </c>
      <c r="I53" s="159">
        <v>4020</v>
      </c>
      <c r="J53" s="159">
        <v>4020</v>
      </c>
      <c r="K53" s="159">
        <v>4020</v>
      </c>
      <c r="L53" s="159">
        <v>4020</v>
      </c>
      <c r="M53" s="159">
        <v>0</v>
      </c>
      <c r="N53" s="159">
        <v>0</v>
      </c>
      <c r="O53" s="159">
        <v>0</v>
      </c>
      <c r="P53" s="159">
        <v>0</v>
      </c>
      <c r="Q53" s="159">
        <v>300</v>
      </c>
      <c r="R53" s="159">
        <v>300</v>
      </c>
      <c r="S53" s="162"/>
      <c r="T53" s="161">
        <v>1</v>
      </c>
      <c r="U53" s="161">
        <v>0</v>
      </c>
      <c r="V53" s="161">
        <v>0.5</v>
      </c>
      <c r="W53" s="162"/>
      <c r="X53" s="161">
        <v>0.02</v>
      </c>
      <c r="Y53" s="162"/>
      <c r="Z53" s="163">
        <f t="shared" si="0"/>
        <v>3000</v>
      </c>
      <c r="AA53" s="163">
        <f t="shared" si="1"/>
        <v>500</v>
      </c>
      <c r="AB53" s="163">
        <v>650</v>
      </c>
      <c r="AC53" s="163">
        <v>2500</v>
      </c>
      <c r="AD53" s="162"/>
      <c r="AE53" s="161">
        <v>0</v>
      </c>
      <c r="AF53" s="162"/>
      <c r="AG53" s="161">
        <v>300</v>
      </c>
      <c r="AH53" s="161">
        <v>2000</v>
      </c>
      <c r="AI53" s="162"/>
      <c r="AJ53" s="163">
        <f t="shared" si="2"/>
        <v>4020</v>
      </c>
      <c r="AK53" s="163">
        <f t="shared" si="3"/>
        <v>0</v>
      </c>
      <c r="AL53" s="163">
        <f t="shared" si="4"/>
        <v>0</v>
      </c>
      <c r="AM53" s="163">
        <f t="shared" si="5"/>
        <v>300</v>
      </c>
      <c r="AN53" s="163">
        <f t="shared" si="6"/>
        <v>167.5</v>
      </c>
      <c r="AO53" s="163">
        <f t="shared" si="7"/>
        <v>0</v>
      </c>
      <c r="AP53" s="163">
        <f t="shared" si="8"/>
        <v>83.75</v>
      </c>
      <c r="AQ53" s="163">
        <f t="shared" si="9"/>
        <v>80.400000000000006</v>
      </c>
      <c r="AR53" s="163">
        <f t="shared" si="10"/>
        <v>125</v>
      </c>
      <c r="AS53" s="163">
        <f t="shared" si="11"/>
        <v>41.666666666666664</v>
      </c>
      <c r="AT53" s="163">
        <f t="shared" si="11"/>
        <v>54.166666666666664</v>
      </c>
      <c r="AU53" s="163">
        <f t="shared" si="11"/>
        <v>208.33333333333334</v>
      </c>
      <c r="AV53" s="163">
        <f t="shared" si="12"/>
        <v>0</v>
      </c>
      <c r="AW53" s="163">
        <f t="shared" si="13"/>
        <v>8.3333333333333339</v>
      </c>
      <c r="AX53" s="163">
        <f t="shared" si="13"/>
        <v>55.555555555555557</v>
      </c>
      <c r="AY53" s="164">
        <f t="shared" si="14"/>
        <v>5144.7055555555553</v>
      </c>
    </row>
    <row r="54" spans="3:51" ht="15.75" x14ac:dyDescent="0.25">
      <c r="C54" s="1" t="s">
        <v>950</v>
      </c>
      <c r="D54" s="1"/>
      <c r="E54" s="1" t="s">
        <v>968</v>
      </c>
      <c r="F54" s="1" t="s">
        <v>1028</v>
      </c>
      <c r="G54" s="1" t="s">
        <v>1029</v>
      </c>
      <c r="H54" s="1">
        <v>7</v>
      </c>
      <c r="I54" s="159">
        <v>20240</v>
      </c>
      <c r="J54" s="159">
        <v>2891.4285714285716</v>
      </c>
      <c r="K54" s="159">
        <v>3500</v>
      </c>
      <c r="L54" s="159">
        <v>2000</v>
      </c>
      <c r="M54" s="159">
        <v>0</v>
      </c>
      <c r="N54" s="159">
        <v>0</v>
      </c>
      <c r="O54" s="159">
        <v>2</v>
      </c>
      <c r="P54" s="159">
        <v>2</v>
      </c>
      <c r="Q54" s="159">
        <v>150</v>
      </c>
      <c r="R54" s="159">
        <v>0</v>
      </c>
      <c r="S54" s="162"/>
      <c r="T54" s="161">
        <v>1</v>
      </c>
      <c r="U54" s="161">
        <v>0</v>
      </c>
      <c r="V54" s="161">
        <v>0.5</v>
      </c>
      <c r="W54" s="162"/>
      <c r="X54" s="161">
        <v>0.02</v>
      </c>
      <c r="Y54" s="162"/>
      <c r="Z54" s="163">
        <f t="shared" si="0"/>
        <v>3000</v>
      </c>
      <c r="AA54" s="163">
        <f t="shared" si="1"/>
        <v>500</v>
      </c>
      <c r="AB54" s="163">
        <v>650</v>
      </c>
      <c r="AC54" s="163">
        <v>2500</v>
      </c>
      <c r="AD54" s="162"/>
      <c r="AE54" s="161">
        <v>0</v>
      </c>
      <c r="AF54" s="162"/>
      <c r="AG54" s="161">
        <v>300</v>
      </c>
      <c r="AH54" s="161">
        <v>2000</v>
      </c>
      <c r="AI54" s="162"/>
      <c r="AJ54" s="163">
        <f t="shared" si="2"/>
        <v>2891.4285714285716</v>
      </c>
      <c r="AK54" s="163">
        <f t="shared" si="3"/>
        <v>0</v>
      </c>
      <c r="AL54" s="163">
        <f t="shared" si="4"/>
        <v>481.90476190476193</v>
      </c>
      <c r="AM54" s="163">
        <f t="shared" si="5"/>
        <v>150</v>
      </c>
      <c r="AN54" s="163">
        <f t="shared" si="6"/>
        <v>120.47619047619048</v>
      </c>
      <c r="AO54" s="163">
        <f t="shared" si="7"/>
        <v>0</v>
      </c>
      <c r="AP54" s="163">
        <f t="shared" si="8"/>
        <v>60.238095238095241</v>
      </c>
      <c r="AQ54" s="163">
        <f t="shared" si="9"/>
        <v>67.466666666666669</v>
      </c>
      <c r="AR54" s="163">
        <f t="shared" si="10"/>
        <v>125</v>
      </c>
      <c r="AS54" s="163">
        <f t="shared" si="11"/>
        <v>41.666666666666664</v>
      </c>
      <c r="AT54" s="163">
        <f t="shared" si="11"/>
        <v>54.166666666666664</v>
      </c>
      <c r="AU54" s="163">
        <f t="shared" si="11"/>
        <v>208.33333333333334</v>
      </c>
      <c r="AV54" s="163">
        <f t="shared" si="12"/>
        <v>0</v>
      </c>
      <c r="AW54" s="163">
        <f t="shared" si="13"/>
        <v>8.3333333333333339</v>
      </c>
      <c r="AX54" s="163">
        <f t="shared" si="13"/>
        <v>55.555555555555557</v>
      </c>
      <c r="AY54" s="164">
        <f t="shared" si="14"/>
        <v>4264.5698412698412</v>
      </c>
    </row>
    <row r="55" spans="3:51" ht="15.75" x14ac:dyDescent="0.25">
      <c r="C55" s="1" t="s">
        <v>950</v>
      </c>
      <c r="D55" s="1"/>
      <c r="E55" s="1" t="s">
        <v>1030</v>
      </c>
      <c r="F55" s="1" t="s">
        <v>1030</v>
      </c>
      <c r="G55" s="1" t="s">
        <v>1031</v>
      </c>
      <c r="H55" s="1">
        <v>1</v>
      </c>
      <c r="I55" s="159">
        <v>3000</v>
      </c>
      <c r="J55" s="159">
        <v>3000</v>
      </c>
      <c r="K55" s="159">
        <v>3000</v>
      </c>
      <c r="L55" s="159">
        <v>3000</v>
      </c>
      <c r="M55" s="159">
        <v>0</v>
      </c>
      <c r="N55" s="159">
        <v>0</v>
      </c>
      <c r="O55" s="159">
        <v>0</v>
      </c>
      <c r="P55" s="159">
        <v>0</v>
      </c>
      <c r="Q55" s="159">
        <v>0</v>
      </c>
      <c r="R55" s="159">
        <v>0</v>
      </c>
      <c r="S55" s="162"/>
      <c r="T55" s="161">
        <v>1</v>
      </c>
      <c r="U55" s="161">
        <v>0</v>
      </c>
      <c r="V55" s="161">
        <v>0.5</v>
      </c>
      <c r="W55" s="162"/>
      <c r="X55" s="161">
        <v>0.02</v>
      </c>
      <c r="Y55" s="162"/>
      <c r="Z55" s="163">
        <f t="shared" si="0"/>
        <v>3000</v>
      </c>
      <c r="AA55" s="163">
        <f t="shared" si="1"/>
        <v>500</v>
      </c>
      <c r="AB55" s="163">
        <v>650</v>
      </c>
      <c r="AC55" s="163">
        <v>2500</v>
      </c>
      <c r="AD55" s="162"/>
      <c r="AE55" s="161">
        <v>0</v>
      </c>
      <c r="AF55" s="162"/>
      <c r="AG55" s="161">
        <v>300</v>
      </c>
      <c r="AH55" s="161">
        <v>2000</v>
      </c>
      <c r="AI55" s="162"/>
      <c r="AJ55" s="163">
        <f t="shared" si="2"/>
        <v>3000</v>
      </c>
      <c r="AK55" s="163">
        <f t="shared" si="3"/>
        <v>0</v>
      </c>
      <c r="AL55" s="163">
        <f t="shared" si="4"/>
        <v>0</v>
      </c>
      <c r="AM55" s="163">
        <f t="shared" si="5"/>
        <v>0</v>
      </c>
      <c r="AN55" s="163">
        <f t="shared" si="6"/>
        <v>125</v>
      </c>
      <c r="AO55" s="163">
        <f t="shared" si="7"/>
        <v>0</v>
      </c>
      <c r="AP55" s="163">
        <f t="shared" si="8"/>
        <v>62.5</v>
      </c>
      <c r="AQ55" s="163">
        <f t="shared" si="9"/>
        <v>60</v>
      </c>
      <c r="AR55" s="163">
        <f t="shared" si="10"/>
        <v>125</v>
      </c>
      <c r="AS55" s="163">
        <f t="shared" si="11"/>
        <v>41.666666666666664</v>
      </c>
      <c r="AT55" s="163">
        <f t="shared" si="11"/>
        <v>54.166666666666664</v>
      </c>
      <c r="AU55" s="163">
        <f t="shared" si="11"/>
        <v>208.33333333333334</v>
      </c>
      <c r="AV55" s="163">
        <f t="shared" si="12"/>
        <v>0</v>
      </c>
      <c r="AW55" s="163">
        <f t="shared" si="13"/>
        <v>8.3333333333333339</v>
      </c>
      <c r="AX55" s="163">
        <f t="shared" si="13"/>
        <v>55.555555555555557</v>
      </c>
      <c r="AY55" s="164">
        <f t="shared" si="14"/>
        <v>3740.5555555555557</v>
      </c>
    </row>
    <row r="56" spans="3:51" ht="15.75" x14ac:dyDescent="0.25">
      <c r="C56" s="1" t="s">
        <v>950</v>
      </c>
      <c r="D56" s="1"/>
      <c r="E56" s="1" t="s">
        <v>1030</v>
      </c>
      <c r="F56" s="1" t="s">
        <v>1030</v>
      </c>
      <c r="G56" s="1" t="s">
        <v>1032</v>
      </c>
      <c r="H56" s="1">
        <v>3</v>
      </c>
      <c r="I56" s="159">
        <v>6600</v>
      </c>
      <c r="J56" s="159">
        <v>2200</v>
      </c>
      <c r="K56" s="159">
        <v>3500</v>
      </c>
      <c r="L56" s="159">
        <v>1400</v>
      </c>
      <c r="M56" s="159">
        <v>0</v>
      </c>
      <c r="N56" s="159">
        <v>0</v>
      </c>
      <c r="O56" s="159">
        <v>0</v>
      </c>
      <c r="P56" s="159">
        <v>0</v>
      </c>
      <c r="Q56" s="159">
        <v>150</v>
      </c>
      <c r="R56" s="159">
        <v>0</v>
      </c>
      <c r="S56" s="162"/>
      <c r="T56" s="161">
        <v>1</v>
      </c>
      <c r="U56" s="161">
        <v>0</v>
      </c>
      <c r="V56" s="161">
        <v>0.5</v>
      </c>
      <c r="W56" s="162"/>
      <c r="X56" s="161">
        <v>0.02</v>
      </c>
      <c r="Y56" s="162"/>
      <c r="Z56" s="163">
        <f t="shared" si="0"/>
        <v>3000</v>
      </c>
      <c r="AA56" s="163">
        <f t="shared" si="1"/>
        <v>500</v>
      </c>
      <c r="AB56" s="163">
        <v>650</v>
      </c>
      <c r="AC56" s="163">
        <v>2500</v>
      </c>
      <c r="AD56" s="162"/>
      <c r="AE56" s="161">
        <v>0</v>
      </c>
      <c r="AF56" s="162"/>
      <c r="AG56" s="161">
        <v>300</v>
      </c>
      <c r="AH56" s="161">
        <v>2000</v>
      </c>
      <c r="AI56" s="162"/>
      <c r="AJ56" s="163">
        <f t="shared" si="2"/>
        <v>2200</v>
      </c>
      <c r="AK56" s="163">
        <f t="shared" si="3"/>
        <v>0</v>
      </c>
      <c r="AL56" s="163">
        <f t="shared" si="4"/>
        <v>0</v>
      </c>
      <c r="AM56" s="163">
        <f t="shared" si="5"/>
        <v>150</v>
      </c>
      <c r="AN56" s="163">
        <f t="shared" si="6"/>
        <v>91.666666666666671</v>
      </c>
      <c r="AO56" s="163">
        <f t="shared" si="7"/>
        <v>0</v>
      </c>
      <c r="AP56" s="163">
        <f t="shared" si="8"/>
        <v>45.833333333333336</v>
      </c>
      <c r="AQ56" s="163">
        <f t="shared" si="9"/>
        <v>44</v>
      </c>
      <c r="AR56" s="163">
        <f t="shared" si="10"/>
        <v>125</v>
      </c>
      <c r="AS56" s="163">
        <f t="shared" si="11"/>
        <v>41.666666666666664</v>
      </c>
      <c r="AT56" s="163">
        <f t="shared" si="11"/>
        <v>54.166666666666664</v>
      </c>
      <c r="AU56" s="163">
        <f t="shared" si="11"/>
        <v>208.33333333333334</v>
      </c>
      <c r="AV56" s="163">
        <f t="shared" si="12"/>
        <v>0</v>
      </c>
      <c r="AW56" s="163">
        <f t="shared" si="13"/>
        <v>8.3333333333333339</v>
      </c>
      <c r="AX56" s="163">
        <f t="shared" si="13"/>
        <v>55.555555555555557</v>
      </c>
      <c r="AY56" s="164">
        <f t="shared" si="14"/>
        <v>3024.5555555555557</v>
      </c>
    </row>
    <row r="57" spans="3:51" ht="15.75" x14ac:dyDescent="0.25">
      <c r="C57" s="1" t="s">
        <v>950</v>
      </c>
      <c r="D57" s="1"/>
      <c r="E57" s="1" t="s">
        <v>1033</v>
      </c>
      <c r="F57" s="1" t="s">
        <v>1033</v>
      </c>
      <c r="G57" s="1" t="s">
        <v>1034</v>
      </c>
      <c r="H57" s="1">
        <v>10</v>
      </c>
      <c r="I57" s="159">
        <v>10700</v>
      </c>
      <c r="J57" s="159">
        <v>1070</v>
      </c>
      <c r="K57" s="159">
        <v>2000</v>
      </c>
      <c r="L57" s="159">
        <v>800</v>
      </c>
      <c r="M57" s="159">
        <v>0</v>
      </c>
      <c r="N57" s="159">
        <v>0</v>
      </c>
      <c r="O57" s="159">
        <v>0</v>
      </c>
      <c r="P57" s="159">
        <v>0</v>
      </c>
      <c r="Q57" s="159">
        <v>150</v>
      </c>
      <c r="R57" s="159">
        <v>150</v>
      </c>
      <c r="S57" s="162"/>
      <c r="T57" s="161">
        <v>1</v>
      </c>
      <c r="U57" s="161">
        <v>0</v>
      </c>
      <c r="V57" s="161">
        <v>0.5</v>
      </c>
      <c r="W57" s="162"/>
      <c r="X57" s="161">
        <v>0.02</v>
      </c>
      <c r="Y57" s="162"/>
      <c r="Z57" s="163">
        <f t="shared" si="0"/>
        <v>3000</v>
      </c>
      <c r="AA57" s="163">
        <f t="shared" si="1"/>
        <v>500</v>
      </c>
      <c r="AB57" s="163">
        <v>650</v>
      </c>
      <c r="AC57" s="163">
        <v>2500</v>
      </c>
      <c r="AD57" s="162"/>
      <c r="AE57" s="161">
        <v>0</v>
      </c>
      <c r="AF57" s="162"/>
      <c r="AG57" s="161">
        <v>300</v>
      </c>
      <c r="AH57" s="161">
        <v>2000</v>
      </c>
      <c r="AI57" s="162"/>
      <c r="AJ57" s="163">
        <f t="shared" si="2"/>
        <v>1070</v>
      </c>
      <c r="AK57" s="163">
        <f t="shared" si="3"/>
        <v>0</v>
      </c>
      <c r="AL57" s="163">
        <f t="shared" si="4"/>
        <v>0</v>
      </c>
      <c r="AM57" s="163">
        <f t="shared" si="5"/>
        <v>150</v>
      </c>
      <c r="AN57" s="163">
        <f t="shared" si="6"/>
        <v>44.583333333333336</v>
      </c>
      <c r="AO57" s="163">
        <f t="shared" si="7"/>
        <v>0</v>
      </c>
      <c r="AP57" s="163">
        <f t="shared" si="8"/>
        <v>22.291666666666668</v>
      </c>
      <c r="AQ57" s="163">
        <f t="shared" si="9"/>
        <v>21.400000000000002</v>
      </c>
      <c r="AR57" s="163">
        <f t="shared" si="10"/>
        <v>125</v>
      </c>
      <c r="AS57" s="163">
        <f t="shared" si="11"/>
        <v>41.666666666666664</v>
      </c>
      <c r="AT57" s="163">
        <f t="shared" si="11"/>
        <v>54.166666666666664</v>
      </c>
      <c r="AU57" s="163">
        <f t="shared" si="11"/>
        <v>208.33333333333334</v>
      </c>
      <c r="AV57" s="163">
        <f t="shared" si="12"/>
        <v>0</v>
      </c>
      <c r="AW57" s="163">
        <f t="shared" si="13"/>
        <v>8.3333333333333339</v>
      </c>
      <c r="AX57" s="163">
        <f t="shared" si="13"/>
        <v>55.555555555555557</v>
      </c>
      <c r="AY57" s="164">
        <f t="shared" si="14"/>
        <v>1801.3305555555557</v>
      </c>
    </row>
    <row r="58" spans="3:51" ht="15.75" x14ac:dyDescent="0.25">
      <c r="C58" s="1" t="s">
        <v>950</v>
      </c>
      <c r="D58" s="1"/>
      <c r="E58" s="1" t="s">
        <v>961</v>
      </c>
      <c r="F58" s="1" t="s">
        <v>725</v>
      </c>
      <c r="G58" s="1" t="s">
        <v>1035</v>
      </c>
      <c r="H58" s="1">
        <v>24</v>
      </c>
      <c r="I58" s="159">
        <v>66020</v>
      </c>
      <c r="J58" s="159">
        <v>2750.8333333333335</v>
      </c>
      <c r="K58" s="159">
        <v>5500</v>
      </c>
      <c r="L58" s="159">
        <v>2000</v>
      </c>
      <c r="M58" s="159">
        <v>400</v>
      </c>
      <c r="N58" s="159">
        <v>0</v>
      </c>
      <c r="O58" s="159">
        <v>2</v>
      </c>
      <c r="P58" s="159">
        <v>2</v>
      </c>
      <c r="Q58" s="159">
        <v>200</v>
      </c>
      <c r="R58" s="159">
        <v>0</v>
      </c>
      <c r="S58" s="162"/>
      <c r="T58" s="161">
        <v>1</v>
      </c>
      <c r="U58" s="161">
        <v>0</v>
      </c>
      <c r="V58" s="161">
        <v>0.5</v>
      </c>
      <c r="W58" s="162"/>
      <c r="X58" s="161">
        <v>0.02</v>
      </c>
      <c r="Y58" s="162"/>
      <c r="Z58" s="163">
        <f t="shared" si="0"/>
        <v>3000</v>
      </c>
      <c r="AA58" s="163">
        <f t="shared" si="1"/>
        <v>500</v>
      </c>
      <c r="AB58" s="163">
        <v>650</v>
      </c>
      <c r="AC58" s="163">
        <v>2500</v>
      </c>
      <c r="AD58" s="162"/>
      <c r="AE58" s="161">
        <v>0</v>
      </c>
      <c r="AF58" s="162"/>
      <c r="AG58" s="161">
        <v>300</v>
      </c>
      <c r="AH58" s="161">
        <v>2000</v>
      </c>
      <c r="AI58" s="162"/>
      <c r="AJ58" s="163">
        <f t="shared" si="2"/>
        <v>2750.8333333333335</v>
      </c>
      <c r="AK58" s="163">
        <f t="shared" si="3"/>
        <v>400</v>
      </c>
      <c r="AL58" s="163">
        <f t="shared" si="4"/>
        <v>458.47222222222223</v>
      </c>
      <c r="AM58" s="163">
        <f t="shared" si="5"/>
        <v>200</v>
      </c>
      <c r="AN58" s="163">
        <f t="shared" si="6"/>
        <v>114.61805555555556</v>
      </c>
      <c r="AO58" s="163">
        <f t="shared" si="7"/>
        <v>0</v>
      </c>
      <c r="AP58" s="163">
        <f t="shared" si="8"/>
        <v>57.309027777777779</v>
      </c>
      <c r="AQ58" s="163">
        <f t="shared" si="9"/>
        <v>64.186111111111117</v>
      </c>
      <c r="AR58" s="163">
        <f t="shared" si="10"/>
        <v>125</v>
      </c>
      <c r="AS58" s="163">
        <f t="shared" si="11"/>
        <v>41.666666666666664</v>
      </c>
      <c r="AT58" s="163">
        <f t="shared" si="11"/>
        <v>54.166666666666664</v>
      </c>
      <c r="AU58" s="163">
        <f t="shared" si="11"/>
        <v>208.33333333333334</v>
      </c>
      <c r="AV58" s="163">
        <f t="shared" si="12"/>
        <v>0</v>
      </c>
      <c r="AW58" s="163">
        <f t="shared" si="13"/>
        <v>8.3333333333333339</v>
      </c>
      <c r="AX58" s="163">
        <f t="shared" si="13"/>
        <v>55.555555555555557</v>
      </c>
      <c r="AY58" s="164">
        <f t="shared" si="14"/>
        <v>4538.4743055555564</v>
      </c>
    </row>
    <row r="59" spans="3:51" ht="15.75" x14ac:dyDescent="0.25">
      <c r="C59" s="1" t="s">
        <v>950</v>
      </c>
      <c r="D59" s="1"/>
      <c r="E59" s="1" t="s">
        <v>951</v>
      </c>
      <c r="F59" s="1" t="s">
        <v>1026</v>
      </c>
      <c r="G59" s="1" t="s">
        <v>1036</v>
      </c>
      <c r="H59" s="1">
        <v>49</v>
      </c>
      <c r="I59" s="159">
        <v>29340</v>
      </c>
      <c r="J59" s="159">
        <v>598.77551020408168</v>
      </c>
      <c r="K59" s="159">
        <v>1100</v>
      </c>
      <c r="L59" s="159">
        <v>500</v>
      </c>
      <c r="M59" s="159">
        <v>0</v>
      </c>
      <c r="N59" s="159">
        <v>0</v>
      </c>
      <c r="O59" s="159">
        <v>0</v>
      </c>
      <c r="P59" s="159">
        <v>0</v>
      </c>
      <c r="Q59" s="159">
        <v>250</v>
      </c>
      <c r="R59" s="159">
        <v>150</v>
      </c>
      <c r="S59" s="162"/>
      <c r="T59" s="161">
        <v>1</v>
      </c>
      <c r="U59" s="161">
        <v>0</v>
      </c>
      <c r="V59" s="161">
        <v>0.5</v>
      </c>
      <c r="W59" s="162"/>
      <c r="X59" s="161">
        <v>0.02</v>
      </c>
      <c r="Y59" s="162"/>
      <c r="Z59" s="163">
        <f t="shared" si="0"/>
        <v>3000</v>
      </c>
      <c r="AA59" s="163">
        <f t="shared" si="1"/>
        <v>500</v>
      </c>
      <c r="AB59" s="163">
        <v>650</v>
      </c>
      <c r="AC59" s="163">
        <v>2500</v>
      </c>
      <c r="AD59" s="162"/>
      <c r="AE59" s="161">
        <v>0</v>
      </c>
      <c r="AF59" s="162"/>
      <c r="AG59" s="161">
        <v>300</v>
      </c>
      <c r="AH59" s="161">
        <v>2000</v>
      </c>
      <c r="AI59" s="162"/>
      <c r="AJ59" s="163">
        <f t="shared" si="2"/>
        <v>598.77551020408168</v>
      </c>
      <c r="AK59" s="163">
        <f t="shared" si="3"/>
        <v>0</v>
      </c>
      <c r="AL59" s="163">
        <f t="shared" si="4"/>
        <v>0</v>
      </c>
      <c r="AM59" s="163">
        <f t="shared" si="5"/>
        <v>250</v>
      </c>
      <c r="AN59" s="163">
        <f t="shared" si="6"/>
        <v>24.948979591836736</v>
      </c>
      <c r="AO59" s="163">
        <f t="shared" si="7"/>
        <v>0</v>
      </c>
      <c r="AP59" s="163">
        <f t="shared" si="8"/>
        <v>12.474489795918368</v>
      </c>
      <c r="AQ59" s="163">
        <f t="shared" si="9"/>
        <v>11.975510204081633</v>
      </c>
      <c r="AR59" s="163">
        <f t="shared" si="10"/>
        <v>125</v>
      </c>
      <c r="AS59" s="163">
        <f t="shared" si="11"/>
        <v>41.666666666666664</v>
      </c>
      <c r="AT59" s="163">
        <f t="shared" si="11"/>
        <v>54.166666666666664</v>
      </c>
      <c r="AU59" s="163">
        <f t="shared" si="11"/>
        <v>208.33333333333334</v>
      </c>
      <c r="AV59" s="163">
        <f t="shared" si="12"/>
        <v>0</v>
      </c>
      <c r="AW59" s="163">
        <f t="shared" si="13"/>
        <v>8.3333333333333339</v>
      </c>
      <c r="AX59" s="163">
        <f t="shared" si="13"/>
        <v>55.555555555555557</v>
      </c>
      <c r="AY59" s="164">
        <f t="shared" si="14"/>
        <v>1391.230045351474</v>
      </c>
    </row>
    <row r="60" spans="3:51" ht="15.75" x14ac:dyDescent="0.25">
      <c r="C60" s="1" t="s">
        <v>950</v>
      </c>
      <c r="D60" s="1"/>
      <c r="E60" s="1" t="s">
        <v>263</v>
      </c>
      <c r="F60" s="1" t="s">
        <v>263</v>
      </c>
      <c r="G60" s="1" t="s">
        <v>810</v>
      </c>
      <c r="H60" s="1">
        <v>1</v>
      </c>
      <c r="I60" s="159">
        <v>1200</v>
      </c>
      <c r="J60" s="159">
        <v>1200</v>
      </c>
      <c r="K60" s="159">
        <v>1200</v>
      </c>
      <c r="L60" s="159">
        <v>1200</v>
      </c>
      <c r="M60" s="159">
        <v>0</v>
      </c>
      <c r="N60" s="159">
        <v>0</v>
      </c>
      <c r="O60" s="159">
        <v>0</v>
      </c>
      <c r="P60" s="159">
        <v>0</v>
      </c>
      <c r="Q60" s="159">
        <v>150</v>
      </c>
      <c r="R60" s="159">
        <v>150</v>
      </c>
      <c r="S60" s="162"/>
      <c r="T60" s="161">
        <v>1</v>
      </c>
      <c r="U60" s="161">
        <v>0</v>
      </c>
      <c r="V60" s="161">
        <v>0.5</v>
      </c>
      <c r="W60" s="162"/>
      <c r="X60" s="161">
        <v>0.02</v>
      </c>
      <c r="Y60" s="162"/>
      <c r="Z60" s="163">
        <f t="shared" si="0"/>
        <v>3000</v>
      </c>
      <c r="AA60" s="163">
        <f t="shared" si="1"/>
        <v>500</v>
      </c>
      <c r="AB60" s="163">
        <v>650</v>
      </c>
      <c r="AC60" s="163">
        <v>2500</v>
      </c>
      <c r="AD60" s="162"/>
      <c r="AE60" s="161">
        <v>0</v>
      </c>
      <c r="AF60" s="162"/>
      <c r="AG60" s="161">
        <v>300</v>
      </c>
      <c r="AH60" s="161">
        <v>2000</v>
      </c>
      <c r="AI60" s="162"/>
      <c r="AJ60" s="163">
        <f t="shared" si="2"/>
        <v>1200</v>
      </c>
      <c r="AK60" s="163">
        <f t="shared" si="3"/>
        <v>0</v>
      </c>
      <c r="AL60" s="163">
        <f t="shared" si="4"/>
        <v>0</v>
      </c>
      <c r="AM60" s="163">
        <f t="shared" si="5"/>
        <v>150</v>
      </c>
      <c r="AN60" s="163">
        <f t="shared" si="6"/>
        <v>50</v>
      </c>
      <c r="AO60" s="163">
        <f t="shared" si="7"/>
        <v>0</v>
      </c>
      <c r="AP60" s="163">
        <f t="shared" si="8"/>
        <v>25</v>
      </c>
      <c r="AQ60" s="163">
        <f t="shared" si="9"/>
        <v>24</v>
      </c>
      <c r="AR60" s="163">
        <f t="shared" si="10"/>
        <v>125</v>
      </c>
      <c r="AS60" s="163">
        <f t="shared" si="11"/>
        <v>41.666666666666664</v>
      </c>
      <c r="AT60" s="163">
        <f t="shared" si="11"/>
        <v>54.166666666666664</v>
      </c>
      <c r="AU60" s="163">
        <f t="shared" si="11"/>
        <v>208.33333333333334</v>
      </c>
      <c r="AV60" s="163">
        <f t="shared" si="12"/>
        <v>0</v>
      </c>
      <c r="AW60" s="163">
        <f t="shared" si="13"/>
        <v>8.3333333333333339</v>
      </c>
      <c r="AX60" s="163">
        <f t="shared" si="13"/>
        <v>55.555555555555557</v>
      </c>
      <c r="AY60" s="164">
        <f t="shared" si="14"/>
        <v>1942.0555555555557</v>
      </c>
    </row>
    <row r="61" spans="3:51" ht="15.75" x14ac:dyDescent="0.25">
      <c r="C61" s="1" t="s">
        <v>950</v>
      </c>
      <c r="D61" s="1"/>
      <c r="E61" s="1" t="s">
        <v>961</v>
      </c>
      <c r="F61" s="1" t="s">
        <v>725</v>
      </c>
      <c r="G61" s="1" t="s">
        <v>1037</v>
      </c>
      <c r="H61" s="1">
        <v>11</v>
      </c>
      <c r="I61" s="159">
        <v>9480</v>
      </c>
      <c r="J61" s="159">
        <v>861.81818181818187</v>
      </c>
      <c r="K61" s="159">
        <v>1000</v>
      </c>
      <c r="L61" s="159">
        <v>800</v>
      </c>
      <c r="M61" s="159">
        <v>0</v>
      </c>
      <c r="N61" s="159">
        <v>0</v>
      </c>
      <c r="O61" s="159">
        <v>0</v>
      </c>
      <c r="P61" s="159">
        <v>0</v>
      </c>
      <c r="Q61" s="159">
        <v>200</v>
      </c>
      <c r="R61" s="159">
        <v>150</v>
      </c>
      <c r="S61" s="162"/>
      <c r="T61" s="161">
        <v>1</v>
      </c>
      <c r="U61" s="161">
        <v>0</v>
      </c>
      <c r="V61" s="161">
        <v>0.5</v>
      </c>
      <c r="W61" s="162"/>
      <c r="X61" s="161">
        <v>0.02</v>
      </c>
      <c r="Y61" s="162"/>
      <c r="Z61" s="163">
        <f t="shared" si="0"/>
        <v>3000</v>
      </c>
      <c r="AA61" s="163">
        <f t="shared" si="1"/>
        <v>500</v>
      </c>
      <c r="AB61" s="163">
        <v>650</v>
      </c>
      <c r="AC61" s="163">
        <v>2500</v>
      </c>
      <c r="AD61" s="162"/>
      <c r="AE61" s="161">
        <v>0</v>
      </c>
      <c r="AF61" s="162"/>
      <c r="AG61" s="161">
        <v>300</v>
      </c>
      <c r="AH61" s="161">
        <v>2000</v>
      </c>
      <c r="AI61" s="162"/>
      <c r="AJ61" s="163">
        <f t="shared" si="2"/>
        <v>861.81818181818187</v>
      </c>
      <c r="AK61" s="163">
        <f t="shared" si="3"/>
        <v>0</v>
      </c>
      <c r="AL61" s="163">
        <f t="shared" si="4"/>
        <v>0</v>
      </c>
      <c r="AM61" s="163">
        <f t="shared" si="5"/>
        <v>200</v>
      </c>
      <c r="AN61" s="163">
        <f t="shared" si="6"/>
        <v>35.909090909090914</v>
      </c>
      <c r="AO61" s="163">
        <f t="shared" si="7"/>
        <v>0</v>
      </c>
      <c r="AP61" s="163">
        <f t="shared" si="8"/>
        <v>17.954545454545457</v>
      </c>
      <c r="AQ61" s="163">
        <f t="shared" si="9"/>
        <v>17.236363636363638</v>
      </c>
      <c r="AR61" s="163">
        <f t="shared" si="10"/>
        <v>125</v>
      </c>
      <c r="AS61" s="163">
        <f t="shared" si="11"/>
        <v>41.666666666666664</v>
      </c>
      <c r="AT61" s="163">
        <f t="shared" si="11"/>
        <v>54.166666666666664</v>
      </c>
      <c r="AU61" s="163">
        <f t="shared" si="11"/>
        <v>208.33333333333334</v>
      </c>
      <c r="AV61" s="163">
        <f t="shared" si="12"/>
        <v>0</v>
      </c>
      <c r="AW61" s="163">
        <f t="shared" si="13"/>
        <v>8.3333333333333339</v>
      </c>
      <c r="AX61" s="163">
        <f t="shared" si="13"/>
        <v>55.555555555555557</v>
      </c>
      <c r="AY61" s="164">
        <f t="shared" si="14"/>
        <v>1625.9737373737378</v>
      </c>
    </row>
    <row r="62" spans="3:51" ht="15.75" x14ac:dyDescent="0.25">
      <c r="C62" s="1" t="s">
        <v>950</v>
      </c>
      <c r="D62" s="1"/>
      <c r="E62" s="1" t="s">
        <v>951</v>
      </c>
      <c r="F62" s="1" t="s">
        <v>980</v>
      </c>
      <c r="G62" s="1" t="s">
        <v>807</v>
      </c>
      <c r="H62" s="1">
        <v>2</v>
      </c>
      <c r="I62" s="159">
        <v>1850</v>
      </c>
      <c r="J62" s="159">
        <v>925</v>
      </c>
      <c r="K62" s="159">
        <v>950</v>
      </c>
      <c r="L62" s="159">
        <v>900</v>
      </c>
      <c r="M62" s="159">
        <v>0</v>
      </c>
      <c r="N62" s="159">
        <v>0</v>
      </c>
      <c r="O62" s="159">
        <v>0</v>
      </c>
      <c r="P62" s="159">
        <v>0</v>
      </c>
      <c r="Q62" s="159">
        <v>150</v>
      </c>
      <c r="R62" s="159">
        <v>150</v>
      </c>
      <c r="S62" s="162"/>
      <c r="T62" s="161">
        <v>1</v>
      </c>
      <c r="U62" s="161">
        <v>0</v>
      </c>
      <c r="V62" s="161">
        <v>0.5</v>
      </c>
      <c r="W62" s="162"/>
      <c r="X62" s="161">
        <v>0.02</v>
      </c>
      <c r="Y62" s="162"/>
      <c r="Z62" s="163">
        <f t="shared" si="0"/>
        <v>3000</v>
      </c>
      <c r="AA62" s="163">
        <f t="shared" si="1"/>
        <v>500</v>
      </c>
      <c r="AB62" s="163">
        <v>650</v>
      </c>
      <c r="AC62" s="163">
        <v>2500</v>
      </c>
      <c r="AD62" s="162"/>
      <c r="AE62" s="161">
        <v>0</v>
      </c>
      <c r="AF62" s="162"/>
      <c r="AG62" s="161">
        <v>300</v>
      </c>
      <c r="AH62" s="161">
        <v>2000</v>
      </c>
      <c r="AI62" s="162"/>
      <c r="AJ62" s="163">
        <f t="shared" si="2"/>
        <v>925</v>
      </c>
      <c r="AK62" s="163">
        <f t="shared" si="3"/>
        <v>0</v>
      </c>
      <c r="AL62" s="163">
        <f t="shared" si="4"/>
        <v>0</v>
      </c>
      <c r="AM62" s="163">
        <f t="shared" si="5"/>
        <v>150</v>
      </c>
      <c r="AN62" s="163">
        <f t="shared" si="6"/>
        <v>38.541666666666664</v>
      </c>
      <c r="AO62" s="163">
        <f t="shared" si="7"/>
        <v>0</v>
      </c>
      <c r="AP62" s="163">
        <f t="shared" si="8"/>
        <v>19.270833333333332</v>
      </c>
      <c r="AQ62" s="163">
        <f t="shared" si="9"/>
        <v>18.5</v>
      </c>
      <c r="AR62" s="163">
        <f t="shared" si="10"/>
        <v>125</v>
      </c>
      <c r="AS62" s="163">
        <f t="shared" si="11"/>
        <v>41.666666666666664</v>
      </c>
      <c r="AT62" s="163">
        <f t="shared" si="11"/>
        <v>54.166666666666664</v>
      </c>
      <c r="AU62" s="163">
        <f t="shared" si="11"/>
        <v>208.33333333333334</v>
      </c>
      <c r="AV62" s="163">
        <f t="shared" si="12"/>
        <v>0</v>
      </c>
      <c r="AW62" s="163">
        <f t="shared" si="13"/>
        <v>8.3333333333333339</v>
      </c>
      <c r="AX62" s="163">
        <f t="shared" si="13"/>
        <v>55.555555555555557</v>
      </c>
      <c r="AY62" s="164">
        <f t="shared" si="14"/>
        <v>1644.3680555555557</v>
      </c>
    </row>
    <row r="63" spans="3:51" ht="15.75" x14ac:dyDescent="0.25">
      <c r="C63" s="1" t="s">
        <v>950</v>
      </c>
      <c r="D63" s="1"/>
      <c r="E63" s="1"/>
      <c r="F63" s="1"/>
      <c r="G63" s="1" t="s">
        <v>559</v>
      </c>
      <c r="H63" s="1">
        <v>34</v>
      </c>
      <c r="I63" s="159">
        <v>30850</v>
      </c>
      <c r="J63" s="159">
        <v>907.35294117647061</v>
      </c>
      <c r="K63" s="159">
        <v>5500</v>
      </c>
      <c r="L63" s="159">
        <v>550</v>
      </c>
      <c r="M63" s="159">
        <v>0</v>
      </c>
      <c r="N63" s="159">
        <v>0</v>
      </c>
      <c r="O63" s="159">
        <v>0</v>
      </c>
      <c r="P63" s="159">
        <v>0</v>
      </c>
      <c r="Q63" s="159">
        <v>250</v>
      </c>
      <c r="R63" s="159">
        <v>0</v>
      </c>
      <c r="S63" s="162"/>
      <c r="T63" s="161">
        <v>1</v>
      </c>
      <c r="U63" s="161">
        <v>0</v>
      </c>
      <c r="V63" s="161">
        <v>0.5</v>
      </c>
      <c r="W63" s="162"/>
      <c r="X63" s="161">
        <v>0.02</v>
      </c>
      <c r="Y63" s="162"/>
      <c r="Z63" s="163">
        <f t="shared" si="0"/>
        <v>3000</v>
      </c>
      <c r="AA63" s="163">
        <f t="shared" si="1"/>
        <v>500</v>
      </c>
      <c r="AB63" s="163">
        <v>650</v>
      </c>
      <c r="AC63" s="163">
        <v>2500</v>
      </c>
      <c r="AD63" s="162"/>
      <c r="AE63" s="161">
        <v>0</v>
      </c>
      <c r="AF63" s="162"/>
      <c r="AG63" s="161">
        <v>300</v>
      </c>
      <c r="AH63" s="161">
        <v>2000</v>
      </c>
      <c r="AI63" s="162"/>
      <c r="AJ63" s="163">
        <f t="shared" si="2"/>
        <v>907.35294117647061</v>
      </c>
      <c r="AK63" s="163">
        <f t="shared" si="3"/>
        <v>0</v>
      </c>
      <c r="AL63" s="163">
        <f t="shared" si="4"/>
        <v>0</v>
      </c>
      <c r="AM63" s="163">
        <f t="shared" si="5"/>
        <v>250</v>
      </c>
      <c r="AN63" s="163">
        <f t="shared" si="6"/>
        <v>37.806372549019606</v>
      </c>
      <c r="AO63" s="163">
        <f t="shared" si="7"/>
        <v>0</v>
      </c>
      <c r="AP63" s="163">
        <f t="shared" si="8"/>
        <v>18.903186274509803</v>
      </c>
      <c r="AQ63" s="163">
        <f t="shared" si="9"/>
        <v>18.147058823529413</v>
      </c>
      <c r="AR63" s="163">
        <f t="shared" si="10"/>
        <v>125</v>
      </c>
      <c r="AS63" s="163">
        <f t="shared" si="11"/>
        <v>41.666666666666664</v>
      </c>
      <c r="AT63" s="163">
        <f t="shared" si="11"/>
        <v>54.166666666666664</v>
      </c>
      <c r="AU63" s="163">
        <f t="shared" si="11"/>
        <v>208.33333333333334</v>
      </c>
      <c r="AV63" s="163">
        <f t="shared" si="12"/>
        <v>0</v>
      </c>
      <c r="AW63" s="163">
        <f t="shared" si="13"/>
        <v>8.3333333333333339</v>
      </c>
      <c r="AX63" s="163">
        <f t="shared" si="13"/>
        <v>55.555555555555557</v>
      </c>
      <c r="AY63" s="164">
        <f t="shared" si="14"/>
        <v>1725.2651143790854</v>
      </c>
    </row>
    <row r="64" spans="3:51" ht="15.75" x14ac:dyDescent="0.25">
      <c r="C64" s="1" t="s">
        <v>950</v>
      </c>
      <c r="D64" s="1"/>
      <c r="E64" s="1" t="s">
        <v>968</v>
      </c>
      <c r="F64" s="1" t="s">
        <v>966</v>
      </c>
      <c r="G64" s="1" t="s">
        <v>1038</v>
      </c>
      <c r="H64" s="1">
        <v>10</v>
      </c>
      <c r="I64" s="159">
        <v>7350</v>
      </c>
      <c r="J64" s="159">
        <v>735</v>
      </c>
      <c r="K64" s="159">
        <v>850</v>
      </c>
      <c r="L64" s="159">
        <v>650</v>
      </c>
      <c r="M64" s="159">
        <v>0</v>
      </c>
      <c r="N64" s="159">
        <v>0</v>
      </c>
      <c r="O64" s="159">
        <v>0</v>
      </c>
      <c r="P64" s="159">
        <v>0</v>
      </c>
      <c r="Q64" s="159">
        <v>150</v>
      </c>
      <c r="R64" s="159">
        <v>150</v>
      </c>
      <c r="S64" s="162"/>
      <c r="T64" s="161">
        <v>1</v>
      </c>
      <c r="U64" s="161">
        <v>0</v>
      </c>
      <c r="V64" s="161">
        <v>0.5</v>
      </c>
      <c r="W64" s="162"/>
      <c r="X64" s="161">
        <v>0.02</v>
      </c>
      <c r="Y64" s="162"/>
      <c r="Z64" s="163">
        <f t="shared" si="0"/>
        <v>3000</v>
      </c>
      <c r="AA64" s="163">
        <f t="shared" si="1"/>
        <v>500</v>
      </c>
      <c r="AB64" s="163">
        <v>650</v>
      </c>
      <c r="AC64" s="163">
        <v>2500</v>
      </c>
      <c r="AD64" s="162"/>
      <c r="AE64" s="161">
        <v>0</v>
      </c>
      <c r="AF64" s="162"/>
      <c r="AG64" s="161">
        <v>300</v>
      </c>
      <c r="AH64" s="161">
        <v>2000</v>
      </c>
      <c r="AI64" s="162"/>
      <c r="AJ64" s="163">
        <f t="shared" si="2"/>
        <v>735</v>
      </c>
      <c r="AK64" s="163">
        <f t="shared" si="3"/>
        <v>0</v>
      </c>
      <c r="AL64" s="163">
        <f t="shared" si="4"/>
        <v>0</v>
      </c>
      <c r="AM64" s="163">
        <f t="shared" si="5"/>
        <v>150</v>
      </c>
      <c r="AN64" s="163">
        <f t="shared" si="6"/>
        <v>30.625</v>
      </c>
      <c r="AO64" s="163">
        <f t="shared" si="7"/>
        <v>0</v>
      </c>
      <c r="AP64" s="163">
        <f t="shared" si="8"/>
        <v>15.3125</v>
      </c>
      <c r="AQ64" s="163">
        <f t="shared" si="9"/>
        <v>14.700000000000001</v>
      </c>
      <c r="AR64" s="163">
        <f t="shared" si="10"/>
        <v>125</v>
      </c>
      <c r="AS64" s="163">
        <f t="shared" si="11"/>
        <v>41.666666666666664</v>
      </c>
      <c r="AT64" s="163">
        <f t="shared" si="11"/>
        <v>54.166666666666664</v>
      </c>
      <c r="AU64" s="163">
        <f t="shared" si="11"/>
        <v>208.33333333333334</v>
      </c>
      <c r="AV64" s="163">
        <f t="shared" si="12"/>
        <v>0</v>
      </c>
      <c r="AW64" s="163">
        <f t="shared" si="13"/>
        <v>8.3333333333333339</v>
      </c>
      <c r="AX64" s="163">
        <f t="shared" si="13"/>
        <v>55.555555555555557</v>
      </c>
      <c r="AY64" s="164">
        <f t="shared" si="14"/>
        <v>1438.6930555555557</v>
      </c>
    </row>
    <row r="65" spans="3:51" ht="15.75" x14ac:dyDescent="0.25">
      <c r="C65" s="1" t="s">
        <v>950</v>
      </c>
      <c r="D65" s="1"/>
      <c r="E65" s="1" t="s">
        <v>990</v>
      </c>
      <c r="F65" s="1" t="s">
        <v>990</v>
      </c>
      <c r="G65" s="1" t="s">
        <v>1039</v>
      </c>
      <c r="H65" s="1">
        <v>9</v>
      </c>
      <c r="I65" s="159">
        <v>7440</v>
      </c>
      <c r="J65" s="159">
        <v>826.66666666666663</v>
      </c>
      <c r="K65" s="159">
        <v>1355</v>
      </c>
      <c r="L65" s="159">
        <v>530</v>
      </c>
      <c r="M65" s="159">
        <v>0</v>
      </c>
      <c r="N65" s="159">
        <v>0</v>
      </c>
      <c r="O65" s="159">
        <v>0</v>
      </c>
      <c r="P65" s="159">
        <v>0</v>
      </c>
      <c r="Q65" s="159">
        <v>250</v>
      </c>
      <c r="R65" s="159">
        <v>0</v>
      </c>
      <c r="S65" s="162"/>
      <c r="T65" s="161">
        <v>1</v>
      </c>
      <c r="U65" s="161">
        <v>0</v>
      </c>
      <c r="V65" s="161">
        <v>0.5</v>
      </c>
      <c r="W65" s="162"/>
      <c r="X65" s="161">
        <v>0.02</v>
      </c>
      <c r="Y65" s="162"/>
      <c r="Z65" s="163">
        <f t="shared" si="0"/>
        <v>3000</v>
      </c>
      <c r="AA65" s="163">
        <f t="shared" si="1"/>
        <v>500</v>
      </c>
      <c r="AB65" s="163">
        <v>650</v>
      </c>
      <c r="AC65" s="163">
        <v>2500</v>
      </c>
      <c r="AD65" s="162"/>
      <c r="AE65" s="161">
        <v>0</v>
      </c>
      <c r="AF65" s="162"/>
      <c r="AG65" s="161">
        <v>300</v>
      </c>
      <c r="AH65" s="161">
        <v>2000</v>
      </c>
      <c r="AI65" s="162"/>
      <c r="AJ65" s="163">
        <f t="shared" si="2"/>
        <v>826.66666666666663</v>
      </c>
      <c r="AK65" s="163">
        <f t="shared" si="3"/>
        <v>0</v>
      </c>
      <c r="AL65" s="163">
        <f t="shared" si="4"/>
        <v>0</v>
      </c>
      <c r="AM65" s="163">
        <f t="shared" si="5"/>
        <v>250</v>
      </c>
      <c r="AN65" s="163">
        <f t="shared" si="6"/>
        <v>34.444444444444443</v>
      </c>
      <c r="AO65" s="163">
        <f t="shared" si="7"/>
        <v>0</v>
      </c>
      <c r="AP65" s="163">
        <f t="shared" si="8"/>
        <v>17.222222222222221</v>
      </c>
      <c r="AQ65" s="163">
        <f t="shared" si="9"/>
        <v>16.533333333333331</v>
      </c>
      <c r="AR65" s="163">
        <f t="shared" si="10"/>
        <v>125</v>
      </c>
      <c r="AS65" s="163">
        <f t="shared" si="11"/>
        <v>41.666666666666664</v>
      </c>
      <c r="AT65" s="163">
        <f t="shared" si="11"/>
        <v>54.166666666666664</v>
      </c>
      <c r="AU65" s="163">
        <f t="shared" si="11"/>
        <v>208.33333333333334</v>
      </c>
      <c r="AV65" s="163">
        <f t="shared" si="12"/>
        <v>0</v>
      </c>
      <c r="AW65" s="163">
        <f t="shared" si="13"/>
        <v>8.3333333333333339</v>
      </c>
      <c r="AX65" s="163">
        <f t="shared" si="13"/>
        <v>55.555555555555557</v>
      </c>
      <c r="AY65" s="164">
        <f t="shared" si="14"/>
        <v>1637.922222222222</v>
      </c>
    </row>
    <row r="66" spans="3:51" ht="15.75" x14ac:dyDescent="0.25">
      <c r="C66" s="1" t="s">
        <v>950</v>
      </c>
      <c r="D66" s="1"/>
      <c r="E66" s="1" t="s">
        <v>986</v>
      </c>
      <c r="F66" s="1" t="s">
        <v>986</v>
      </c>
      <c r="G66" s="1" t="s">
        <v>1040</v>
      </c>
      <c r="H66" s="1">
        <v>1</v>
      </c>
      <c r="I66" s="159">
        <v>1300</v>
      </c>
      <c r="J66" s="159">
        <v>1300</v>
      </c>
      <c r="K66" s="159">
        <v>1300</v>
      </c>
      <c r="L66" s="159">
        <v>1300</v>
      </c>
      <c r="M66" s="159">
        <v>0</v>
      </c>
      <c r="N66" s="159">
        <v>0</v>
      </c>
      <c r="O66" s="159">
        <v>0</v>
      </c>
      <c r="P66" s="159">
        <v>0</v>
      </c>
      <c r="Q66" s="159">
        <v>150</v>
      </c>
      <c r="R66" s="159">
        <v>150</v>
      </c>
      <c r="S66" s="162"/>
      <c r="T66" s="161">
        <v>1</v>
      </c>
      <c r="U66" s="161">
        <v>0</v>
      </c>
      <c r="V66" s="161">
        <v>0.5</v>
      </c>
      <c r="W66" s="162"/>
      <c r="X66" s="161">
        <v>0.02</v>
      </c>
      <c r="Y66" s="162"/>
      <c r="Z66" s="163">
        <f t="shared" si="0"/>
        <v>3000</v>
      </c>
      <c r="AA66" s="163">
        <f t="shared" si="1"/>
        <v>500</v>
      </c>
      <c r="AB66" s="163">
        <v>650</v>
      </c>
      <c r="AC66" s="163">
        <v>2500</v>
      </c>
      <c r="AD66" s="162"/>
      <c r="AE66" s="161">
        <v>0</v>
      </c>
      <c r="AF66" s="162"/>
      <c r="AG66" s="161">
        <v>300</v>
      </c>
      <c r="AH66" s="161">
        <v>2000</v>
      </c>
      <c r="AI66" s="162"/>
      <c r="AJ66" s="163">
        <f t="shared" si="2"/>
        <v>1300</v>
      </c>
      <c r="AK66" s="163">
        <f t="shared" si="3"/>
        <v>0</v>
      </c>
      <c r="AL66" s="163">
        <f t="shared" si="4"/>
        <v>0</v>
      </c>
      <c r="AM66" s="163">
        <f t="shared" si="5"/>
        <v>150</v>
      </c>
      <c r="AN66" s="163">
        <f t="shared" si="6"/>
        <v>54.166666666666664</v>
      </c>
      <c r="AO66" s="163">
        <f t="shared" si="7"/>
        <v>0</v>
      </c>
      <c r="AP66" s="163">
        <f t="shared" si="8"/>
        <v>27.083333333333332</v>
      </c>
      <c r="AQ66" s="163">
        <f t="shared" si="9"/>
        <v>26</v>
      </c>
      <c r="AR66" s="163">
        <f t="shared" si="10"/>
        <v>125</v>
      </c>
      <c r="AS66" s="163">
        <f t="shared" si="11"/>
        <v>41.666666666666664</v>
      </c>
      <c r="AT66" s="163">
        <f t="shared" si="11"/>
        <v>54.166666666666664</v>
      </c>
      <c r="AU66" s="163">
        <f t="shared" si="11"/>
        <v>208.33333333333334</v>
      </c>
      <c r="AV66" s="163">
        <f t="shared" si="12"/>
        <v>0</v>
      </c>
      <c r="AW66" s="163">
        <f t="shared" si="13"/>
        <v>8.3333333333333339</v>
      </c>
      <c r="AX66" s="163">
        <f t="shared" si="13"/>
        <v>55.555555555555557</v>
      </c>
      <c r="AY66" s="164">
        <f t="shared" si="14"/>
        <v>2050.3055555555557</v>
      </c>
    </row>
    <row r="67" spans="3:51" ht="15.75" x14ac:dyDescent="0.25">
      <c r="C67" s="1" t="s">
        <v>950</v>
      </c>
      <c r="D67" s="1"/>
      <c r="E67" s="1" t="s">
        <v>4</v>
      </c>
      <c r="F67" s="1" t="s">
        <v>4</v>
      </c>
      <c r="G67" s="1" t="s">
        <v>1041</v>
      </c>
      <c r="H67" s="1">
        <v>21</v>
      </c>
      <c r="I67" s="159">
        <v>15091</v>
      </c>
      <c r="J67" s="159">
        <v>718.61904761904759</v>
      </c>
      <c r="K67" s="159">
        <v>956</v>
      </c>
      <c r="L67" s="159">
        <v>550</v>
      </c>
      <c r="M67" s="159">
        <v>0</v>
      </c>
      <c r="N67" s="159">
        <v>0</v>
      </c>
      <c r="O67" s="159">
        <v>0</v>
      </c>
      <c r="P67" s="159">
        <v>0</v>
      </c>
      <c r="Q67" s="159">
        <v>250</v>
      </c>
      <c r="R67" s="159">
        <v>120</v>
      </c>
      <c r="S67" s="162"/>
      <c r="T67" s="161">
        <v>1</v>
      </c>
      <c r="U67" s="161">
        <v>0</v>
      </c>
      <c r="V67" s="161">
        <v>0.5</v>
      </c>
      <c r="W67" s="162"/>
      <c r="X67" s="161">
        <v>0.02</v>
      </c>
      <c r="Y67" s="162"/>
      <c r="Z67" s="163">
        <f t="shared" si="0"/>
        <v>3000</v>
      </c>
      <c r="AA67" s="163">
        <f t="shared" si="1"/>
        <v>500</v>
      </c>
      <c r="AB67" s="163">
        <v>650</v>
      </c>
      <c r="AC67" s="163">
        <v>2500</v>
      </c>
      <c r="AD67" s="162"/>
      <c r="AE67" s="161">
        <v>0</v>
      </c>
      <c r="AF67" s="162"/>
      <c r="AG67" s="161">
        <v>300</v>
      </c>
      <c r="AH67" s="161">
        <v>2000</v>
      </c>
      <c r="AI67" s="162"/>
      <c r="AJ67" s="163">
        <f t="shared" si="2"/>
        <v>718.61904761904759</v>
      </c>
      <c r="AK67" s="163">
        <f t="shared" si="3"/>
        <v>0</v>
      </c>
      <c r="AL67" s="163">
        <f t="shared" si="4"/>
        <v>0</v>
      </c>
      <c r="AM67" s="163">
        <f t="shared" si="5"/>
        <v>250</v>
      </c>
      <c r="AN67" s="163">
        <f t="shared" si="6"/>
        <v>29.942460317460316</v>
      </c>
      <c r="AO67" s="163">
        <f t="shared" si="7"/>
        <v>0</v>
      </c>
      <c r="AP67" s="163">
        <f t="shared" si="8"/>
        <v>14.971230158730158</v>
      </c>
      <c r="AQ67" s="163">
        <f t="shared" si="9"/>
        <v>14.372380952380952</v>
      </c>
      <c r="AR67" s="163">
        <f t="shared" si="10"/>
        <v>125</v>
      </c>
      <c r="AS67" s="163">
        <f t="shared" si="11"/>
        <v>41.666666666666664</v>
      </c>
      <c r="AT67" s="163">
        <f t="shared" si="11"/>
        <v>54.166666666666664</v>
      </c>
      <c r="AU67" s="163">
        <f t="shared" si="11"/>
        <v>208.33333333333334</v>
      </c>
      <c r="AV67" s="163">
        <f t="shared" si="12"/>
        <v>0</v>
      </c>
      <c r="AW67" s="163">
        <f t="shared" si="13"/>
        <v>8.3333333333333339</v>
      </c>
      <c r="AX67" s="163">
        <f t="shared" si="13"/>
        <v>55.555555555555557</v>
      </c>
      <c r="AY67" s="164">
        <f t="shared" si="14"/>
        <v>1520.9606746031748</v>
      </c>
    </row>
    <row r="68" spans="3:51" ht="15.75" x14ac:dyDescent="0.25">
      <c r="C68" s="1" t="s">
        <v>950</v>
      </c>
      <c r="D68" s="1"/>
      <c r="E68" s="1" t="s">
        <v>961</v>
      </c>
      <c r="F68" s="1" t="s">
        <v>725</v>
      </c>
      <c r="G68" s="1" t="s">
        <v>1042</v>
      </c>
      <c r="H68" s="1">
        <v>71</v>
      </c>
      <c r="I68" s="159">
        <v>77695</v>
      </c>
      <c r="J68" s="159">
        <v>1094.2957746478874</v>
      </c>
      <c r="K68" s="159">
        <v>3500</v>
      </c>
      <c r="L68" s="159">
        <v>700</v>
      </c>
      <c r="M68" s="159">
        <v>300</v>
      </c>
      <c r="N68" s="159">
        <v>0</v>
      </c>
      <c r="O68" s="159">
        <v>0</v>
      </c>
      <c r="P68" s="159">
        <v>0</v>
      </c>
      <c r="Q68" s="159">
        <v>200</v>
      </c>
      <c r="R68" s="159">
        <v>0</v>
      </c>
      <c r="S68" s="165"/>
      <c r="T68" s="161">
        <v>1</v>
      </c>
      <c r="U68" s="161">
        <v>0</v>
      </c>
      <c r="V68" s="161">
        <v>0.5</v>
      </c>
      <c r="W68" s="165"/>
      <c r="X68" s="166">
        <v>0.02</v>
      </c>
      <c r="Y68" s="165"/>
      <c r="Z68" s="166">
        <f t="shared" si="0"/>
        <v>3000</v>
      </c>
      <c r="AA68" s="166">
        <f t="shared" si="1"/>
        <v>500</v>
      </c>
      <c r="AB68" s="166">
        <v>650</v>
      </c>
      <c r="AC68" s="166">
        <v>2500</v>
      </c>
      <c r="AD68" s="165"/>
      <c r="AE68" s="161">
        <v>0</v>
      </c>
      <c r="AF68" s="165"/>
      <c r="AG68" s="166">
        <v>300</v>
      </c>
      <c r="AH68" s="161">
        <v>2000</v>
      </c>
      <c r="AI68" s="165"/>
      <c r="AJ68" s="163">
        <f t="shared" si="2"/>
        <v>1094.2957746478874</v>
      </c>
      <c r="AK68" s="163">
        <f t="shared" si="3"/>
        <v>300</v>
      </c>
      <c r="AL68" s="163">
        <f t="shared" si="4"/>
        <v>0</v>
      </c>
      <c r="AM68" s="163">
        <f t="shared" si="5"/>
        <v>200</v>
      </c>
      <c r="AN68" s="163">
        <f t="shared" si="6"/>
        <v>45.595657276995304</v>
      </c>
      <c r="AO68" s="163">
        <f t="shared" si="7"/>
        <v>0</v>
      </c>
      <c r="AP68" s="163">
        <f t="shared" si="8"/>
        <v>22.797828638497652</v>
      </c>
      <c r="AQ68" s="163">
        <f t="shared" si="9"/>
        <v>21.885915492957746</v>
      </c>
      <c r="AR68" s="163">
        <f t="shared" si="10"/>
        <v>125</v>
      </c>
      <c r="AS68" s="163">
        <f t="shared" si="11"/>
        <v>41.666666666666664</v>
      </c>
      <c r="AT68" s="163">
        <f t="shared" si="11"/>
        <v>54.166666666666664</v>
      </c>
      <c r="AU68" s="163">
        <f t="shared" si="11"/>
        <v>208.33333333333334</v>
      </c>
      <c r="AV68" s="163">
        <f t="shared" si="12"/>
        <v>0</v>
      </c>
      <c r="AW68" s="163">
        <f t="shared" si="13"/>
        <v>8.3333333333333339</v>
      </c>
      <c r="AX68" s="163">
        <f t="shared" si="13"/>
        <v>55.555555555555557</v>
      </c>
      <c r="AY68" s="164">
        <f t="shared" si="14"/>
        <v>2177.6307316118941</v>
      </c>
    </row>
    <row r="69" spans="3:51" ht="15.75" x14ac:dyDescent="0.25">
      <c r="C69" s="1" t="s">
        <v>950</v>
      </c>
      <c r="D69" s="1"/>
      <c r="E69" s="1" t="s">
        <v>9</v>
      </c>
      <c r="F69" s="1" t="s">
        <v>570</v>
      </c>
      <c r="G69" s="1" t="s">
        <v>1043</v>
      </c>
      <c r="H69" s="1">
        <v>5</v>
      </c>
      <c r="I69" s="159">
        <v>3250</v>
      </c>
      <c r="J69" s="159">
        <v>650</v>
      </c>
      <c r="K69" s="159">
        <v>650</v>
      </c>
      <c r="L69" s="159">
        <v>650</v>
      </c>
      <c r="M69" s="159">
        <v>0</v>
      </c>
      <c r="N69" s="159">
        <v>0</v>
      </c>
      <c r="O69" s="159">
        <v>0</v>
      </c>
      <c r="P69" s="159">
        <v>0</v>
      </c>
      <c r="Q69" s="159">
        <v>150</v>
      </c>
      <c r="R69" s="159">
        <v>150</v>
      </c>
      <c r="S69" s="162"/>
      <c r="T69" s="161">
        <v>1</v>
      </c>
      <c r="U69" s="161">
        <v>0</v>
      </c>
      <c r="V69" s="161">
        <v>0.5</v>
      </c>
      <c r="W69" s="162"/>
      <c r="X69" s="161">
        <v>0.02</v>
      </c>
      <c r="Y69" s="162"/>
      <c r="Z69" s="163">
        <f t="shared" si="0"/>
        <v>3000</v>
      </c>
      <c r="AA69" s="163">
        <f t="shared" si="1"/>
        <v>500</v>
      </c>
      <c r="AB69" s="163">
        <v>650</v>
      </c>
      <c r="AC69" s="163">
        <v>2500</v>
      </c>
      <c r="AD69" s="162"/>
      <c r="AE69" s="161">
        <v>0</v>
      </c>
      <c r="AF69" s="162"/>
      <c r="AG69" s="161">
        <v>300</v>
      </c>
      <c r="AH69" s="161">
        <v>2000</v>
      </c>
      <c r="AI69" s="162"/>
      <c r="AJ69" s="163">
        <f t="shared" si="2"/>
        <v>650</v>
      </c>
      <c r="AK69" s="163">
        <f t="shared" si="3"/>
        <v>0</v>
      </c>
      <c r="AL69" s="163">
        <f t="shared" si="4"/>
        <v>0</v>
      </c>
      <c r="AM69" s="163">
        <f t="shared" si="5"/>
        <v>150</v>
      </c>
      <c r="AN69" s="163">
        <f t="shared" si="6"/>
        <v>27.083333333333332</v>
      </c>
      <c r="AO69" s="163">
        <f t="shared" si="7"/>
        <v>0</v>
      </c>
      <c r="AP69" s="163">
        <f t="shared" si="8"/>
        <v>13.541666666666666</v>
      </c>
      <c r="AQ69" s="163">
        <f t="shared" si="9"/>
        <v>13</v>
      </c>
      <c r="AR69" s="163">
        <f t="shared" si="10"/>
        <v>125</v>
      </c>
      <c r="AS69" s="163">
        <f t="shared" si="11"/>
        <v>41.666666666666664</v>
      </c>
      <c r="AT69" s="163">
        <f t="shared" si="11"/>
        <v>54.166666666666664</v>
      </c>
      <c r="AU69" s="163">
        <f t="shared" si="11"/>
        <v>208.33333333333334</v>
      </c>
      <c r="AV69" s="163">
        <f t="shared" si="12"/>
        <v>0</v>
      </c>
      <c r="AW69" s="163">
        <f t="shared" si="13"/>
        <v>8.3333333333333339</v>
      </c>
      <c r="AX69" s="163">
        <f t="shared" si="13"/>
        <v>55.555555555555557</v>
      </c>
      <c r="AY69" s="164">
        <f t="shared" si="14"/>
        <v>1346.6805555555554</v>
      </c>
    </row>
    <row r="70" spans="3:51" ht="15.75" x14ac:dyDescent="0.25">
      <c r="C70" s="1" t="s">
        <v>950</v>
      </c>
      <c r="D70" s="1"/>
      <c r="E70" s="1" t="s">
        <v>1018</v>
      </c>
      <c r="F70" s="1" t="s">
        <v>1019</v>
      </c>
      <c r="G70" s="1" t="s">
        <v>1044</v>
      </c>
      <c r="H70" s="1">
        <v>8</v>
      </c>
      <c r="I70" s="159">
        <v>6000</v>
      </c>
      <c r="J70" s="159">
        <v>750</v>
      </c>
      <c r="K70" s="159">
        <v>850</v>
      </c>
      <c r="L70" s="159">
        <v>650</v>
      </c>
      <c r="M70" s="159">
        <v>0</v>
      </c>
      <c r="N70" s="159">
        <v>0</v>
      </c>
      <c r="O70" s="159">
        <v>0</v>
      </c>
      <c r="P70" s="159">
        <v>0</v>
      </c>
      <c r="Q70" s="159">
        <v>150</v>
      </c>
      <c r="R70" s="159">
        <v>150</v>
      </c>
      <c r="S70" s="162"/>
      <c r="T70" s="161">
        <v>1</v>
      </c>
      <c r="U70" s="161">
        <v>0</v>
      </c>
      <c r="V70" s="161">
        <v>0.5</v>
      </c>
      <c r="W70" s="162"/>
      <c r="X70" s="161">
        <v>0.02</v>
      </c>
      <c r="Y70" s="162"/>
      <c r="Z70" s="163">
        <f t="shared" ref="Z70:Z133" si="15">IF($J70&gt;=5000,6000,3000)</f>
        <v>3000</v>
      </c>
      <c r="AA70" s="163">
        <f t="shared" ref="AA70:AA133" si="16">IF($J70&gt;=5000,2650,500)</f>
        <v>500</v>
      </c>
      <c r="AB70" s="163">
        <v>650</v>
      </c>
      <c r="AC70" s="163">
        <v>2500</v>
      </c>
      <c r="AD70" s="162"/>
      <c r="AE70" s="161">
        <v>0</v>
      </c>
      <c r="AF70" s="162"/>
      <c r="AG70" s="161">
        <v>300</v>
      </c>
      <c r="AH70" s="161">
        <v>2000</v>
      </c>
      <c r="AI70" s="162"/>
      <c r="AJ70" s="163">
        <f t="shared" ref="AJ70:AJ133" si="17">J70</f>
        <v>750</v>
      </c>
      <c r="AK70" s="163">
        <f t="shared" ref="AK70:AK133" si="18">M70</f>
        <v>0</v>
      </c>
      <c r="AL70" s="163">
        <f t="shared" ref="AL70:AL133" si="19">P70*J70/12</f>
        <v>0</v>
      </c>
      <c r="AM70" s="163">
        <f t="shared" ref="AM70:AM133" si="20">Q70</f>
        <v>150</v>
      </c>
      <c r="AN70" s="163">
        <f t="shared" ref="AN70:AN133" si="21">T70*J70/24</f>
        <v>31.25</v>
      </c>
      <c r="AO70" s="163">
        <f t="shared" ref="AO70:AO133" si="22">U70*J70/12</f>
        <v>0</v>
      </c>
      <c r="AP70" s="163">
        <f t="shared" ref="AP70:AP133" si="23">V70*J70/24</f>
        <v>15.625</v>
      </c>
      <c r="AQ70" s="163">
        <f t="shared" ref="AQ70:AQ133" si="24">X70*(AJ70+AL70)</f>
        <v>15</v>
      </c>
      <c r="AR70" s="163">
        <f t="shared" ref="AR70:AR133" si="25">Z70/24</f>
        <v>125</v>
      </c>
      <c r="AS70" s="163">
        <f t="shared" ref="AS70:AU133" si="26">AA70/12</f>
        <v>41.666666666666664</v>
      </c>
      <c r="AT70" s="163">
        <f t="shared" si="26"/>
        <v>54.166666666666664</v>
      </c>
      <c r="AU70" s="163">
        <f t="shared" si="26"/>
        <v>208.33333333333334</v>
      </c>
      <c r="AV70" s="163">
        <f t="shared" ref="AV70:AV133" si="27">AE70*AJ70/36</f>
        <v>0</v>
      </c>
      <c r="AW70" s="163">
        <f t="shared" ref="AW70:AX133" si="28">AG70/36</f>
        <v>8.3333333333333339</v>
      </c>
      <c r="AX70" s="163">
        <f t="shared" si="28"/>
        <v>55.555555555555557</v>
      </c>
      <c r="AY70" s="164">
        <f t="shared" ref="AY70:AY133" si="29">SUM(AJ70:AX70)</f>
        <v>1454.9305555555557</v>
      </c>
    </row>
    <row r="71" spans="3:51" ht="15.75" x14ac:dyDescent="0.25">
      <c r="C71" s="1" t="s">
        <v>950</v>
      </c>
      <c r="D71" s="1"/>
      <c r="E71" s="1" t="s">
        <v>968</v>
      </c>
      <c r="F71" s="1" t="s">
        <v>1028</v>
      </c>
      <c r="G71" s="1" t="s">
        <v>1045</v>
      </c>
      <c r="H71" s="1">
        <v>2</v>
      </c>
      <c r="I71" s="159">
        <v>1500</v>
      </c>
      <c r="J71" s="159">
        <v>750</v>
      </c>
      <c r="K71" s="159">
        <v>800</v>
      </c>
      <c r="L71" s="159">
        <v>700</v>
      </c>
      <c r="M71" s="159">
        <v>0</v>
      </c>
      <c r="N71" s="159">
        <v>0</v>
      </c>
      <c r="O71" s="159">
        <v>0</v>
      </c>
      <c r="P71" s="159">
        <v>0</v>
      </c>
      <c r="Q71" s="159">
        <v>150</v>
      </c>
      <c r="R71" s="159">
        <v>150</v>
      </c>
      <c r="S71" s="162"/>
      <c r="T71" s="161">
        <v>1</v>
      </c>
      <c r="U71" s="161">
        <v>0</v>
      </c>
      <c r="V71" s="161">
        <v>0.5</v>
      </c>
      <c r="W71" s="162"/>
      <c r="X71" s="161">
        <v>0.02</v>
      </c>
      <c r="Y71" s="162"/>
      <c r="Z71" s="163">
        <f t="shared" si="15"/>
        <v>3000</v>
      </c>
      <c r="AA71" s="163">
        <f t="shared" si="16"/>
        <v>500</v>
      </c>
      <c r="AB71" s="163">
        <v>650</v>
      </c>
      <c r="AC71" s="163">
        <v>2500</v>
      </c>
      <c r="AD71" s="162"/>
      <c r="AE71" s="161">
        <v>0</v>
      </c>
      <c r="AF71" s="162"/>
      <c r="AG71" s="161">
        <v>300</v>
      </c>
      <c r="AH71" s="161">
        <v>2000</v>
      </c>
      <c r="AI71" s="162"/>
      <c r="AJ71" s="163">
        <f t="shared" si="17"/>
        <v>750</v>
      </c>
      <c r="AK71" s="163">
        <f t="shared" si="18"/>
        <v>0</v>
      </c>
      <c r="AL71" s="163">
        <f t="shared" si="19"/>
        <v>0</v>
      </c>
      <c r="AM71" s="163">
        <f t="shared" si="20"/>
        <v>150</v>
      </c>
      <c r="AN71" s="163">
        <f t="shared" si="21"/>
        <v>31.25</v>
      </c>
      <c r="AO71" s="163">
        <f t="shared" si="22"/>
        <v>0</v>
      </c>
      <c r="AP71" s="163">
        <f t="shared" si="23"/>
        <v>15.625</v>
      </c>
      <c r="AQ71" s="163">
        <f t="shared" si="24"/>
        <v>15</v>
      </c>
      <c r="AR71" s="163">
        <f t="shared" si="25"/>
        <v>125</v>
      </c>
      <c r="AS71" s="163">
        <f t="shared" si="26"/>
        <v>41.666666666666664</v>
      </c>
      <c r="AT71" s="163">
        <f t="shared" si="26"/>
        <v>54.166666666666664</v>
      </c>
      <c r="AU71" s="163">
        <f t="shared" si="26"/>
        <v>208.33333333333334</v>
      </c>
      <c r="AV71" s="163">
        <f t="shared" si="27"/>
        <v>0</v>
      </c>
      <c r="AW71" s="163">
        <f t="shared" si="28"/>
        <v>8.3333333333333339</v>
      </c>
      <c r="AX71" s="163">
        <f t="shared" si="28"/>
        <v>55.555555555555557</v>
      </c>
      <c r="AY71" s="164">
        <f t="shared" si="29"/>
        <v>1454.9305555555557</v>
      </c>
    </row>
    <row r="72" spans="3:51" ht="15.75" x14ac:dyDescent="0.25">
      <c r="C72" s="1" t="s">
        <v>950</v>
      </c>
      <c r="D72" s="1"/>
      <c r="E72" s="1" t="s">
        <v>951</v>
      </c>
      <c r="F72" s="1" t="s">
        <v>956</v>
      </c>
      <c r="G72" s="1" t="s">
        <v>1046</v>
      </c>
      <c r="H72" s="1">
        <v>8</v>
      </c>
      <c r="I72" s="159">
        <v>7075</v>
      </c>
      <c r="J72" s="159">
        <v>884.375</v>
      </c>
      <c r="K72" s="159">
        <v>1150</v>
      </c>
      <c r="L72" s="159">
        <v>575</v>
      </c>
      <c r="M72" s="159">
        <v>0</v>
      </c>
      <c r="N72" s="159">
        <v>0</v>
      </c>
      <c r="O72" s="159">
        <v>0</v>
      </c>
      <c r="P72" s="159">
        <v>0</v>
      </c>
      <c r="Q72" s="159">
        <v>150</v>
      </c>
      <c r="R72" s="159">
        <v>150</v>
      </c>
      <c r="S72" s="162"/>
      <c r="T72" s="161">
        <v>1</v>
      </c>
      <c r="U72" s="161">
        <v>0</v>
      </c>
      <c r="V72" s="161">
        <v>0.5</v>
      </c>
      <c r="W72" s="162"/>
      <c r="X72" s="161">
        <v>0.02</v>
      </c>
      <c r="Y72" s="162"/>
      <c r="Z72" s="163">
        <f t="shared" si="15"/>
        <v>3000</v>
      </c>
      <c r="AA72" s="163">
        <f t="shared" si="16"/>
        <v>500</v>
      </c>
      <c r="AB72" s="163">
        <v>650</v>
      </c>
      <c r="AC72" s="163">
        <v>2500</v>
      </c>
      <c r="AD72" s="162"/>
      <c r="AE72" s="161">
        <v>0</v>
      </c>
      <c r="AF72" s="162"/>
      <c r="AG72" s="161">
        <v>300</v>
      </c>
      <c r="AH72" s="161">
        <v>2000</v>
      </c>
      <c r="AI72" s="162"/>
      <c r="AJ72" s="163">
        <f t="shared" si="17"/>
        <v>884.375</v>
      </c>
      <c r="AK72" s="163">
        <f t="shared" si="18"/>
        <v>0</v>
      </c>
      <c r="AL72" s="163">
        <f t="shared" si="19"/>
        <v>0</v>
      </c>
      <c r="AM72" s="163">
        <f t="shared" si="20"/>
        <v>150</v>
      </c>
      <c r="AN72" s="163">
        <f t="shared" si="21"/>
        <v>36.848958333333336</v>
      </c>
      <c r="AO72" s="163">
        <f t="shared" si="22"/>
        <v>0</v>
      </c>
      <c r="AP72" s="163">
        <f t="shared" si="23"/>
        <v>18.424479166666668</v>
      </c>
      <c r="AQ72" s="163">
        <f t="shared" si="24"/>
        <v>17.6875</v>
      </c>
      <c r="AR72" s="163">
        <f t="shared" si="25"/>
        <v>125</v>
      </c>
      <c r="AS72" s="163">
        <f t="shared" si="26"/>
        <v>41.666666666666664</v>
      </c>
      <c r="AT72" s="163">
        <f t="shared" si="26"/>
        <v>54.166666666666664</v>
      </c>
      <c r="AU72" s="163">
        <f t="shared" si="26"/>
        <v>208.33333333333334</v>
      </c>
      <c r="AV72" s="163">
        <f t="shared" si="27"/>
        <v>0</v>
      </c>
      <c r="AW72" s="163">
        <f t="shared" si="28"/>
        <v>8.3333333333333339</v>
      </c>
      <c r="AX72" s="163">
        <f t="shared" si="28"/>
        <v>55.555555555555557</v>
      </c>
      <c r="AY72" s="164">
        <f t="shared" si="29"/>
        <v>1600.3914930555557</v>
      </c>
    </row>
    <row r="73" spans="3:51" ht="15.75" x14ac:dyDescent="0.25">
      <c r="C73" s="1" t="s">
        <v>950</v>
      </c>
      <c r="D73" s="1"/>
      <c r="E73" s="1"/>
      <c r="F73" s="1"/>
      <c r="G73" s="1" t="s">
        <v>1047</v>
      </c>
      <c r="H73" s="1">
        <v>2</v>
      </c>
      <c r="I73" s="159">
        <v>6000</v>
      </c>
      <c r="J73" s="159">
        <v>3000</v>
      </c>
      <c r="K73" s="159">
        <v>3000</v>
      </c>
      <c r="L73" s="159">
        <v>3000</v>
      </c>
      <c r="M73" s="159">
        <v>300</v>
      </c>
      <c r="N73" s="159">
        <v>300</v>
      </c>
      <c r="O73" s="159">
        <v>0</v>
      </c>
      <c r="P73" s="159">
        <v>0</v>
      </c>
      <c r="Q73" s="159">
        <v>0</v>
      </c>
      <c r="R73" s="159">
        <v>0</v>
      </c>
      <c r="S73" s="162"/>
      <c r="T73" s="161">
        <v>1</v>
      </c>
      <c r="U73" s="161">
        <v>0</v>
      </c>
      <c r="V73" s="161">
        <v>0.5</v>
      </c>
      <c r="W73" s="162"/>
      <c r="X73" s="161">
        <v>0.02</v>
      </c>
      <c r="Y73" s="162"/>
      <c r="Z73" s="163">
        <f t="shared" si="15"/>
        <v>3000</v>
      </c>
      <c r="AA73" s="163">
        <f t="shared" si="16"/>
        <v>500</v>
      </c>
      <c r="AB73" s="163">
        <v>650</v>
      </c>
      <c r="AC73" s="163">
        <v>2500</v>
      </c>
      <c r="AD73" s="162"/>
      <c r="AE73" s="161">
        <v>0</v>
      </c>
      <c r="AF73" s="162"/>
      <c r="AG73" s="161">
        <v>300</v>
      </c>
      <c r="AH73" s="161">
        <v>2000</v>
      </c>
      <c r="AI73" s="162"/>
      <c r="AJ73" s="163">
        <f t="shared" si="17"/>
        <v>3000</v>
      </c>
      <c r="AK73" s="163">
        <f t="shared" si="18"/>
        <v>300</v>
      </c>
      <c r="AL73" s="163">
        <f t="shared" si="19"/>
        <v>0</v>
      </c>
      <c r="AM73" s="163">
        <f t="shared" si="20"/>
        <v>0</v>
      </c>
      <c r="AN73" s="163">
        <f t="shared" si="21"/>
        <v>125</v>
      </c>
      <c r="AO73" s="163">
        <f t="shared" si="22"/>
        <v>0</v>
      </c>
      <c r="AP73" s="163">
        <f t="shared" si="23"/>
        <v>62.5</v>
      </c>
      <c r="AQ73" s="163">
        <f t="shared" si="24"/>
        <v>60</v>
      </c>
      <c r="AR73" s="163">
        <f t="shared" si="25"/>
        <v>125</v>
      </c>
      <c r="AS73" s="163">
        <f t="shared" si="26"/>
        <v>41.666666666666664</v>
      </c>
      <c r="AT73" s="163">
        <f t="shared" si="26"/>
        <v>54.166666666666664</v>
      </c>
      <c r="AU73" s="163">
        <f t="shared" si="26"/>
        <v>208.33333333333334</v>
      </c>
      <c r="AV73" s="163">
        <f t="shared" si="27"/>
        <v>0</v>
      </c>
      <c r="AW73" s="163">
        <f t="shared" si="28"/>
        <v>8.3333333333333339</v>
      </c>
      <c r="AX73" s="163">
        <f t="shared" si="28"/>
        <v>55.555555555555557</v>
      </c>
      <c r="AY73" s="164">
        <f t="shared" si="29"/>
        <v>4040.5555555555557</v>
      </c>
    </row>
    <row r="74" spans="3:51" ht="15.75" x14ac:dyDescent="0.25">
      <c r="C74" s="1" t="s">
        <v>950</v>
      </c>
      <c r="D74" s="1"/>
      <c r="E74" s="1" t="s">
        <v>961</v>
      </c>
      <c r="F74" s="1" t="s">
        <v>1048</v>
      </c>
      <c r="G74" s="1" t="s">
        <v>1049</v>
      </c>
      <c r="H74" s="1">
        <v>3</v>
      </c>
      <c r="I74" s="159">
        <v>2200</v>
      </c>
      <c r="J74" s="159">
        <v>733.33333333333337</v>
      </c>
      <c r="K74" s="159">
        <v>900</v>
      </c>
      <c r="L74" s="159">
        <v>650</v>
      </c>
      <c r="M74" s="159">
        <v>0</v>
      </c>
      <c r="N74" s="159">
        <v>0</v>
      </c>
      <c r="O74" s="159">
        <v>0</v>
      </c>
      <c r="P74" s="159">
        <v>0</v>
      </c>
      <c r="Q74" s="159">
        <v>150</v>
      </c>
      <c r="R74" s="159">
        <v>150</v>
      </c>
      <c r="S74" s="162"/>
      <c r="T74" s="161">
        <v>1</v>
      </c>
      <c r="U74" s="161">
        <v>0</v>
      </c>
      <c r="V74" s="161">
        <v>0.5</v>
      </c>
      <c r="W74" s="162"/>
      <c r="X74" s="161">
        <v>0.02</v>
      </c>
      <c r="Y74" s="162"/>
      <c r="Z74" s="163">
        <f t="shared" si="15"/>
        <v>3000</v>
      </c>
      <c r="AA74" s="163">
        <f t="shared" si="16"/>
        <v>500</v>
      </c>
      <c r="AB74" s="163">
        <v>650</v>
      </c>
      <c r="AC74" s="163">
        <v>2500</v>
      </c>
      <c r="AD74" s="162"/>
      <c r="AE74" s="161">
        <v>0</v>
      </c>
      <c r="AF74" s="162"/>
      <c r="AG74" s="161">
        <v>300</v>
      </c>
      <c r="AH74" s="161">
        <v>2000</v>
      </c>
      <c r="AI74" s="162"/>
      <c r="AJ74" s="163">
        <f t="shared" si="17"/>
        <v>733.33333333333337</v>
      </c>
      <c r="AK74" s="163">
        <f t="shared" si="18"/>
        <v>0</v>
      </c>
      <c r="AL74" s="163">
        <f t="shared" si="19"/>
        <v>0</v>
      </c>
      <c r="AM74" s="163">
        <f t="shared" si="20"/>
        <v>150</v>
      </c>
      <c r="AN74" s="163">
        <f t="shared" si="21"/>
        <v>30.555555555555557</v>
      </c>
      <c r="AO74" s="163">
        <f t="shared" si="22"/>
        <v>0</v>
      </c>
      <c r="AP74" s="163">
        <f t="shared" si="23"/>
        <v>15.277777777777779</v>
      </c>
      <c r="AQ74" s="163">
        <f t="shared" si="24"/>
        <v>14.666666666666668</v>
      </c>
      <c r="AR74" s="163">
        <f t="shared" si="25"/>
        <v>125</v>
      </c>
      <c r="AS74" s="163">
        <f t="shared" si="26"/>
        <v>41.666666666666664</v>
      </c>
      <c r="AT74" s="163">
        <f t="shared" si="26"/>
        <v>54.166666666666664</v>
      </c>
      <c r="AU74" s="163">
        <f t="shared" si="26"/>
        <v>208.33333333333334</v>
      </c>
      <c r="AV74" s="163">
        <f t="shared" si="27"/>
        <v>0</v>
      </c>
      <c r="AW74" s="163">
        <f t="shared" si="28"/>
        <v>8.3333333333333339</v>
      </c>
      <c r="AX74" s="163">
        <f t="shared" si="28"/>
        <v>55.555555555555557</v>
      </c>
      <c r="AY74" s="164">
        <f t="shared" si="29"/>
        <v>1436.8888888888891</v>
      </c>
    </row>
    <row r="75" spans="3:51" ht="15.75" x14ac:dyDescent="0.25">
      <c r="C75" s="1" t="s">
        <v>950</v>
      </c>
      <c r="D75" s="1"/>
      <c r="E75" s="1" t="s">
        <v>951</v>
      </c>
      <c r="F75" s="1" t="s">
        <v>1050</v>
      </c>
      <c r="G75" s="1" t="s">
        <v>1051</v>
      </c>
      <c r="H75" s="1">
        <v>4</v>
      </c>
      <c r="I75" s="159">
        <v>10045</v>
      </c>
      <c r="J75" s="159">
        <v>2511.25</v>
      </c>
      <c r="K75" s="159">
        <v>3500</v>
      </c>
      <c r="L75" s="159">
        <v>1250</v>
      </c>
      <c r="M75" s="159">
        <v>0</v>
      </c>
      <c r="N75" s="159">
        <v>0</v>
      </c>
      <c r="O75" s="159">
        <v>3</v>
      </c>
      <c r="P75" s="159">
        <v>3</v>
      </c>
      <c r="Q75" s="159">
        <v>250</v>
      </c>
      <c r="R75" s="159">
        <v>0</v>
      </c>
      <c r="S75" s="162"/>
      <c r="T75" s="161">
        <v>1</v>
      </c>
      <c r="U75" s="161">
        <v>0</v>
      </c>
      <c r="V75" s="161">
        <v>0.5</v>
      </c>
      <c r="W75" s="162"/>
      <c r="X75" s="161">
        <v>0.02</v>
      </c>
      <c r="Y75" s="162"/>
      <c r="Z75" s="163">
        <f t="shared" si="15"/>
        <v>3000</v>
      </c>
      <c r="AA75" s="163">
        <f t="shared" si="16"/>
        <v>500</v>
      </c>
      <c r="AB75" s="163">
        <v>650</v>
      </c>
      <c r="AC75" s="163">
        <v>2500</v>
      </c>
      <c r="AD75" s="162"/>
      <c r="AE75" s="161">
        <v>0</v>
      </c>
      <c r="AF75" s="162"/>
      <c r="AG75" s="161">
        <v>300</v>
      </c>
      <c r="AH75" s="161">
        <v>2000</v>
      </c>
      <c r="AI75" s="162"/>
      <c r="AJ75" s="163">
        <f t="shared" si="17"/>
        <v>2511.25</v>
      </c>
      <c r="AK75" s="163">
        <f t="shared" si="18"/>
        <v>0</v>
      </c>
      <c r="AL75" s="163">
        <f t="shared" si="19"/>
        <v>627.8125</v>
      </c>
      <c r="AM75" s="163">
        <f t="shared" si="20"/>
        <v>250</v>
      </c>
      <c r="AN75" s="163">
        <f t="shared" si="21"/>
        <v>104.63541666666667</v>
      </c>
      <c r="AO75" s="163">
        <f t="shared" si="22"/>
        <v>0</v>
      </c>
      <c r="AP75" s="163">
        <f t="shared" si="23"/>
        <v>52.317708333333336</v>
      </c>
      <c r="AQ75" s="163">
        <f t="shared" si="24"/>
        <v>62.78125</v>
      </c>
      <c r="AR75" s="163">
        <f t="shared" si="25"/>
        <v>125</v>
      </c>
      <c r="AS75" s="163">
        <f t="shared" si="26"/>
        <v>41.666666666666664</v>
      </c>
      <c r="AT75" s="163">
        <f t="shared" si="26"/>
        <v>54.166666666666664</v>
      </c>
      <c r="AU75" s="163">
        <f t="shared" si="26"/>
        <v>208.33333333333334</v>
      </c>
      <c r="AV75" s="163">
        <f t="shared" si="27"/>
        <v>0</v>
      </c>
      <c r="AW75" s="163">
        <f t="shared" si="28"/>
        <v>8.3333333333333339</v>
      </c>
      <c r="AX75" s="163">
        <f t="shared" si="28"/>
        <v>55.555555555555557</v>
      </c>
      <c r="AY75" s="164">
        <f t="shared" si="29"/>
        <v>4101.8524305555557</v>
      </c>
    </row>
    <row r="76" spans="3:51" ht="15.75" x14ac:dyDescent="0.25">
      <c r="C76" s="1" t="s">
        <v>950</v>
      </c>
      <c r="D76" s="1"/>
      <c r="E76" s="1" t="s">
        <v>986</v>
      </c>
      <c r="F76" s="1" t="s">
        <v>986</v>
      </c>
      <c r="G76" s="1" t="s">
        <v>539</v>
      </c>
      <c r="H76" s="1">
        <v>33</v>
      </c>
      <c r="I76" s="159">
        <v>34850</v>
      </c>
      <c r="J76" s="159">
        <v>1056.060606060606</v>
      </c>
      <c r="K76" s="159">
        <v>1500</v>
      </c>
      <c r="L76" s="159">
        <v>700</v>
      </c>
      <c r="M76" s="159">
        <v>0</v>
      </c>
      <c r="N76" s="159">
        <v>0</v>
      </c>
      <c r="O76" s="159">
        <v>0</v>
      </c>
      <c r="P76" s="159">
        <v>0</v>
      </c>
      <c r="Q76" s="159">
        <v>150</v>
      </c>
      <c r="R76" s="159">
        <v>150</v>
      </c>
      <c r="S76" s="162"/>
      <c r="T76" s="161">
        <v>1</v>
      </c>
      <c r="U76" s="161">
        <v>0</v>
      </c>
      <c r="V76" s="161">
        <v>0.5</v>
      </c>
      <c r="W76" s="162"/>
      <c r="X76" s="161">
        <v>0.02</v>
      </c>
      <c r="Y76" s="162"/>
      <c r="Z76" s="163">
        <f t="shared" si="15"/>
        <v>3000</v>
      </c>
      <c r="AA76" s="163">
        <f t="shared" si="16"/>
        <v>500</v>
      </c>
      <c r="AB76" s="163">
        <v>650</v>
      </c>
      <c r="AC76" s="163">
        <v>2500</v>
      </c>
      <c r="AD76" s="162"/>
      <c r="AE76" s="161">
        <v>0</v>
      </c>
      <c r="AF76" s="162"/>
      <c r="AG76" s="161">
        <v>300</v>
      </c>
      <c r="AH76" s="161">
        <v>2000</v>
      </c>
      <c r="AI76" s="162"/>
      <c r="AJ76" s="163">
        <f t="shared" si="17"/>
        <v>1056.060606060606</v>
      </c>
      <c r="AK76" s="163">
        <f t="shared" si="18"/>
        <v>0</v>
      </c>
      <c r="AL76" s="163">
        <f t="shared" si="19"/>
        <v>0</v>
      </c>
      <c r="AM76" s="163">
        <f t="shared" si="20"/>
        <v>150</v>
      </c>
      <c r="AN76" s="163">
        <f t="shared" si="21"/>
        <v>44.002525252525253</v>
      </c>
      <c r="AO76" s="163">
        <f t="shared" si="22"/>
        <v>0</v>
      </c>
      <c r="AP76" s="163">
        <f t="shared" si="23"/>
        <v>22.001262626262626</v>
      </c>
      <c r="AQ76" s="163">
        <f t="shared" si="24"/>
        <v>21.121212121212121</v>
      </c>
      <c r="AR76" s="163">
        <f t="shared" si="25"/>
        <v>125</v>
      </c>
      <c r="AS76" s="163">
        <f t="shared" si="26"/>
        <v>41.666666666666664</v>
      </c>
      <c r="AT76" s="163">
        <f t="shared" si="26"/>
        <v>54.166666666666664</v>
      </c>
      <c r="AU76" s="163">
        <f t="shared" si="26"/>
        <v>208.33333333333334</v>
      </c>
      <c r="AV76" s="163">
        <f t="shared" si="27"/>
        <v>0</v>
      </c>
      <c r="AW76" s="163">
        <f t="shared" si="28"/>
        <v>8.3333333333333339</v>
      </c>
      <c r="AX76" s="163">
        <f t="shared" si="28"/>
        <v>55.555555555555557</v>
      </c>
      <c r="AY76" s="164">
        <f t="shared" si="29"/>
        <v>1786.2411616161614</v>
      </c>
    </row>
    <row r="77" spans="3:51" ht="15.75" x14ac:dyDescent="0.25">
      <c r="C77" s="1" t="s">
        <v>950</v>
      </c>
      <c r="D77" s="1"/>
      <c r="E77" s="1" t="s">
        <v>951</v>
      </c>
      <c r="F77" s="1" t="s">
        <v>1050</v>
      </c>
      <c r="G77" s="1" t="s">
        <v>561</v>
      </c>
      <c r="H77" s="1">
        <v>1733</v>
      </c>
      <c r="I77" s="159">
        <v>1111374</v>
      </c>
      <c r="J77" s="159">
        <v>641.30063473744951</v>
      </c>
      <c r="K77" s="159">
        <v>5500</v>
      </c>
      <c r="L77" s="159">
        <v>200</v>
      </c>
      <c r="M77" s="159">
        <v>300</v>
      </c>
      <c r="N77" s="159">
        <v>0</v>
      </c>
      <c r="O77" s="159">
        <v>0</v>
      </c>
      <c r="P77" s="159">
        <v>0</v>
      </c>
      <c r="Q77" s="159">
        <v>250</v>
      </c>
      <c r="R77" s="159">
        <v>0</v>
      </c>
      <c r="S77" s="162"/>
      <c r="T77" s="161">
        <v>1</v>
      </c>
      <c r="U77" s="161">
        <v>0</v>
      </c>
      <c r="V77" s="161">
        <v>0.5</v>
      </c>
      <c r="W77" s="162"/>
      <c r="X77" s="161">
        <v>0.02</v>
      </c>
      <c r="Y77" s="162"/>
      <c r="Z77" s="163">
        <f t="shared" si="15"/>
        <v>3000</v>
      </c>
      <c r="AA77" s="163">
        <f t="shared" si="16"/>
        <v>500</v>
      </c>
      <c r="AB77" s="163">
        <v>650</v>
      </c>
      <c r="AC77" s="163">
        <v>2500</v>
      </c>
      <c r="AD77" s="162"/>
      <c r="AE77" s="161">
        <v>0</v>
      </c>
      <c r="AF77" s="162"/>
      <c r="AG77" s="161">
        <v>300</v>
      </c>
      <c r="AH77" s="161">
        <v>2000</v>
      </c>
      <c r="AI77" s="162"/>
      <c r="AJ77" s="163">
        <f t="shared" si="17"/>
        <v>641.30063473744951</v>
      </c>
      <c r="AK77" s="163">
        <f t="shared" si="18"/>
        <v>300</v>
      </c>
      <c r="AL77" s="163">
        <f t="shared" si="19"/>
        <v>0</v>
      </c>
      <c r="AM77" s="163">
        <f t="shared" si="20"/>
        <v>250</v>
      </c>
      <c r="AN77" s="163">
        <f t="shared" si="21"/>
        <v>26.720859780727064</v>
      </c>
      <c r="AO77" s="163">
        <f t="shared" si="22"/>
        <v>0</v>
      </c>
      <c r="AP77" s="163">
        <f t="shared" si="23"/>
        <v>13.360429890363532</v>
      </c>
      <c r="AQ77" s="163">
        <f t="shared" si="24"/>
        <v>12.826012694748991</v>
      </c>
      <c r="AR77" s="163">
        <f t="shared" si="25"/>
        <v>125</v>
      </c>
      <c r="AS77" s="163">
        <f t="shared" si="26"/>
        <v>41.666666666666664</v>
      </c>
      <c r="AT77" s="163">
        <f t="shared" si="26"/>
        <v>54.166666666666664</v>
      </c>
      <c r="AU77" s="163">
        <f t="shared" si="26"/>
        <v>208.33333333333334</v>
      </c>
      <c r="AV77" s="163">
        <f t="shared" si="27"/>
        <v>0</v>
      </c>
      <c r="AW77" s="163">
        <f t="shared" si="28"/>
        <v>8.3333333333333339</v>
      </c>
      <c r="AX77" s="163">
        <f t="shared" si="28"/>
        <v>55.555555555555557</v>
      </c>
      <c r="AY77" s="164">
        <f t="shared" si="29"/>
        <v>1737.2634926588446</v>
      </c>
    </row>
    <row r="78" spans="3:51" ht="15.75" x14ac:dyDescent="0.25">
      <c r="C78" s="1" t="s">
        <v>950</v>
      </c>
      <c r="D78" s="1"/>
      <c r="E78" s="1" t="s">
        <v>1003</v>
      </c>
      <c r="F78" s="1" t="s">
        <v>1003</v>
      </c>
      <c r="G78" s="1" t="s">
        <v>1052</v>
      </c>
      <c r="H78" s="1">
        <v>4753</v>
      </c>
      <c r="I78" s="159">
        <v>1607467</v>
      </c>
      <c r="J78" s="159">
        <v>338.20050494424572</v>
      </c>
      <c r="K78" s="159">
        <v>1600</v>
      </c>
      <c r="L78" s="159">
        <v>200</v>
      </c>
      <c r="M78" s="159">
        <v>300</v>
      </c>
      <c r="N78" s="159">
        <v>0</v>
      </c>
      <c r="O78" s="159">
        <v>0</v>
      </c>
      <c r="P78" s="159">
        <v>0</v>
      </c>
      <c r="Q78" s="159">
        <v>250</v>
      </c>
      <c r="R78" s="159">
        <v>0</v>
      </c>
      <c r="S78" s="162"/>
      <c r="T78" s="161">
        <v>1</v>
      </c>
      <c r="U78" s="161">
        <v>0</v>
      </c>
      <c r="V78" s="161">
        <v>0.5</v>
      </c>
      <c r="W78" s="162"/>
      <c r="X78" s="161">
        <v>0.02</v>
      </c>
      <c r="Y78" s="162"/>
      <c r="Z78" s="163">
        <f t="shared" si="15"/>
        <v>3000</v>
      </c>
      <c r="AA78" s="163">
        <f t="shared" si="16"/>
        <v>500</v>
      </c>
      <c r="AB78" s="163">
        <v>650</v>
      </c>
      <c r="AC78" s="163">
        <v>2500</v>
      </c>
      <c r="AD78" s="162"/>
      <c r="AE78" s="161">
        <v>0</v>
      </c>
      <c r="AF78" s="162"/>
      <c r="AG78" s="161">
        <v>300</v>
      </c>
      <c r="AH78" s="161">
        <v>2000</v>
      </c>
      <c r="AI78" s="162"/>
      <c r="AJ78" s="163">
        <f t="shared" si="17"/>
        <v>338.20050494424572</v>
      </c>
      <c r="AK78" s="163">
        <f t="shared" si="18"/>
        <v>300</v>
      </c>
      <c r="AL78" s="163">
        <f t="shared" si="19"/>
        <v>0</v>
      </c>
      <c r="AM78" s="163">
        <f t="shared" si="20"/>
        <v>250</v>
      </c>
      <c r="AN78" s="163">
        <f t="shared" si="21"/>
        <v>14.091687706010239</v>
      </c>
      <c r="AO78" s="163">
        <f t="shared" si="22"/>
        <v>0</v>
      </c>
      <c r="AP78" s="163">
        <f t="shared" si="23"/>
        <v>7.0458438530051195</v>
      </c>
      <c r="AQ78" s="163">
        <f t="shared" si="24"/>
        <v>6.7640100988849143</v>
      </c>
      <c r="AR78" s="163">
        <f t="shared" si="25"/>
        <v>125</v>
      </c>
      <c r="AS78" s="163">
        <f t="shared" si="26"/>
        <v>41.666666666666664</v>
      </c>
      <c r="AT78" s="163">
        <f t="shared" si="26"/>
        <v>54.166666666666664</v>
      </c>
      <c r="AU78" s="163">
        <f t="shared" si="26"/>
        <v>208.33333333333334</v>
      </c>
      <c r="AV78" s="163">
        <f t="shared" si="27"/>
        <v>0</v>
      </c>
      <c r="AW78" s="163">
        <f t="shared" si="28"/>
        <v>8.3333333333333339</v>
      </c>
      <c r="AX78" s="163">
        <f t="shared" si="28"/>
        <v>55.555555555555557</v>
      </c>
      <c r="AY78" s="164">
        <f t="shared" si="29"/>
        <v>1409.1576021577016</v>
      </c>
    </row>
    <row r="79" spans="3:51" ht="15.75" x14ac:dyDescent="0.25">
      <c r="C79" s="1" t="s">
        <v>950</v>
      </c>
      <c r="D79" s="1"/>
      <c r="E79" s="1" t="s">
        <v>961</v>
      </c>
      <c r="F79" s="1" t="s">
        <v>725</v>
      </c>
      <c r="G79" s="1" t="s">
        <v>1053</v>
      </c>
      <c r="H79" s="1">
        <v>1</v>
      </c>
      <c r="I79" s="159">
        <v>490</v>
      </c>
      <c r="J79" s="159">
        <v>490</v>
      </c>
      <c r="K79" s="159">
        <v>490</v>
      </c>
      <c r="L79" s="159">
        <v>490</v>
      </c>
      <c r="M79" s="159">
        <v>0</v>
      </c>
      <c r="N79" s="159">
        <v>0</v>
      </c>
      <c r="O79" s="159">
        <v>0</v>
      </c>
      <c r="P79" s="159">
        <v>0</v>
      </c>
      <c r="Q79" s="159">
        <v>150</v>
      </c>
      <c r="R79" s="159">
        <v>150</v>
      </c>
      <c r="S79" s="162"/>
      <c r="T79" s="161">
        <v>1</v>
      </c>
      <c r="U79" s="161">
        <v>0</v>
      </c>
      <c r="V79" s="161">
        <v>0.5</v>
      </c>
      <c r="W79" s="162"/>
      <c r="X79" s="161">
        <v>0.02</v>
      </c>
      <c r="Y79" s="162"/>
      <c r="Z79" s="163">
        <f t="shared" si="15"/>
        <v>3000</v>
      </c>
      <c r="AA79" s="163">
        <f t="shared" si="16"/>
        <v>500</v>
      </c>
      <c r="AB79" s="163">
        <v>650</v>
      </c>
      <c r="AC79" s="163">
        <v>2500</v>
      </c>
      <c r="AD79" s="162"/>
      <c r="AE79" s="161">
        <v>0</v>
      </c>
      <c r="AF79" s="162"/>
      <c r="AG79" s="161">
        <v>300</v>
      </c>
      <c r="AH79" s="161">
        <v>2000</v>
      </c>
      <c r="AI79" s="162"/>
      <c r="AJ79" s="163">
        <f t="shared" si="17"/>
        <v>490</v>
      </c>
      <c r="AK79" s="163">
        <f t="shared" si="18"/>
        <v>0</v>
      </c>
      <c r="AL79" s="163">
        <f t="shared" si="19"/>
        <v>0</v>
      </c>
      <c r="AM79" s="163">
        <f t="shared" si="20"/>
        <v>150</v>
      </c>
      <c r="AN79" s="163">
        <f t="shared" si="21"/>
        <v>20.416666666666668</v>
      </c>
      <c r="AO79" s="163">
        <f t="shared" si="22"/>
        <v>0</v>
      </c>
      <c r="AP79" s="163">
        <f t="shared" si="23"/>
        <v>10.208333333333334</v>
      </c>
      <c r="AQ79" s="163">
        <f t="shared" si="24"/>
        <v>9.8000000000000007</v>
      </c>
      <c r="AR79" s="163">
        <f t="shared" si="25"/>
        <v>125</v>
      </c>
      <c r="AS79" s="163">
        <f t="shared" si="26"/>
        <v>41.666666666666664</v>
      </c>
      <c r="AT79" s="163">
        <f t="shared" si="26"/>
        <v>54.166666666666664</v>
      </c>
      <c r="AU79" s="163">
        <f t="shared" si="26"/>
        <v>208.33333333333334</v>
      </c>
      <c r="AV79" s="163">
        <f t="shared" si="27"/>
        <v>0</v>
      </c>
      <c r="AW79" s="163">
        <f t="shared" si="28"/>
        <v>8.3333333333333339</v>
      </c>
      <c r="AX79" s="163">
        <f t="shared" si="28"/>
        <v>55.555555555555557</v>
      </c>
      <c r="AY79" s="164">
        <f t="shared" si="29"/>
        <v>1173.4805555555554</v>
      </c>
    </row>
    <row r="80" spans="3:51" ht="15.75" x14ac:dyDescent="0.25">
      <c r="C80" s="1" t="s">
        <v>950</v>
      </c>
      <c r="D80" s="1"/>
      <c r="E80" s="1" t="s">
        <v>968</v>
      </c>
      <c r="F80" s="1" t="s">
        <v>966</v>
      </c>
      <c r="G80" s="1" t="s">
        <v>1054</v>
      </c>
      <c r="H80" s="1">
        <v>90</v>
      </c>
      <c r="I80" s="159">
        <v>112625</v>
      </c>
      <c r="J80" s="159">
        <v>1251.3888888888889</v>
      </c>
      <c r="K80" s="159">
        <v>1700</v>
      </c>
      <c r="L80" s="159">
        <v>1000</v>
      </c>
      <c r="M80" s="159">
        <v>0</v>
      </c>
      <c r="N80" s="159">
        <v>0</v>
      </c>
      <c r="O80" s="159">
        <v>0</v>
      </c>
      <c r="P80" s="159">
        <v>0</v>
      </c>
      <c r="Q80" s="159">
        <v>150</v>
      </c>
      <c r="R80" s="159">
        <v>120</v>
      </c>
      <c r="S80" s="162"/>
      <c r="T80" s="161">
        <v>1</v>
      </c>
      <c r="U80" s="161">
        <v>0</v>
      </c>
      <c r="V80" s="161">
        <v>0.5</v>
      </c>
      <c r="W80" s="162"/>
      <c r="X80" s="161">
        <v>0.02</v>
      </c>
      <c r="Y80" s="162"/>
      <c r="Z80" s="163">
        <f t="shared" si="15"/>
        <v>3000</v>
      </c>
      <c r="AA80" s="163">
        <f t="shared" si="16"/>
        <v>500</v>
      </c>
      <c r="AB80" s="163">
        <v>650</v>
      </c>
      <c r="AC80" s="163">
        <v>2500</v>
      </c>
      <c r="AD80" s="162"/>
      <c r="AE80" s="161">
        <v>0</v>
      </c>
      <c r="AF80" s="162"/>
      <c r="AG80" s="161">
        <v>300</v>
      </c>
      <c r="AH80" s="161">
        <v>2000</v>
      </c>
      <c r="AI80" s="162"/>
      <c r="AJ80" s="163">
        <f t="shared" si="17"/>
        <v>1251.3888888888889</v>
      </c>
      <c r="AK80" s="163">
        <f t="shared" si="18"/>
        <v>0</v>
      </c>
      <c r="AL80" s="163">
        <f t="shared" si="19"/>
        <v>0</v>
      </c>
      <c r="AM80" s="163">
        <f t="shared" si="20"/>
        <v>150</v>
      </c>
      <c r="AN80" s="163">
        <f t="shared" si="21"/>
        <v>52.141203703703702</v>
      </c>
      <c r="AO80" s="163">
        <f t="shared" si="22"/>
        <v>0</v>
      </c>
      <c r="AP80" s="163">
        <f t="shared" si="23"/>
        <v>26.070601851851851</v>
      </c>
      <c r="AQ80" s="163">
        <f t="shared" si="24"/>
        <v>25.027777777777779</v>
      </c>
      <c r="AR80" s="163">
        <f t="shared" si="25"/>
        <v>125</v>
      </c>
      <c r="AS80" s="163">
        <f t="shared" si="26"/>
        <v>41.666666666666664</v>
      </c>
      <c r="AT80" s="163">
        <f t="shared" si="26"/>
        <v>54.166666666666664</v>
      </c>
      <c r="AU80" s="163">
        <f t="shared" si="26"/>
        <v>208.33333333333334</v>
      </c>
      <c r="AV80" s="163">
        <f t="shared" si="27"/>
        <v>0</v>
      </c>
      <c r="AW80" s="163">
        <f t="shared" si="28"/>
        <v>8.3333333333333339</v>
      </c>
      <c r="AX80" s="163">
        <f t="shared" si="28"/>
        <v>55.555555555555557</v>
      </c>
      <c r="AY80" s="164">
        <f t="shared" si="29"/>
        <v>1997.6840277777781</v>
      </c>
    </row>
    <row r="81" spans="3:51" ht="15.75" x14ac:dyDescent="0.25">
      <c r="C81" s="1" t="s">
        <v>950</v>
      </c>
      <c r="D81" s="1"/>
      <c r="E81" s="1" t="s">
        <v>4</v>
      </c>
      <c r="F81" s="1" t="s">
        <v>4</v>
      </c>
      <c r="G81" s="1" t="s">
        <v>1055</v>
      </c>
      <c r="H81" s="1">
        <v>55</v>
      </c>
      <c r="I81" s="159">
        <v>69690</v>
      </c>
      <c r="J81" s="159">
        <v>1267.090909090909</v>
      </c>
      <c r="K81" s="159">
        <v>1650</v>
      </c>
      <c r="L81" s="159">
        <v>1100</v>
      </c>
      <c r="M81" s="159"/>
      <c r="N81" s="159"/>
      <c r="O81" s="159"/>
      <c r="P81" s="159"/>
      <c r="Q81" s="159">
        <v>250</v>
      </c>
      <c r="R81" s="159">
        <v>120</v>
      </c>
      <c r="S81" s="162"/>
      <c r="T81" s="161">
        <v>1</v>
      </c>
      <c r="U81" s="161">
        <v>0</v>
      </c>
      <c r="V81" s="161">
        <v>0.5</v>
      </c>
      <c r="W81" s="162"/>
      <c r="X81" s="161">
        <v>0.02</v>
      </c>
      <c r="Y81" s="162"/>
      <c r="Z81" s="163">
        <f t="shared" si="15"/>
        <v>3000</v>
      </c>
      <c r="AA81" s="163">
        <f t="shared" si="16"/>
        <v>500</v>
      </c>
      <c r="AB81" s="163">
        <v>650</v>
      </c>
      <c r="AC81" s="163">
        <v>2500</v>
      </c>
      <c r="AD81" s="162"/>
      <c r="AE81" s="161">
        <v>0</v>
      </c>
      <c r="AF81" s="162"/>
      <c r="AG81" s="161">
        <v>300</v>
      </c>
      <c r="AH81" s="161">
        <v>2000</v>
      </c>
      <c r="AI81" s="162"/>
      <c r="AJ81" s="163">
        <f t="shared" si="17"/>
        <v>1267.090909090909</v>
      </c>
      <c r="AK81" s="163">
        <f t="shared" si="18"/>
        <v>0</v>
      </c>
      <c r="AL81" s="163">
        <f t="shared" si="19"/>
        <v>0</v>
      </c>
      <c r="AM81" s="163">
        <f t="shared" si="20"/>
        <v>250</v>
      </c>
      <c r="AN81" s="163">
        <f t="shared" si="21"/>
        <v>52.79545454545454</v>
      </c>
      <c r="AO81" s="163">
        <f t="shared" si="22"/>
        <v>0</v>
      </c>
      <c r="AP81" s="163">
        <f t="shared" si="23"/>
        <v>26.39772727272727</v>
      </c>
      <c r="AQ81" s="163">
        <f t="shared" si="24"/>
        <v>25.34181818181818</v>
      </c>
      <c r="AR81" s="163">
        <f t="shared" si="25"/>
        <v>125</v>
      </c>
      <c r="AS81" s="163">
        <f t="shared" si="26"/>
        <v>41.666666666666664</v>
      </c>
      <c r="AT81" s="163">
        <f t="shared" si="26"/>
        <v>54.166666666666664</v>
      </c>
      <c r="AU81" s="163">
        <f t="shared" si="26"/>
        <v>208.33333333333334</v>
      </c>
      <c r="AV81" s="163">
        <f t="shared" si="27"/>
        <v>0</v>
      </c>
      <c r="AW81" s="163">
        <f t="shared" si="28"/>
        <v>8.3333333333333339</v>
      </c>
      <c r="AX81" s="163">
        <f t="shared" si="28"/>
        <v>55.555555555555557</v>
      </c>
      <c r="AY81" s="164">
        <f t="shared" si="29"/>
        <v>2114.681464646465</v>
      </c>
    </row>
    <row r="82" spans="3:51" ht="15.75" x14ac:dyDescent="0.25">
      <c r="C82" s="1" t="s">
        <v>950</v>
      </c>
      <c r="D82" s="1"/>
      <c r="E82" s="1" t="s">
        <v>968</v>
      </c>
      <c r="F82" s="1" t="s">
        <v>1028</v>
      </c>
      <c r="G82" s="1" t="s">
        <v>1056</v>
      </c>
      <c r="H82" s="1">
        <v>67</v>
      </c>
      <c r="I82" s="159">
        <v>81000</v>
      </c>
      <c r="J82" s="159">
        <v>1208.955223880597</v>
      </c>
      <c r="K82" s="159">
        <v>2350</v>
      </c>
      <c r="L82" s="159">
        <v>800</v>
      </c>
      <c r="M82" s="159">
        <v>0</v>
      </c>
      <c r="N82" s="159">
        <v>0</v>
      </c>
      <c r="O82" s="159">
        <v>0</v>
      </c>
      <c r="P82" s="159">
        <v>0</v>
      </c>
      <c r="Q82" s="159">
        <v>150</v>
      </c>
      <c r="R82" s="159">
        <v>0</v>
      </c>
      <c r="S82" s="162"/>
      <c r="T82" s="161">
        <v>1</v>
      </c>
      <c r="U82" s="161">
        <v>0</v>
      </c>
      <c r="V82" s="161">
        <v>0.5</v>
      </c>
      <c r="W82" s="162"/>
      <c r="X82" s="161">
        <v>0.02</v>
      </c>
      <c r="Y82" s="162"/>
      <c r="Z82" s="163">
        <f t="shared" si="15"/>
        <v>3000</v>
      </c>
      <c r="AA82" s="163">
        <f t="shared" si="16"/>
        <v>500</v>
      </c>
      <c r="AB82" s="163">
        <v>650</v>
      </c>
      <c r="AC82" s="163">
        <v>2500</v>
      </c>
      <c r="AD82" s="162"/>
      <c r="AE82" s="161">
        <v>0</v>
      </c>
      <c r="AF82" s="162"/>
      <c r="AG82" s="161">
        <v>300</v>
      </c>
      <c r="AH82" s="161">
        <v>2000</v>
      </c>
      <c r="AI82" s="162"/>
      <c r="AJ82" s="163">
        <f t="shared" si="17"/>
        <v>1208.955223880597</v>
      </c>
      <c r="AK82" s="163">
        <f t="shared" si="18"/>
        <v>0</v>
      </c>
      <c r="AL82" s="163">
        <f t="shared" si="19"/>
        <v>0</v>
      </c>
      <c r="AM82" s="163">
        <f t="shared" si="20"/>
        <v>150</v>
      </c>
      <c r="AN82" s="163">
        <f t="shared" si="21"/>
        <v>50.373134328358212</v>
      </c>
      <c r="AO82" s="163">
        <f t="shared" si="22"/>
        <v>0</v>
      </c>
      <c r="AP82" s="163">
        <f t="shared" si="23"/>
        <v>25.186567164179106</v>
      </c>
      <c r="AQ82" s="163">
        <f t="shared" si="24"/>
        <v>24.17910447761194</v>
      </c>
      <c r="AR82" s="163">
        <f t="shared" si="25"/>
        <v>125</v>
      </c>
      <c r="AS82" s="163">
        <f t="shared" si="26"/>
        <v>41.666666666666664</v>
      </c>
      <c r="AT82" s="163">
        <f t="shared" si="26"/>
        <v>54.166666666666664</v>
      </c>
      <c r="AU82" s="163">
        <f t="shared" si="26"/>
        <v>208.33333333333334</v>
      </c>
      <c r="AV82" s="163">
        <f t="shared" si="27"/>
        <v>0</v>
      </c>
      <c r="AW82" s="163">
        <f t="shared" si="28"/>
        <v>8.3333333333333339</v>
      </c>
      <c r="AX82" s="163">
        <f t="shared" si="28"/>
        <v>55.555555555555557</v>
      </c>
      <c r="AY82" s="164">
        <f t="shared" si="29"/>
        <v>1951.7495854063018</v>
      </c>
    </row>
    <row r="83" spans="3:51" ht="15.75" x14ac:dyDescent="0.25">
      <c r="C83" s="1" t="s">
        <v>950</v>
      </c>
      <c r="D83" s="1"/>
      <c r="E83" s="1" t="s">
        <v>951</v>
      </c>
      <c r="F83" s="1" t="s">
        <v>1026</v>
      </c>
      <c r="G83" s="1" t="s">
        <v>1057</v>
      </c>
      <c r="H83" s="1">
        <v>36</v>
      </c>
      <c r="I83" s="159">
        <v>65920</v>
      </c>
      <c r="J83" s="159">
        <v>1831.1111111111111</v>
      </c>
      <c r="K83" s="159">
        <v>3000</v>
      </c>
      <c r="L83" s="159">
        <v>1000</v>
      </c>
      <c r="M83" s="159">
        <v>300</v>
      </c>
      <c r="N83" s="159">
        <v>0</v>
      </c>
      <c r="O83" s="159">
        <v>0</v>
      </c>
      <c r="P83" s="159">
        <v>0</v>
      </c>
      <c r="Q83" s="159">
        <v>150</v>
      </c>
      <c r="R83" s="159">
        <v>0</v>
      </c>
      <c r="S83" s="162"/>
      <c r="T83" s="161">
        <v>1</v>
      </c>
      <c r="U83" s="161">
        <v>0</v>
      </c>
      <c r="V83" s="161">
        <v>0.5</v>
      </c>
      <c r="W83" s="162"/>
      <c r="X83" s="161">
        <v>0.02</v>
      </c>
      <c r="Y83" s="162"/>
      <c r="Z83" s="163">
        <f t="shared" si="15"/>
        <v>3000</v>
      </c>
      <c r="AA83" s="163">
        <f t="shared" si="16"/>
        <v>500</v>
      </c>
      <c r="AB83" s="163">
        <v>650</v>
      </c>
      <c r="AC83" s="163">
        <v>2500</v>
      </c>
      <c r="AD83" s="162"/>
      <c r="AE83" s="161">
        <v>0</v>
      </c>
      <c r="AF83" s="162"/>
      <c r="AG83" s="161">
        <v>300</v>
      </c>
      <c r="AH83" s="161">
        <v>2000</v>
      </c>
      <c r="AI83" s="162"/>
      <c r="AJ83" s="163">
        <f t="shared" si="17"/>
        <v>1831.1111111111111</v>
      </c>
      <c r="AK83" s="163">
        <f t="shared" si="18"/>
        <v>300</v>
      </c>
      <c r="AL83" s="163">
        <f t="shared" si="19"/>
        <v>0</v>
      </c>
      <c r="AM83" s="163">
        <f t="shared" si="20"/>
        <v>150</v>
      </c>
      <c r="AN83" s="163">
        <f t="shared" si="21"/>
        <v>76.296296296296291</v>
      </c>
      <c r="AO83" s="163">
        <f t="shared" si="22"/>
        <v>0</v>
      </c>
      <c r="AP83" s="163">
        <f t="shared" si="23"/>
        <v>38.148148148148145</v>
      </c>
      <c r="AQ83" s="163">
        <f t="shared" si="24"/>
        <v>36.62222222222222</v>
      </c>
      <c r="AR83" s="163">
        <f t="shared" si="25"/>
        <v>125</v>
      </c>
      <c r="AS83" s="163">
        <f t="shared" si="26"/>
        <v>41.666666666666664</v>
      </c>
      <c r="AT83" s="163">
        <f t="shared" si="26"/>
        <v>54.166666666666664</v>
      </c>
      <c r="AU83" s="163">
        <f t="shared" si="26"/>
        <v>208.33333333333334</v>
      </c>
      <c r="AV83" s="163">
        <f t="shared" si="27"/>
        <v>0</v>
      </c>
      <c r="AW83" s="163">
        <f t="shared" si="28"/>
        <v>8.3333333333333339</v>
      </c>
      <c r="AX83" s="163">
        <f t="shared" si="28"/>
        <v>55.555555555555557</v>
      </c>
      <c r="AY83" s="164">
        <f t="shared" si="29"/>
        <v>2925.2333333333336</v>
      </c>
    </row>
    <row r="84" spans="3:51" ht="15.75" x14ac:dyDescent="0.25">
      <c r="C84" s="1" t="s">
        <v>950</v>
      </c>
      <c r="D84" s="1"/>
      <c r="E84" s="1" t="s">
        <v>986</v>
      </c>
      <c r="F84" s="1" t="s">
        <v>986</v>
      </c>
      <c r="G84" s="1" t="s">
        <v>1058</v>
      </c>
      <c r="H84" s="1">
        <v>6</v>
      </c>
      <c r="I84" s="159">
        <v>9000</v>
      </c>
      <c r="J84" s="159">
        <v>1500</v>
      </c>
      <c r="K84" s="159">
        <v>1600</v>
      </c>
      <c r="L84" s="159">
        <v>1400</v>
      </c>
      <c r="M84" s="159">
        <v>0</v>
      </c>
      <c r="N84" s="159">
        <v>0</v>
      </c>
      <c r="O84" s="159">
        <v>0</v>
      </c>
      <c r="P84" s="159">
        <v>0</v>
      </c>
      <c r="Q84" s="159">
        <v>150</v>
      </c>
      <c r="R84" s="159">
        <v>150</v>
      </c>
      <c r="S84" s="162"/>
      <c r="T84" s="161">
        <v>1</v>
      </c>
      <c r="U84" s="161">
        <v>0</v>
      </c>
      <c r="V84" s="161">
        <v>0.5</v>
      </c>
      <c r="W84" s="162"/>
      <c r="X84" s="161">
        <v>0.02</v>
      </c>
      <c r="Y84" s="162"/>
      <c r="Z84" s="163">
        <f t="shared" si="15"/>
        <v>3000</v>
      </c>
      <c r="AA84" s="163">
        <f t="shared" si="16"/>
        <v>500</v>
      </c>
      <c r="AB84" s="163">
        <v>650</v>
      </c>
      <c r="AC84" s="163">
        <v>2500</v>
      </c>
      <c r="AD84" s="162"/>
      <c r="AE84" s="161">
        <v>0</v>
      </c>
      <c r="AF84" s="162"/>
      <c r="AG84" s="161">
        <v>300</v>
      </c>
      <c r="AH84" s="161">
        <v>2000</v>
      </c>
      <c r="AI84" s="162"/>
      <c r="AJ84" s="163">
        <f t="shared" si="17"/>
        <v>1500</v>
      </c>
      <c r="AK84" s="163">
        <f t="shared" si="18"/>
        <v>0</v>
      </c>
      <c r="AL84" s="163">
        <f t="shared" si="19"/>
        <v>0</v>
      </c>
      <c r="AM84" s="163">
        <f t="shared" si="20"/>
        <v>150</v>
      </c>
      <c r="AN84" s="163">
        <f t="shared" si="21"/>
        <v>62.5</v>
      </c>
      <c r="AO84" s="163">
        <f t="shared" si="22"/>
        <v>0</v>
      </c>
      <c r="AP84" s="163">
        <f t="shared" si="23"/>
        <v>31.25</v>
      </c>
      <c r="AQ84" s="163">
        <f t="shared" si="24"/>
        <v>30</v>
      </c>
      <c r="AR84" s="163">
        <f t="shared" si="25"/>
        <v>125</v>
      </c>
      <c r="AS84" s="163">
        <f t="shared" si="26"/>
        <v>41.666666666666664</v>
      </c>
      <c r="AT84" s="163">
        <f t="shared" si="26"/>
        <v>54.166666666666664</v>
      </c>
      <c r="AU84" s="163">
        <f t="shared" si="26"/>
        <v>208.33333333333334</v>
      </c>
      <c r="AV84" s="163">
        <f t="shared" si="27"/>
        <v>0</v>
      </c>
      <c r="AW84" s="163">
        <f t="shared" si="28"/>
        <v>8.3333333333333339</v>
      </c>
      <c r="AX84" s="163">
        <f t="shared" si="28"/>
        <v>55.555555555555557</v>
      </c>
      <c r="AY84" s="164">
        <f t="shared" si="29"/>
        <v>2266.8055555555561</v>
      </c>
    </row>
    <row r="85" spans="3:51" ht="15.75" x14ac:dyDescent="0.25">
      <c r="C85" s="1" t="s">
        <v>950</v>
      </c>
      <c r="D85" s="1"/>
      <c r="E85" s="1" t="s">
        <v>990</v>
      </c>
      <c r="F85" s="1" t="s">
        <v>990</v>
      </c>
      <c r="G85" s="1" t="s">
        <v>1059</v>
      </c>
      <c r="H85" s="1">
        <v>3</v>
      </c>
      <c r="I85" s="159">
        <v>3900</v>
      </c>
      <c r="J85" s="159">
        <v>1300</v>
      </c>
      <c r="K85" s="159">
        <v>1400</v>
      </c>
      <c r="L85" s="159">
        <v>1200</v>
      </c>
      <c r="M85" s="159">
        <v>0</v>
      </c>
      <c r="N85" s="159">
        <v>0</v>
      </c>
      <c r="O85" s="159">
        <v>0</v>
      </c>
      <c r="P85" s="159">
        <v>0</v>
      </c>
      <c r="Q85" s="159">
        <v>150</v>
      </c>
      <c r="R85" s="159">
        <v>150</v>
      </c>
      <c r="S85" s="162"/>
      <c r="T85" s="161">
        <v>1</v>
      </c>
      <c r="U85" s="161">
        <v>0</v>
      </c>
      <c r="V85" s="161">
        <v>0.5</v>
      </c>
      <c r="W85" s="162"/>
      <c r="X85" s="161">
        <v>0.02</v>
      </c>
      <c r="Y85" s="162"/>
      <c r="Z85" s="163">
        <f t="shared" si="15"/>
        <v>3000</v>
      </c>
      <c r="AA85" s="163">
        <f t="shared" si="16"/>
        <v>500</v>
      </c>
      <c r="AB85" s="163">
        <v>650</v>
      </c>
      <c r="AC85" s="163">
        <v>2500</v>
      </c>
      <c r="AD85" s="162"/>
      <c r="AE85" s="161">
        <v>0</v>
      </c>
      <c r="AF85" s="162"/>
      <c r="AG85" s="161">
        <v>300</v>
      </c>
      <c r="AH85" s="161">
        <v>2000</v>
      </c>
      <c r="AI85" s="162"/>
      <c r="AJ85" s="163">
        <f t="shared" si="17"/>
        <v>1300</v>
      </c>
      <c r="AK85" s="163">
        <f t="shared" si="18"/>
        <v>0</v>
      </c>
      <c r="AL85" s="163">
        <f t="shared" si="19"/>
        <v>0</v>
      </c>
      <c r="AM85" s="163">
        <f t="shared" si="20"/>
        <v>150</v>
      </c>
      <c r="AN85" s="163">
        <f t="shared" si="21"/>
        <v>54.166666666666664</v>
      </c>
      <c r="AO85" s="163">
        <f t="shared" si="22"/>
        <v>0</v>
      </c>
      <c r="AP85" s="163">
        <f t="shared" si="23"/>
        <v>27.083333333333332</v>
      </c>
      <c r="AQ85" s="163">
        <f t="shared" si="24"/>
        <v>26</v>
      </c>
      <c r="AR85" s="163">
        <f t="shared" si="25"/>
        <v>125</v>
      </c>
      <c r="AS85" s="163">
        <f t="shared" si="26"/>
        <v>41.666666666666664</v>
      </c>
      <c r="AT85" s="163">
        <f t="shared" si="26"/>
        <v>54.166666666666664</v>
      </c>
      <c r="AU85" s="163">
        <f t="shared" si="26"/>
        <v>208.33333333333334</v>
      </c>
      <c r="AV85" s="163">
        <f t="shared" si="27"/>
        <v>0</v>
      </c>
      <c r="AW85" s="163">
        <f t="shared" si="28"/>
        <v>8.3333333333333339</v>
      </c>
      <c r="AX85" s="163">
        <f t="shared" si="28"/>
        <v>55.555555555555557</v>
      </c>
      <c r="AY85" s="164">
        <f t="shared" si="29"/>
        <v>2050.3055555555557</v>
      </c>
    </row>
    <row r="86" spans="3:51" ht="15.75" x14ac:dyDescent="0.25">
      <c r="C86" s="1" t="s">
        <v>950</v>
      </c>
      <c r="D86" s="1"/>
      <c r="E86" s="1" t="s">
        <v>951</v>
      </c>
      <c r="F86" s="1" t="s">
        <v>1026</v>
      </c>
      <c r="G86" s="1" t="s">
        <v>560</v>
      </c>
      <c r="H86" s="1">
        <v>6</v>
      </c>
      <c r="I86" s="159">
        <v>6599</v>
      </c>
      <c r="J86" s="159">
        <v>1099.8333333333333</v>
      </c>
      <c r="K86" s="159">
        <v>1400</v>
      </c>
      <c r="L86" s="159">
        <v>820</v>
      </c>
      <c r="M86" s="159">
        <v>0</v>
      </c>
      <c r="N86" s="159">
        <v>0</v>
      </c>
      <c r="O86" s="159">
        <v>0</v>
      </c>
      <c r="P86" s="159">
        <v>0</v>
      </c>
      <c r="Q86" s="159">
        <v>150</v>
      </c>
      <c r="R86" s="159">
        <v>150</v>
      </c>
      <c r="S86" s="162"/>
      <c r="T86" s="161">
        <v>1</v>
      </c>
      <c r="U86" s="161">
        <v>0</v>
      </c>
      <c r="V86" s="161">
        <v>0.5</v>
      </c>
      <c r="W86" s="162"/>
      <c r="X86" s="161">
        <v>0.02</v>
      </c>
      <c r="Y86" s="162"/>
      <c r="Z86" s="163">
        <f t="shared" si="15"/>
        <v>3000</v>
      </c>
      <c r="AA86" s="163">
        <f t="shared" si="16"/>
        <v>500</v>
      </c>
      <c r="AB86" s="163">
        <v>650</v>
      </c>
      <c r="AC86" s="163">
        <v>2500</v>
      </c>
      <c r="AD86" s="162"/>
      <c r="AE86" s="161">
        <v>0</v>
      </c>
      <c r="AF86" s="162"/>
      <c r="AG86" s="161">
        <v>300</v>
      </c>
      <c r="AH86" s="161">
        <v>2000</v>
      </c>
      <c r="AI86" s="162"/>
      <c r="AJ86" s="163">
        <f t="shared" si="17"/>
        <v>1099.8333333333333</v>
      </c>
      <c r="AK86" s="163">
        <f t="shared" si="18"/>
        <v>0</v>
      </c>
      <c r="AL86" s="163">
        <f t="shared" si="19"/>
        <v>0</v>
      </c>
      <c r="AM86" s="163">
        <f t="shared" si="20"/>
        <v>150</v>
      </c>
      <c r="AN86" s="163">
        <f t="shared" si="21"/>
        <v>45.826388888888886</v>
      </c>
      <c r="AO86" s="163">
        <f t="shared" si="22"/>
        <v>0</v>
      </c>
      <c r="AP86" s="163">
        <f t="shared" si="23"/>
        <v>22.913194444444443</v>
      </c>
      <c r="AQ86" s="163">
        <f t="shared" si="24"/>
        <v>21.996666666666666</v>
      </c>
      <c r="AR86" s="163">
        <f t="shared" si="25"/>
        <v>125</v>
      </c>
      <c r="AS86" s="163">
        <f t="shared" si="26"/>
        <v>41.666666666666664</v>
      </c>
      <c r="AT86" s="163">
        <f t="shared" si="26"/>
        <v>54.166666666666664</v>
      </c>
      <c r="AU86" s="163">
        <f t="shared" si="26"/>
        <v>208.33333333333334</v>
      </c>
      <c r="AV86" s="163">
        <f t="shared" si="27"/>
        <v>0</v>
      </c>
      <c r="AW86" s="163">
        <f t="shared" si="28"/>
        <v>8.3333333333333339</v>
      </c>
      <c r="AX86" s="163">
        <f t="shared" si="28"/>
        <v>55.555555555555557</v>
      </c>
      <c r="AY86" s="164">
        <f t="shared" si="29"/>
        <v>1833.6251388888888</v>
      </c>
    </row>
    <row r="87" spans="3:51" ht="15.75" x14ac:dyDescent="0.25">
      <c r="C87" s="1" t="s">
        <v>950</v>
      </c>
      <c r="D87" s="1"/>
      <c r="E87" s="1" t="s">
        <v>9</v>
      </c>
      <c r="F87" s="1" t="s">
        <v>570</v>
      </c>
      <c r="G87" s="1" t="s">
        <v>1060</v>
      </c>
      <c r="H87" s="1">
        <v>18</v>
      </c>
      <c r="I87" s="159">
        <v>22310</v>
      </c>
      <c r="J87" s="159">
        <v>1239.4444444444443</v>
      </c>
      <c r="K87" s="159">
        <v>1500</v>
      </c>
      <c r="L87" s="159">
        <v>900</v>
      </c>
      <c r="M87" s="159">
        <v>0</v>
      </c>
      <c r="N87" s="159">
        <v>0</v>
      </c>
      <c r="O87" s="159">
        <v>0</v>
      </c>
      <c r="P87" s="159">
        <v>0</v>
      </c>
      <c r="Q87" s="159">
        <v>150</v>
      </c>
      <c r="R87" s="159">
        <v>120</v>
      </c>
      <c r="S87" s="162"/>
      <c r="T87" s="161">
        <v>1</v>
      </c>
      <c r="U87" s="161">
        <v>0</v>
      </c>
      <c r="V87" s="161">
        <v>0.5</v>
      </c>
      <c r="W87" s="162"/>
      <c r="X87" s="161">
        <v>0.02</v>
      </c>
      <c r="Y87" s="162"/>
      <c r="Z87" s="163">
        <f t="shared" si="15"/>
        <v>3000</v>
      </c>
      <c r="AA87" s="163">
        <f t="shared" si="16"/>
        <v>500</v>
      </c>
      <c r="AB87" s="163">
        <v>650</v>
      </c>
      <c r="AC87" s="163">
        <v>2500</v>
      </c>
      <c r="AD87" s="162"/>
      <c r="AE87" s="161">
        <v>0</v>
      </c>
      <c r="AF87" s="162"/>
      <c r="AG87" s="161">
        <v>300</v>
      </c>
      <c r="AH87" s="161">
        <v>2000</v>
      </c>
      <c r="AI87" s="162"/>
      <c r="AJ87" s="163">
        <f t="shared" si="17"/>
        <v>1239.4444444444443</v>
      </c>
      <c r="AK87" s="163">
        <f t="shared" si="18"/>
        <v>0</v>
      </c>
      <c r="AL87" s="163">
        <f t="shared" si="19"/>
        <v>0</v>
      </c>
      <c r="AM87" s="163">
        <f t="shared" si="20"/>
        <v>150</v>
      </c>
      <c r="AN87" s="163">
        <f t="shared" si="21"/>
        <v>51.643518518518512</v>
      </c>
      <c r="AO87" s="163">
        <f t="shared" si="22"/>
        <v>0</v>
      </c>
      <c r="AP87" s="163">
        <f t="shared" si="23"/>
        <v>25.821759259259256</v>
      </c>
      <c r="AQ87" s="163">
        <f t="shared" si="24"/>
        <v>24.788888888888888</v>
      </c>
      <c r="AR87" s="163">
        <f t="shared" si="25"/>
        <v>125</v>
      </c>
      <c r="AS87" s="163">
        <f t="shared" si="26"/>
        <v>41.666666666666664</v>
      </c>
      <c r="AT87" s="163">
        <f t="shared" si="26"/>
        <v>54.166666666666664</v>
      </c>
      <c r="AU87" s="163">
        <f t="shared" si="26"/>
        <v>208.33333333333334</v>
      </c>
      <c r="AV87" s="163">
        <f t="shared" si="27"/>
        <v>0</v>
      </c>
      <c r="AW87" s="163">
        <f t="shared" si="28"/>
        <v>8.3333333333333339</v>
      </c>
      <c r="AX87" s="163">
        <f t="shared" si="28"/>
        <v>55.555555555555557</v>
      </c>
      <c r="AY87" s="164">
        <f t="shared" si="29"/>
        <v>1984.7541666666666</v>
      </c>
    </row>
    <row r="88" spans="3:51" ht="15.75" x14ac:dyDescent="0.25">
      <c r="C88" s="1" t="s">
        <v>950</v>
      </c>
      <c r="D88" s="1"/>
      <c r="E88" s="1" t="s">
        <v>1018</v>
      </c>
      <c r="F88" s="1" t="s">
        <v>1022</v>
      </c>
      <c r="G88" s="1" t="s">
        <v>1061</v>
      </c>
      <c r="H88" s="1">
        <v>43</v>
      </c>
      <c r="I88" s="159">
        <v>61300</v>
      </c>
      <c r="J88" s="159">
        <v>1425.5813953488373</v>
      </c>
      <c r="K88" s="159">
        <v>2700</v>
      </c>
      <c r="L88" s="159">
        <v>1100</v>
      </c>
      <c r="M88" s="159">
        <v>0</v>
      </c>
      <c r="N88" s="159">
        <v>0</v>
      </c>
      <c r="O88" s="159">
        <v>0</v>
      </c>
      <c r="P88" s="159">
        <v>0</v>
      </c>
      <c r="Q88" s="159">
        <v>200</v>
      </c>
      <c r="R88" s="159">
        <v>0</v>
      </c>
      <c r="S88" s="162"/>
      <c r="T88" s="161">
        <v>1</v>
      </c>
      <c r="U88" s="161">
        <v>0</v>
      </c>
      <c r="V88" s="161">
        <v>0.5</v>
      </c>
      <c r="W88" s="162"/>
      <c r="X88" s="161">
        <v>0.02</v>
      </c>
      <c r="Y88" s="162"/>
      <c r="Z88" s="163">
        <f t="shared" si="15"/>
        <v>3000</v>
      </c>
      <c r="AA88" s="163">
        <f t="shared" si="16"/>
        <v>500</v>
      </c>
      <c r="AB88" s="163">
        <v>650</v>
      </c>
      <c r="AC88" s="163">
        <v>2500</v>
      </c>
      <c r="AD88" s="162"/>
      <c r="AE88" s="161">
        <v>0</v>
      </c>
      <c r="AF88" s="162"/>
      <c r="AG88" s="161">
        <v>300</v>
      </c>
      <c r="AH88" s="161">
        <v>2000</v>
      </c>
      <c r="AI88" s="162"/>
      <c r="AJ88" s="163">
        <f t="shared" si="17"/>
        <v>1425.5813953488373</v>
      </c>
      <c r="AK88" s="163">
        <f t="shared" si="18"/>
        <v>0</v>
      </c>
      <c r="AL88" s="163">
        <f t="shared" si="19"/>
        <v>0</v>
      </c>
      <c r="AM88" s="163">
        <f t="shared" si="20"/>
        <v>200</v>
      </c>
      <c r="AN88" s="163">
        <f t="shared" si="21"/>
        <v>59.399224806201552</v>
      </c>
      <c r="AO88" s="163">
        <f t="shared" si="22"/>
        <v>0</v>
      </c>
      <c r="AP88" s="163">
        <f t="shared" si="23"/>
        <v>29.699612403100776</v>
      </c>
      <c r="AQ88" s="163">
        <f t="shared" si="24"/>
        <v>28.511627906976745</v>
      </c>
      <c r="AR88" s="163">
        <f t="shared" si="25"/>
        <v>125</v>
      </c>
      <c r="AS88" s="163">
        <f t="shared" si="26"/>
        <v>41.666666666666664</v>
      </c>
      <c r="AT88" s="163">
        <f t="shared" si="26"/>
        <v>54.166666666666664</v>
      </c>
      <c r="AU88" s="163">
        <f t="shared" si="26"/>
        <v>208.33333333333334</v>
      </c>
      <c r="AV88" s="163">
        <f t="shared" si="27"/>
        <v>0</v>
      </c>
      <c r="AW88" s="163">
        <f t="shared" si="28"/>
        <v>8.3333333333333339</v>
      </c>
      <c r="AX88" s="163">
        <f t="shared" si="28"/>
        <v>55.555555555555557</v>
      </c>
      <c r="AY88" s="164">
        <f t="shared" si="29"/>
        <v>2236.2474160206725</v>
      </c>
    </row>
    <row r="89" spans="3:51" ht="15.75" x14ac:dyDescent="0.25">
      <c r="C89" s="1" t="s">
        <v>950</v>
      </c>
      <c r="D89" s="1"/>
      <c r="E89" s="1" t="s">
        <v>961</v>
      </c>
      <c r="F89" s="1" t="s">
        <v>1048</v>
      </c>
      <c r="G89" s="1" t="s">
        <v>1062</v>
      </c>
      <c r="H89" s="1">
        <v>1</v>
      </c>
      <c r="I89" s="159">
        <v>1450</v>
      </c>
      <c r="J89" s="159">
        <v>1450</v>
      </c>
      <c r="K89" s="159">
        <v>1450</v>
      </c>
      <c r="L89" s="159">
        <v>1450</v>
      </c>
      <c r="M89" s="159">
        <v>0</v>
      </c>
      <c r="N89" s="159">
        <v>0</v>
      </c>
      <c r="O89" s="159">
        <v>0</v>
      </c>
      <c r="P89" s="159">
        <v>0</v>
      </c>
      <c r="Q89" s="159">
        <v>150</v>
      </c>
      <c r="R89" s="159">
        <v>150</v>
      </c>
      <c r="S89" s="162"/>
      <c r="T89" s="161">
        <v>1</v>
      </c>
      <c r="U89" s="161">
        <v>0</v>
      </c>
      <c r="V89" s="161">
        <v>0.5</v>
      </c>
      <c r="W89" s="162"/>
      <c r="X89" s="161">
        <v>0.02</v>
      </c>
      <c r="Y89" s="162"/>
      <c r="Z89" s="163">
        <f t="shared" si="15"/>
        <v>3000</v>
      </c>
      <c r="AA89" s="163">
        <f t="shared" si="16"/>
        <v>500</v>
      </c>
      <c r="AB89" s="163">
        <v>650</v>
      </c>
      <c r="AC89" s="163">
        <v>2500</v>
      </c>
      <c r="AD89" s="162"/>
      <c r="AE89" s="161">
        <v>0</v>
      </c>
      <c r="AF89" s="162"/>
      <c r="AG89" s="161">
        <v>300</v>
      </c>
      <c r="AH89" s="161">
        <v>2000</v>
      </c>
      <c r="AI89" s="162"/>
      <c r="AJ89" s="163">
        <f t="shared" si="17"/>
        <v>1450</v>
      </c>
      <c r="AK89" s="163">
        <f t="shared" si="18"/>
        <v>0</v>
      </c>
      <c r="AL89" s="163">
        <f t="shared" si="19"/>
        <v>0</v>
      </c>
      <c r="AM89" s="163">
        <f t="shared" si="20"/>
        <v>150</v>
      </c>
      <c r="AN89" s="163">
        <f t="shared" si="21"/>
        <v>60.416666666666664</v>
      </c>
      <c r="AO89" s="163">
        <f t="shared" si="22"/>
        <v>0</v>
      </c>
      <c r="AP89" s="163">
        <f t="shared" si="23"/>
        <v>30.208333333333332</v>
      </c>
      <c r="AQ89" s="163">
        <f t="shared" si="24"/>
        <v>29</v>
      </c>
      <c r="AR89" s="163">
        <f t="shared" si="25"/>
        <v>125</v>
      </c>
      <c r="AS89" s="163">
        <f t="shared" si="26"/>
        <v>41.666666666666664</v>
      </c>
      <c r="AT89" s="163">
        <f t="shared" si="26"/>
        <v>54.166666666666664</v>
      </c>
      <c r="AU89" s="163">
        <f t="shared" si="26"/>
        <v>208.33333333333334</v>
      </c>
      <c r="AV89" s="163">
        <f t="shared" si="27"/>
        <v>0</v>
      </c>
      <c r="AW89" s="163">
        <f t="shared" si="28"/>
        <v>8.3333333333333339</v>
      </c>
      <c r="AX89" s="163">
        <f t="shared" si="28"/>
        <v>55.555555555555557</v>
      </c>
      <c r="AY89" s="164">
        <f t="shared" si="29"/>
        <v>2212.6805555555561</v>
      </c>
    </row>
    <row r="90" spans="3:51" ht="15.75" x14ac:dyDescent="0.25">
      <c r="C90" s="1" t="s">
        <v>950</v>
      </c>
      <c r="D90" s="1"/>
      <c r="E90" s="1" t="s">
        <v>961</v>
      </c>
      <c r="F90" s="1" t="s">
        <v>725</v>
      </c>
      <c r="G90" s="1" t="s">
        <v>1063</v>
      </c>
      <c r="H90" s="1">
        <v>1</v>
      </c>
      <c r="I90" s="159">
        <v>3200</v>
      </c>
      <c r="J90" s="159">
        <v>3200</v>
      </c>
      <c r="K90" s="159">
        <v>3200</v>
      </c>
      <c r="L90" s="159">
        <v>3200</v>
      </c>
      <c r="M90" s="159">
        <v>300</v>
      </c>
      <c r="N90" s="159">
        <v>300</v>
      </c>
      <c r="O90" s="159">
        <v>0</v>
      </c>
      <c r="P90" s="159">
        <v>0</v>
      </c>
      <c r="Q90" s="159">
        <v>0</v>
      </c>
      <c r="R90" s="159">
        <v>0</v>
      </c>
      <c r="S90" s="162"/>
      <c r="T90" s="161">
        <v>1</v>
      </c>
      <c r="U90" s="161">
        <v>0</v>
      </c>
      <c r="V90" s="161">
        <v>0.5</v>
      </c>
      <c r="W90" s="162"/>
      <c r="X90" s="161">
        <v>0.02</v>
      </c>
      <c r="Y90" s="162"/>
      <c r="Z90" s="163">
        <f t="shared" si="15"/>
        <v>3000</v>
      </c>
      <c r="AA90" s="163">
        <f t="shared" si="16"/>
        <v>500</v>
      </c>
      <c r="AB90" s="163">
        <v>650</v>
      </c>
      <c r="AC90" s="163">
        <v>2500</v>
      </c>
      <c r="AD90" s="162"/>
      <c r="AE90" s="161">
        <v>0</v>
      </c>
      <c r="AF90" s="162"/>
      <c r="AG90" s="161">
        <v>300</v>
      </c>
      <c r="AH90" s="161">
        <v>2000</v>
      </c>
      <c r="AI90" s="162"/>
      <c r="AJ90" s="163">
        <f t="shared" si="17"/>
        <v>3200</v>
      </c>
      <c r="AK90" s="163">
        <f t="shared" si="18"/>
        <v>300</v>
      </c>
      <c r="AL90" s="163">
        <f t="shared" si="19"/>
        <v>0</v>
      </c>
      <c r="AM90" s="163">
        <f t="shared" si="20"/>
        <v>0</v>
      </c>
      <c r="AN90" s="163">
        <f t="shared" si="21"/>
        <v>133.33333333333334</v>
      </c>
      <c r="AO90" s="163">
        <f t="shared" si="22"/>
        <v>0</v>
      </c>
      <c r="AP90" s="163">
        <f t="shared" si="23"/>
        <v>66.666666666666671</v>
      </c>
      <c r="AQ90" s="163">
        <f t="shared" si="24"/>
        <v>64</v>
      </c>
      <c r="AR90" s="163">
        <f t="shared" si="25"/>
        <v>125</v>
      </c>
      <c r="AS90" s="163">
        <f t="shared" si="26"/>
        <v>41.666666666666664</v>
      </c>
      <c r="AT90" s="163">
        <f t="shared" si="26"/>
        <v>54.166666666666664</v>
      </c>
      <c r="AU90" s="163">
        <f t="shared" si="26"/>
        <v>208.33333333333334</v>
      </c>
      <c r="AV90" s="163">
        <f t="shared" si="27"/>
        <v>0</v>
      </c>
      <c r="AW90" s="163">
        <f t="shared" si="28"/>
        <v>8.3333333333333339</v>
      </c>
      <c r="AX90" s="163">
        <f t="shared" si="28"/>
        <v>55.555555555555557</v>
      </c>
      <c r="AY90" s="164">
        <f t="shared" si="29"/>
        <v>4257.0555555555547</v>
      </c>
    </row>
    <row r="91" spans="3:51" ht="15.75" x14ac:dyDescent="0.25">
      <c r="C91" s="1" t="s">
        <v>950</v>
      </c>
      <c r="D91" s="1"/>
      <c r="E91" s="1" t="s">
        <v>4</v>
      </c>
      <c r="F91" s="1" t="s">
        <v>4</v>
      </c>
      <c r="G91" s="1" t="s">
        <v>532</v>
      </c>
      <c r="H91" s="1">
        <v>705</v>
      </c>
      <c r="I91" s="159">
        <v>653955</v>
      </c>
      <c r="J91" s="159">
        <v>927.59574468085111</v>
      </c>
      <c r="K91" s="159">
        <v>3200</v>
      </c>
      <c r="L91" s="159">
        <v>550</v>
      </c>
      <c r="M91" s="159">
        <v>0</v>
      </c>
      <c r="N91" s="159">
        <v>0</v>
      </c>
      <c r="O91" s="159">
        <v>0</v>
      </c>
      <c r="P91" s="159">
        <v>0</v>
      </c>
      <c r="Q91" s="159">
        <v>250</v>
      </c>
      <c r="R91" s="159">
        <v>0</v>
      </c>
      <c r="S91" s="162"/>
      <c r="T91" s="161">
        <v>1</v>
      </c>
      <c r="U91" s="161">
        <v>0</v>
      </c>
      <c r="V91" s="161">
        <v>0.5</v>
      </c>
      <c r="W91" s="162"/>
      <c r="X91" s="161">
        <v>0.02</v>
      </c>
      <c r="Y91" s="162"/>
      <c r="Z91" s="163">
        <f t="shared" si="15"/>
        <v>3000</v>
      </c>
      <c r="AA91" s="163">
        <f t="shared" si="16"/>
        <v>500</v>
      </c>
      <c r="AB91" s="163">
        <v>650</v>
      </c>
      <c r="AC91" s="163">
        <v>2500</v>
      </c>
      <c r="AD91" s="162"/>
      <c r="AE91" s="161">
        <v>0</v>
      </c>
      <c r="AF91" s="162"/>
      <c r="AG91" s="161">
        <v>300</v>
      </c>
      <c r="AH91" s="161">
        <v>2000</v>
      </c>
      <c r="AI91" s="162"/>
      <c r="AJ91" s="163">
        <f t="shared" si="17"/>
        <v>927.59574468085111</v>
      </c>
      <c r="AK91" s="163">
        <f t="shared" si="18"/>
        <v>0</v>
      </c>
      <c r="AL91" s="163">
        <f t="shared" si="19"/>
        <v>0</v>
      </c>
      <c r="AM91" s="163">
        <f t="shared" si="20"/>
        <v>250</v>
      </c>
      <c r="AN91" s="163">
        <f t="shared" si="21"/>
        <v>38.649822695035461</v>
      </c>
      <c r="AO91" s="163">
        <f t="shared" si="22"/>
        <v>0</v>
      </c>
      <c r="AP91" s="163">
        <f t="shared" si="23"/>
        <v>19.32491134751773</v>
      </c>
      <c r="AQ91" s="163">
        <f t="shared" si="24"/>
        <v>18.551914893617024</v>
      </c>
      <c r="AR91" s="163">
        <f t="shared" si="25"/>
        <v>125</v>
      </c>
      <c r="AS91" s="163">
        <f t="shared" si="26"/>
        <v>41.666666666666664</v>
      </c>
      <c r="AT91" s="163">
        <f t="shared" si="26"/>
        <v>54.166666666666664</v>
      </c>
      <c r="AU91" s="163">
        <f t="shared" si="26"/>
        <v>208.33333333333334</v>
      </c>
      <c r="AV91" s="163">
        <f t="shared" si="27"/>
        <v>0</v>
      </c>
      <c r="AW91" s="163">
        <f t="shared" si="28"/>
        <v>8.3333333333333339</v>
      </c>
      <c r="AX91" s="163">
        <f t="shared" si="28"/>
        <v>55.555555555555557</v>
      </c>
      <c r="AY91" s="164">
        <f t="shared" si="29"/>
        <v>1747.177949172577</v>
      </c>
    </row>
    <row r="92" spans="3:51" ht="15.75" x14ac:dyDescent="0.25">
      <c r="C92" s="1" t="s">
        <v>950</v>
      </c>
      <c r="D92" s="1"/>
      <c r="E92" s="1" t="s">
        <v>961</v>
      </c>
      <c r="F92" s="1" t="s">
        <v>725</v>
      </c>
      <c r="G92" s="1" t="s">
        <v>552</v>
      </c>
      <c r="H92" s="1">
        <v>22</v>
      </c>
      <c r="I92" s="159">
        <v>49350</v>
      </c>
      <c r="J92" s="159">
        <v>2243.181818181818</v>
      </c>
      <c r="K92" s="159">
        <v>4500</v>
      </c>
      <c r="L92" s="159">
        <v>800</v>
      </c>
      <c r="M92" s="159">
        <v>300</v>
      </c>
      <c r="N92" s="159">
        <v>0</v>
      </c>
      <c r="O92" s="159">
        <v>0</v>
      </c>
      <c r="P92" s="159">
        <v>0</v>
      </c>
      <c r="Q92" s="159">
        <v>150</v>
      </c>
      <c r="R92" s="159">
        <v>0</v>
      </c>
      <c r="S92" s="162"/>
      <c r="T92" s="161">
        <v>1</v>
      </c>
      <c r="U92" s="161">
        <v>0</v>
      </c>
      <c r="V92" s="161">
        <v>0.5</v>
      </c>
      <c r="W92" s="162"/>
      <c r="X92" s="161">
        <v>0.02</v>
      </c>
      <c r="Y92" s="162"/>
      <c r="Z92" s="163">
        <f t="shared" si="15"/>
        <v>3000</v>
      </c>
      <c r="AA92" s="163">
        <f t="shared" si="16"/>
        <v>500</v>
      </c>
      <c r="AB92" s="163">
        <v>650</v>
      </c>
      <c r="AC92" s="163">
        <v>2500</v>
      </c>
      <c r="AD92" s="162"/>
      <c r="AE92" s="161">
        <v>0</v>
      </c>
      <c r="AF92" s="162"/>
      <c r="AG92" s="161">
        <v>300</v>
      </c>
      <c r="AH92" s="161">
        <v>2000</v>
      </c>
      <c r="AI92" s="162"/>
      <c r="AJ92" s="163">
        <f t="shared" si="17"/>
        <v>2243.181818181818</v>
      </c>
      <c r="AK92" s="163">
        <f t="shared" si="18"/>
        <v>300</v>
      </c>
      <c r="AL92" s="163">
        <f t="shared" si="19"/>
        <v>0</v>
      </c>
      <c r="AM92" s="163">
        <f t="shared" si="20"/>
        <v>150</v>
      </c>
      <c r="AN92" s="163">
        <f t="shared" si="21"/>
        <v>93.465909090909079</v>
      </c>
      <c r="AO92" s="163">
        <f t="shared" si="22"/>
        <v>0</v>
      </c>
      <c r="AP92" s="163">
        <f t="shared" si="23"/>
        <v>46.73295454545454</v>
      </c>
      <c r="AQ92" s="163">
        <f t="shared" si="24"/>
        <v>44.86363636363636</v>
      </c>
      <c r="AR92" s="163">
        <f t="shared" si="25"/>
        <v>125</v>
      </c>
      <c r="AS92" s="163">
        <f t="shared" si="26"/>
        <v>41.666666666666664</v>
      </c>
      <c r="AT92" s="163">
        <f t="shared" si="26"/>
        <v>54.166666666666664</v>
      </c>
      <c r="AU92" s="163">
        <f t="shared" si="26"/>
        <v>208.33333333333334</v>
      </c>
      <c r="AV92" s="163">
        <f t="shared" si="27"/>
        <v>0</v>
      </c>
      <c r="AW92" s="163">
        <f t="shared" si="28"/>
        <v>8.3333333333333339</v>
      </c>
      <c r="AX92" s="163">
        <f t="shared" si="28"/>
        <v>55.555555555555557</v>
      </c>
      <c r="AY92" s="164">
        <f t="shared" si="29"/>
        <v>3371.2998737373737</v>
      </c>
    </row>
    <row r="93" spans="3:51" ht="15.75" x14ac:dyDescent="0.25">
      <c r="C93" s="1" t="s">
        <v>950</v>
      </c>
      <c r="D93" s="1"/>
      <c r="E93" s="1" t="s">
        <v>961</v>
      </c>
      <c r="F93" s="1" t="s">
        <v>725</v>
      </c>
      <c r="G93" s="1" t="s">
        <v>1064</v>
      </c>
      <c r="H93" s="1">
        <v>7</v>
      </c>
      <c r="I93" s="159">
        <v>10800</v>
      </c>
      <c r="J93" s="159">
        <v>1542.8571428571429</v>
      </c>
      <c r="K93" s="159">
        <v>3000</v>
      </c>
      <c r="L93" s="159">
        <v>900</v>
      </c>
      <c r="M93" s="159">
        <v>300</v>
      </c>
      <c r="N93" s="159">
        <v>0</v>
      </c>
      <c r="O93" s="159">
        <v>0</v>
      </c>
      <c r="P93" s="159">
        <v>0</v>
      </c>
      <c r="Q93" s="159">
        <v>150</v>
      </c>
      <c r="R93" s="159">
        <v>0</v>
      </c>
      <c r="S93" s="162"/>
      <c r="T93" s="161">
        <v>1</v>
      </c>
      <c r="U93" s="161">
        <v>0</v>
      </c>
      <c r="V93" s="161">
        <v>0.5</v>
      </c>
      <c r="W93" s="162"/>
      <c r="X93" s="161">
        <v>0.02</v>
      </c>
      <c r="Y93" s="162"/>
      <c r="Z93" s="163">
        <f t="shared" si="15"/>
        <v>3000</v>
      </c>
      <c r="AA93" s="163">
        <f t="shared" si="16"/>
        <v>500</v>
      </c>
      <c r="AB93" s="163">
        <v>650</v>
      </c>
      <c r="AC93" s="163">
        <v>2500</v>
      </c>
      <c r="AD93" s="162"/>
      <c r="AE93" s="161">
        <v>0</v>
      </c>
      <c r="AF93" s="162"/>
      <c r="AG93" s="161">
        <v>300</v>
      </c>
      <c r="AH93" s="161">
        <v>2000</v>
      </c>
      <c r="AI93" s="162"/>
      <c r="AJ93" s="163">
        <f t="shared" si="17"/>
        <v>1542.8571428571429</v>
      </c>
      <c r="AK93" s="163">
        <f t="shared" si="18"/>
        <v>300</v>
      </c>
      <c r="AL93" s="163">
        <f t="shared" si="19"/>
        <v>0</v>
      </c>
      <c r="AM93" s="163">
        <f t="shared" si="20"/>
        <v>150</v>
      </c>
      <c r="AN93" s="163">
        <f t="shared" si="21"/>
        <v>64.285714285714292</v>
      </c>
      <c r="AO93" s="163">
        <f t="shared" si="22"/>
        <v>0</v>
      </c>
      <c r="AP93" s="163">
        <f t="shared" si="23"/>
        <v>32.142857142857146</v>
      </c>
      <c r="AQ93" s="163">
        <f t="shared" si="24"/>
        <v>30.857142857142858</v>
      </c>
      <c r="AR93" s="163">
        <f t="shared" si="25"/>
        <v>125</v>
      </c>
      <c r="AS93" s="163">
        <f t="shared" si="26"/>
        <v>41.666666666666664</v>
      </c>
      <c r="AT93" s="163">
        <f t="shared" si="26"/>
        <v>54.166666666666664</v>
      </c>
      <c r="AU93" s="163">
        <f t="shared" si="26"/>
        <v>208.33333333333334</v>
      </c>
      <c r="AV93" s="163">
        <f t="shared" si="27"/>
        <v>0</v>
      </c>
      <c r="AW93" s="163">
        <f t="shared" si="28"/>
        <v>8.3333333333333339</v>
      </c>
      <c r="AX93" s="163">
        <f t="shared" si="28"/>
        <v>55.555555555555557</v>
      </c>
      <c r="AY93" s="164">
        <f t="shared" si="29"/>
        <v>2613.198412698413</v>
      </c>
    </row>
    <row r="94" spans="3:51" ht="15.75" x14ac:dyDescent="0.25">
      <c r="C94" s="1" t="s">
        <v>950</v>
      </c>
      <c r="D94" s="1"/>
      <c r="E94" s="1" t="s">
        <v>961</v>
      </c>
      <c r="F94" s="1" t="s">
        <v>725</v>
      </c>
      <c r="G94" s="1" t="s">
        <v>1065</v>
      </c>
      <c r="H94" s="1">
        <v>2</v>
      </c>
      <c r="I94" s="159">
        <v>2800</v>
      </c>
      <c r="J94" s="159">
        <v>1400</v>
      </c>
      <c r="K94" s="159">
        <v>1500</v>
      </c>
      <c r="L94" s="159">
        <v>1300</v>
      </c>
      <c r="M94" s="159">
        <v>0</v>
      </c>
      <c r="N94" s="159">
        <v>0</v>
      </c>
      <c r="O94" s="159">
        <v>0</v>
      </c>
      <c r="P94" s="159">
        <v>0</v>
      </c>
      <c r="Q94" s="159">
        <v>200</v>
      </c>
      <c r="R94" s="159">
        <v>200</v>
      </c>
      <c r="S94" s="162"/>
      <c r="T94" s="161">
        <v>1</v>
      </c>
      <c r="U94" s="161">
        <v>0</v>
      </c>
      <c r="V94" s="161">
        <v>0.5</v>
      </c>
      <c r="W94" s="162"/>
      <c r="X94" s="161">
        <v>0.02</v>
      </c>
      <c r="Y94" s="162"/>
      <c r="Z94" s="163">
        <f t="shared" si="15"/>
        <v>3000</v>
      </c>
      <c r="AA94" s="163">
        <f t="shared" si="16"/>
        <v>500</v>
      </c>
      <c r="AB94" s="163">
        <v>650</v>
      </c>
      <c r="AC94" s="163">
        <v>2500</v>
      </c>
      <c r="AD94" s="162"/>
      <c r="AE94" s="161">
        <v>0</v>
      </c>
      <c r="AF94" s="162"/>
      <c r="AG94" s="161">
        <v>300</v>
      </c>
      <c r="AH94" s="161">
        <v>2000</v>
      </c>
      <c r="AI94" s="162"/>
      <c r="AJ94" s="163">
        <f t="shared" si="17"/>
        <v>1400</v>
      </c>
      <c r="AK94" s="163">
        <f t="shared" si="18"/>
        <v>0</v>
      </c>
      <c r="AL94" s="163">
        <f t="shared" si="19"/>
        <v>0</v>
      </c>
      <c r="AM94" s="163">
        <f t="shared" si="20"/>
        <v>200</v>
      </c>
      <c r="AN94" s="163">
        <f t="shared" si="21"/>
        <v>58.333333333333336</v>
      </c>
      <c r="AO94" s="163">
        <f t="shared" si="22"/>
        <v>0</v>
      </c>
      <c r="AP94" s="163">
        <f t="shared" si="23"/>
        <v>29.166666666666668</v>
      </c>
      <c r="AQ94" s="163">
        <f t="shared" si="24"/>
        <v>28</v>
      </c>
      <c r="AR94" s="163">
        <f t="shared" si="25"/>
        <v>125</v>
      </c>
      <c r="AS94" s="163">
        <f t="shared" si="26"/>
        <v>41.666666666666664</v>
      </c>
      <c r="AT94" s="163">
        <f t="shared" si="26"/>
        <v>54.166666666666664</v>
      </c>
      <c r="AU94" s="163">
        <f t="shared" si="26"/>
        <v>208.33333333333334</v>
      </c>
      <c r="AV94" s="163">
        <f t="shared" si="27"/>
        <v>0</v>
      </c>
      <c r="AW94" s="163">
        <f t="shared" si="28"/>
        <v>8.3333333333333339</v>
      </c>
      <c r="AX94" s="163">
        <f t="shared" si="28"/>
        <v>55.555555555555557</v>
      </c>
      <c r="AY94" s="164">
        <f t="shared" si="29"/>
        <v>2208.5555555555561</v>
      </c>
    </row>
    <row r="95" spans="3:51" ht="15.75" x14ac:dyDescent="0.25">
      <c r="C95" s="1" t="s">
        <v>950</v>
      </c>
      <c r="D95" s="1"/>
      <c r="E95" s="1" t="s">
        <v>961</v>
      </c>
      <c r="F95" s="1" t="s">
        <v>725</v>
      </c>
      <c r="G95" s="1" t="s">
        <v>1066</v>
      </c>
      <c r="H95" s="1">
        <v>156</v>
      </c>
      <c r="I95" s="159">
        <v>205687</v>
      </c>
      <c r="J95" s="159">
        <v>1318.5064102564102</v>
      </c>
      <c r="K95" s="159">
        <v>3000</v>
      </c>
      <c r="L95" s="159">
        <v>650</v>
      </c>
      <c r="M95" s="159">
        <v>300</v>
      </c>
      <c r="N95" s="159">
        <v>0</v>
      </c>
      <c r="O95" s="159">
        <v>0</v>
      </c>
      <c r="P95" s="159">
        <v>0</v>
      </c>
      <c r="Q95" s="159">
        <v>250</v>
      </c>
      <c r="R95" s="159">
        <v>0</v>
      </c>
      <c r="S95" s="162"/>
      <c r="T95" s="161">
        <v>1</v>
      </c>
      <c r="U95" s="161">
        <v>0</v>
      </c>
      <c r="V95" s="161">
        <v>0.5</v>
      </c>
      <c r="W95" s="162"/>
      <c r="X95" s="161">
        <v>0.02</v>
      </c>
      <c r="Y95" s="162"/>
      <c r="Z95" s="163">
        <f t="shared" si="15"/>
        <v>3000</v>
      </c>
      <c r="AA95" s="163">
        <f t="shared" si="16"/>
        <v>500</v>
      </c>
      <c r="AB95" s="163">
        <v>650</v>
      </c>
      <c r="AC95" s="163">
        <v>2500</v>
      </c>
      <c r="AD95" s="162"/>
      <c r="AE95" s="161">
        <v>0</v>
      </c>
      <c r="AF95" s="162"/>
      <c r="AG95" s="161">
        <v>300</v>
      </c>
      <c r="AH95" s="161">
        <v>2000</v>
      </c>
      <c r="AI95" s="162"/>
      <c r="AJ95" s="163">
        <f t="shared" si="17"/>
        <v>1318.5064102564102</v>
      </c>
      <c r="AK95" s="163">
        <f t="shared" si="18"/>
        <v>300</v>
      </c>
      <c r="AL95" s="163">
        <f t="shared" si="19"/>
        <v>0</v>
      </c>
      <c r="AM95" s="163">
        <f t="shared" si="20"/>
        <v>250</v>
      </c>
      <c r="AN95" s="163">
        <f t="shared" si="21"/>
        <v>54.93776709401709</v>
      </c>
      <c r="AO95" s="163">
        <f t="shared" si="22"/>
        <v>0</v>
      </c>
      <c r="AP95" s="163">
        <f t="shared" si="23"/>
        <v>27.468883547008545</v>
      </c>
      <c r="AQ95" s="163">
        <f t="shared" si="24"/>
        <v>26.370128205128204</v>
      </c>
      <c r="AR95" s="163">
        <f t="shared" si="25"/>
        <v>125</v>
      </c>
      <c r="AS95" s="163">
        <f t="shared" si="26"/>
        <v>41.666666666666664</v>
      </c>
      <c r="AT95" s="163">
        <f t="shared" si="26"/>
        <v>54.166666666666664</v>
      </c>
      <c r="AU95" s="163">
        <f t="shared" si="26"/>
        <v>208.33333333333334</v>
      </c>
      <c r="AV95" s="163">
        <f t="shared" si="27"/>
        <v>0</v>
      </c>
      <c r="AW95" s="163">
        <f t="shared" si="28"/>
        <v>8.3333333333333339</v>
      </c>
      <c r="AX95" s="163">
        <f t="shared" si="28"/>
        <v>55.555555555555557</v>
      </c>
      <c r="AY95" s="164">
        <f t="shared" si="29"/>
        <v>2470.3387446581196</v>
      </c>
    </row>
    <row r="96" spans="3:51" ht="15.75" x14ac:dyDescent="0.25">
      <c r="C96" s="1" t="s">
        <v>950</v>
      </c>
      <c r="D96" s="1"/>
      <c r="E96" s="1" t="s">
        <v>961</v>
      </c>
      <c r="F96" s="1" t="s">
        <v>725</v>
      </c>
      <c r="G96" s="1" t="s">
        <v>1067</v>
      </c>
      <c r="H96" s="1">
        <v>7</v>
      </c>
      <c r="I96" s="159">
        <v>11790</v>
      </c>
      <c r="J96" s="159">
        <v>1684.2857142857142</v>
      </c>
      <c r="K96" s="159">
        <v>3000</v>
      </c>
      <c r="L96" s="159">
        <v>800</v>
      </c>
      <c r="M96" s="159">
        <v>300</v>
      </c>
      <c r="N96" s="159">
        <v>0</v>
      </c>
      <c r="O96" s="159">
        <v>0</v>
      </c>
      <c r="P96" s="159">
        <v>0</v>
      </c>
      <c r="Q96" s="159">
        <v>150</v>
      </c>
      <c r="R96" s="159">
        <v>0</v>
      </c>
      <c r="S96" s="162"/>
      <c r="T96" s="161">
        <v>1</v>
      </c>
      <c r="U96" s="161">
        <v>0</v>
      </c>
      <c r="V96" s="161">
        <v>0.5</v>
      </c>
      <c r="W96" s="162"/>
      <c r="X96" s="161">
        <v>0.02</v>
      </c>
      <c r="Y96" s="162"/>
      <c r="Z96" s="163">
        <f t="shared" si="15"/>
        <v>3000</v>
      </c>
      <c r="AA96" s="163">
        <f t="shared" si="16"/>
        <v>500</v>
      </c>
      <c r="AB96" s="163">
        <v>650</v>
      </c>
      <c r="AC96" s="163">
        <v>2500</v>
      </c>
      <c r="AD96" s="162"/>
      <c r="AE96" s="161">
        <v>0</v>
      </c>
      <c r="AF96" s="162"/>
      <c r="AG96" s="161">
        <v>300</v>
      </c>
      <c r="AH96" s="161">
        <v>2000</v>
      </c>
      <c r="AI96" s="162"/>
      <c r="AJ96" s="163">
        <f t="shared" si="17"/>
        <v>1684.2857142857142</v>
      </c>
      <c r="AK96" s="163">
        <f t="shared" si="18"/>
        <v>300</v>
      </c>
      <c r="AL96" s="163">
        <f t="shared" si="19"/>
        <v>0</v>
      </c>
      <c r="AM96" s="163">
        <f t="shared" si="20"/>
        <v>150</v>
      </c>
      <c r="AN96" s="163">
        <f t="shared" si="21"/>
        <v>70.178571428571431</v>
      </c>
      <c r="AO96" s="163">
        <f t="shared" si="22"/>
        <v>0</v>
      </c>
      <c r="AP96" s="163">
        <f t="shared" si="23"/>
        <v>35.089285714285715</v>
      </c>
      <c r="AQ96" s="163">
        <f t="shared" si="24"/>
        <v>33.685714285714283</v>
      </c>
      <c r="AR96" s="163">
        <f t="shared" si="25"/>
        <v>125</v>
      </c>
      <c r="AS96" s="163">
        <f t="shared" si="26"/>
        <v>41.666666666666664</v>
      </c>
      <c r="AT96" s="163">
        <f t="shared" si="26"/>
        <v>54.166666666666664</v>
      </c>
      <c r="AU96" s="163">
        <f t="shared" si="26"/>
        <v>208.33333333333334</v>
      </c>
      <c r="AV96" s="163">
        <f t="shared" si="27"/>
        <v>0</v>
      </c>
      <c r="AW96" s="163">
        <f t="shared" si="28"/>
        <v>8.3333333333333339</v>
      </c>
      <c r="AX96" s="163">
        <f t="shared" si="28"/>
        <v>55.555555555555557</v>
      </c>
      <c r="AY96" s="164">
        <f t="shared" si="29"/>
        <v>2766.2948412698415</v>
      </c>
    </row>
    <row r="97" spans="3:51" ht="15.75" x14ac:dyDescent="0.25">
      <c r="C97" s="1" t="s">
        <v>950</v>
      </c>
      <c r="D97" s="1"/>
      <c r="E97" s="1" t="s">
        <v>961</v>
      </c>
      <c r="F97" s="1" t="s">
        <v>725</v>
      </c>
      <c r="G97" s="1" t="s">
        <v>1068</v>
      </c>
      <c r="H97" s="1">
        <v>35</v>
      </c>
      <c r="I97" s="159">
        <v>52533</v>
      </c>
      <c r="J97" s="159">
        <v>1500.9428571428571</v>
      </c>
      <c r="K97" s="159">
        <v>2650</v>
      </c>
      <c r="L97" s="159">
        <v>1100</v>
      </c>
      <c r="M97" s="159">
        <v>0</v>
      </c>
      <c r="N97" s="159">
        <v>0</v>
      </c>
      <c r="O97" s="159">
        <v>0</v>
      </c>
      <c r="P97" s="159">
        <v>0</v>
      </c>
      <c r="Q97" s="159">
        <v>250</v>
      </c>
      <c r="R97" s="159">
        <v>120</v>
      </c>
      <c r="S97" s="162"/>
      <c r="T97" s="161">
        <v>1</v>
      </c>
      <c r="U97" s="161">
        <v>0</v>
      </c>
      <c r="V97" s="161">
        <v>0.5</v>
      </c>
      <c r="W97" s="162"/>
      <c r="X97" s="161">
        <v>0.02</v>
      </c>
      <c r="Y97" s="162"/>
      <c r="Z97" s="163">
        <f t="shared" si="15"/>
        <v>3000</v>
      </c>
      <c r="AA97" s="163">
        <f t="shared" si="16"/>
        <v>500</v>
      </c>
      <c r="AB97" s="163">
        <v>650</v>
      </c>
      <c r="AC97" s="163">
        <v>2500</v>
      </c>
      <c r="AD97" s="162"/>
      <c r="AE97" s="161">
        <v>0</v>
      </c>
      <c r="AF97" s="162"/>
      <c r="AG97" s="161">
        <v>300</v>
      </c>
      <c r="AH97" s="161">
        <v>2000</v>
      </c>
      <c r="AI97" s="162"/>
      <c r="AJ97" s="163">
        <f t="shared" si="17"/>
        <v>1500.9428571428571</v>
      </c>
      <c r="AK97" s="163">
        <f t="shared" si="18"/>
        <v>0</v>
      </c>
      <c r="AL97" s="163">
        <f t="shared" si="19"/>
        <v>0</v>
      </c>
      <c r="AM97" s="163">
        <f t="shared" si="20"/>
        <v>250</v>
      </c>
      <c r="AN97" s="163">
        <f t="shared" si="21"/>
        <v>62.539285714285711</v>
      </c>
      <c r="AO97" s="163">
        <f t="shared" si="22"/>
        <v>0</v>
      </c>
      <c r="AP97" s="163">
        <f t="shared" si="23"/>
        <v>31.269642857142856</v>
      </c>
      <c r="AQ97" s="163">
        <f t="shared" si="24"/>
        <v>30.018857142857144</v>
      </c>
      <c r="AR97" s="163">
        <f t="shared" si="25"/>
        <v>125</v>
      </c>
      <c r="AS97" s="163">
        <f t="shared" si="26"/>
        <v>41.666666666666664</v>
      </c>
      <c r="AT97" s="163">
        <f t="shared" si="26"/>
        <v>54.166666666666664</v>
      </c>
      <c r="AU97" s="163">
        <f t="shared" si="26"/>
        <v>208.33333333333334</v>
      </c>
      <c r="AV97" s="163">
        <f t="shared" si="27"/>
        <v>0</v>
      </c>
      <c r="AW97" s="163">
        <f t="shared" si="28"/>
        <v>8.3333333333333339</v>
      </c>
      <c r="AX97" s="163">
        <f t="shared" si="28"/>
        <v>55.555555555555557</v>
      </c>
      <c r="AY97" s="164">
        <f t="shared" si="29"/>
        <v>2367.8261984126984</v>
      </c>
    </row>
    <row r="98" spans="3:51" ht="15.75" x14ac:dyDescent="0.25">
      <c r="C98" s="1" t="s">
        <v>950</v>
      </c>
      <c r="D98" s="1"/>
      <c r="E98" s="1" t="s">
        <v>961</v>
      </c>
      <c r="F98" s="1" t="s">
        <v>725</v>
      </c>
      <c r="G98" s="1" t="s">
        <v>1069</v>
      </c>
      <c r="H98" s="1">
        <v>14</v>
      </c>
      <c r="I98" s="159">
        <v>21325</v>
      </c>
      <c r="J98" s="159">
        <v>1523.2142857142858</v>
      </c>
      <c r="K98" s="159">
        <v>2500</v>
      </c>
      <c r="L98" s="159">
        <v>1000</v>
      </c>
      <c r="M98" s="159">
        <v>0</v>
      </c>
      <c r="N98" s="159">
        <v>0</v>
      </c>
      <c r="O98" s="159">
        <v>0</v>
      </c>
      <c r="P98" s="159">
        <v>0</v>
      </c>
      <c r="Q98" s="159">
        <v>200</v>
      </c>
      <c r="R98" s="159">
        <v>120</v>
      </c>
      <c r="S98" s="162"/>
      <c r="T98" s="161">
        <v>1</v>
      </c>
      <c r="U98" s="161">
        <v>0</v>
      </c>
      <c r="V98" s="161">
        <v>0.5</v>
      </c>
      <c r="W98" s="162"/>
      <c r="X98" s="161">
        <v>0.02</v>
      </c>
      <c r="Y98" s="162"/>
      <c r="Z98" s="163">
        <f t="shared" si="15"/>
        <v>3000</v>
      </c>
      <c r="AA98" s="163">
        <f t="shared" si="16"/>
        <v>500</v>
      </c>
      <c r="AB98" s="163">
        <v>650</v>
      </c>
      <c r="AC98" s="163">
        <v>2500</v>
      </c>
      <c r="AD98" s="162"/>
      <c r="AE98" s="161">
        <v>0</v>
      </c>
      <c r="AF98" s="162"/>
      <c r="AG98" s="161">
        <v>300</v>
      </c>
      <c r="AH98" s="161">
        <v>2000</v>
      </c>
      <c r="AI98" s="162"/>
      <c r="AJ98" s="163">
        <f t="shared" si="17"/>
        <v>1523.2142857142858</v>
      </c>
      <c r="AK98" s="163">
        <f t="shared" si="18"/>
        <v>0</v>
      </c>
      <c r="AL98" s="163">
        <f t="shared" si="19"/>
        <v>0</v>
      </c>
      <c r="AM98" s="163">
        <f t="shared" si="20"/>
        <v>200</v>
      </c>
      <c r="AN98" s="163">
        <f t="shared" si="21"/>
        <v>63.467261904761905</v>
      </c>
      <c r="AO98" s="163">
        <f t="shared" si="22"/>
        <v>0</v>
      </c>
      <c r="AP98" s="163">
        <f t="shared" si="23"/>
        <v>31.733630952380953</v>
      </c>
      <c r="AQ98" s="163">
        <f t="shared" si="24"/>
        <v>30.464285714285715</v>
      </c>
      <c r="AR98" s="163">
        <f t="shared" si="25"/>
        <v>125</v>
      </c>
      <c r="AS98" s="163">
        <f t="shared" si="26"/>
        <v>41.666666666666664</v>
      </c>
      <c r="AT98" s="163">
        <f t="shared" si="26"/>
        <v>54.166666666666664</v>
      </c>
      <c r="AU98" s="163">
        <f t="shared" si="26"/>
        <v>208.33333333333334</v>
      </c>
      <c r="AV98" s="163">
        <f t="shared" si="27"/>
        <v>0</v>
      </c>
      <c r="AW98" s="163">
        <f t="shared" si="28"/>
        <v>8.3333333333333339</v>
      </c>
      <c r="AX98" s="163">
        <f t="shared" si="28"/>
        <v>55.555555555555557</v>
      </c>
      <c r="AY98" s="164">
        <f t="shared" si="29"/>
        <v>2341.9350198412703</v>
      </c>
    </row>
    <row r="99" spans="3:51" ht="15.75" x14ac:dyDescent="0.25">
      <c r="C99" s="1" t="s">
        <v>950</v>
      </c>
      <c r="D99" s="1"/>
      <c r="E99" s="1" t="s">
        <v>961</v>
      </c>
      <c r="F99" s="1" t="s">
        <v>725</v>
      </c>
      <c r="G99" s="1" t="s">
        <v>1070</v>
      </c>
      <c r="H99" s="1">
        <v>4</v>
      </c>
      <c r="I99" s="159">
        <v>7300</v>
      </c>
      <c r="J99" s="159">
        <v>1825</v>
      </c>
      <c r="K99" s="159">
        <v>2500</v>
      </c>
      <c r="L99" s="159">
        <v>1100</v>
      </c>
      <c r="M99" s="159">
        <v>0</v>
      </c>
      <c r="N99" s="159">
        <v>0</v>
      </c>
      <c r="O99" s="159">
        <v>0</v>
      </c>
      <c r="P99" s="159">
        <v>0</v>
      </c>
      <c r="Q99" s="159">
        <v>150</v>
      </c>
      <c r="R99" s="159">
        <v>0</v>
      </c>
      <c r="S99" s="162"/>
      <c r="T99" s="161">
        <v>1</v>
      </c>
      <c r="U99" s="161">
        <v>0</v>
      </c>
      <c r="V99" s="161">
        <v>0.5</v>
      </c>
      <c r="W99" s="162"/>
      <c r="X99" s="161">
        <v>0.02</v>
      </c>
      <c r="Y99" s="162"/>
      <c r="Z99" s="163">
        <f t="shared" si="15"/>
        <v>3000</v>
      </c>
      <c r="AA99" s="163">
        <f t="shared" si="16"/>
        <v>500</v>
      </c>
      <c r="AB99" s="163">
        <v>650</v>
      </c>
      <c r="AC99" s="163">
        <v>2500</v>
      </c>
      <c r="AD99" s="162"/>
      <c r="AE99" s="161">
        <v>0</v>
      </c>
      <c r="AF99" s="162"/>
      <c r="AG99" s="161">
        <v>300</v>
      </c>
      <c r="AH99" s="161">
        <v>2000</v>
      </c>
      <c r="AI99" s="162"/>
      <c r="AJ99" s="163">
        <f t="shared" si="17"/>
        <v>1825</v>
      </c>
      <c r="AK99" s="163">
        <f t="shared" si="18"/>
        <v>0</v>
      </c>
      <c r="AL99" s="163">
        <f t="shared" si="19"/>
        <v>0</v>
      </c>
      <c r="AM99" s="163">
        <f t="shared" si="20"/>
        <v>150</v>
      </c>
      <c r="AN99" s="163">
        <f t="shared" si="21"/>
        <v>76.041666666666671</v>
      </c>
      <c r="AO99" s="163">
        <f t="shared" si="22"/>
        <v>0</v>
      </c>
      <c r="AP99" s="163">
        <f t="shared" si="23"/>
        <v>38.020833333333336</v>
      </c>
      <c r="AQ99" s="163">
        <f t="shared" si="24"/>
        <v>36.5</v>
      </c>
      <c r="AR99" s="163">
        <f t="shared" si="25"/>
        <v>125</v>
      </c>
      <c r="AS99" s="163">
        <f t="shared" si="26"/>
        <v>41.666666666666664</v>
      </c>
      <c r="AT99" s="163">
        <f t="shared" si="26"/>
        <v>54.166666666666664</v>
      </c>
      <c r="AU99" s="163">
        <f t="shared" si="26"/>
        <v>208.33333333333334</v>
      </c>
      <c r="AV99" s="163">
        <f t="shared" si="27"/>
        <v>0</v>
      </c>
      <c r="AW99" s="163">
        <f t="shared" si="28"/>
        <v>8.3333333333333339</v>
      </c>
      <c r="AX99" s="163">
        <f t="shared" si="28"/>
        <v>55.555555555555557</v>
      </c>
      <c r="AY99" s="164">
        <f t="shared" si="29"/>
        <v>2618.6180555555557</v>
      </c>
    </row>
    <row r="100" spans="3:51" ht="15.75" x14ac:dyDescent="0.25">
      <c r="C100" s="1" t="s">
        <v>950</v>
      </c>
      <c r="D100" s="1"/>
      <c r="E100" s="1" t="s">
        <v>961</v>
      </c>
      <c r="F100" s="1" t="s">
        <v>725</v>
      </c>
      <c r="G100" s="1" t="s">
        <v>1071</v>
      </c>
      <c r="H100" s="1">
        <v>10</v>
      </c>
      <c r="I100" s="159">
        <v>10700</v>
      </c>
      <c r="J100" s="159">
        <v>1070</v>
      </c>
      <c r="K100" s="159">
        <v>1250</v>
      </c>
      <c r="L100" s="159">
        <v>1000</v>
      </c>
      <c r="M100" s="159">
        <v>0</v>
      </c>
      <c r="N100" s="159">
        <v>0</v>
      </c>
      <c r="O100" s="159">
        <v>0</v>
      </c>
      <c r="P100" s="159">
        <v>0</v>
      </c>
      <c r="Q100" s="159">
        <v>150</v>
      </c>
      <c r="R100" s="159">
        <v>120</v>
      </c>
      <c r="S100" s="162"/>
      <c r="T100" s="161">
        <v>1</v>
      </c>
      <c r="U100" s="161">
        <v>0</v>
      </c>
      <c r="V100" s="161">
        <v>0.5</v>
      </c>
      <c r="W100" s="162"/>
      <c r="X100" s="161">
        <v>0.02</v>
      </c>
      <c r="Y100" s="162"/>
      <c r="Z100" s="163">
        <f t="shared" si="15"/>
        <v>3000</v>
      </c>
      <c r="AA100" s="163">
        <f t="shared" si="16"/>
        <v>500</v>
      </c>
      <c r="AB100" s="163">
        <v>650</v>
      </c>
      <c r="AC100" s="163">
        <v>2500</v>
      </c>
      <c r="AD100" s="162"/>
      <c r="AE100" s="161">
        <v>0</v>
      </c>
      <c r="AF100" s="162"/>
      <c r="AG100" s="161">
        <v>300</v>
      </c>
      <c r="AH100" s="161">
        <v>2000</v>
      </c>
      <c r="AI100" s="162"/>
      <c r="AJ100" s="163">
        <f t="shared" si="17"/>
        <v>1070</v>
      </c>
      <c r="AK100" s="163">
        <f t="shared" si="18"/>
        <v>0</v>
      </c>
      <c r="AL100" s="163">
        <f t="shared" si="19"/>
        <v>0</v>
      </c>
      <c r="AM100" s="163">
        <f t="shared" si="20"/>
        <v>150</v>
      </c>
      <c r="AN100" s="163">
        <f t="shared" si="21"/>
        <v>44.583333333333336</v>
      </c>
      <c r="AO100" s="163">
        <f t="shared" si="22"/>
        <v>0</v>
      </c>
      <c r="AP100" s="163">
        <f t="shared" si="23"/>
        <v>22.291666666666668</v>
      </c>
      <c r="AQ100" s="163">
        <f t="shared" si="24"/>
        <v>21.400000000000002</v>
      </c>
      <c r="AR100" s="163">
        <f t="shared" si="25"/>
        <v>125</v>
      </c>
      <c r="AS100" s="163">
        <f t="shared" si="26"/>
        <v>41.666666666666664</v>
      </c>
      <c r="AT100" s="163">
        <f t="shared" si="26"/>
        <v>54.166666666666664</v>
      </c>
      <c r="AU100" s="163">
        <f t="shared" si="26"/>
        <v>208.33333333333334</v>
      </c>
      <c r="AV100" s="163">
        <f t="shared" si="27"/>
        <v>0</v>
      </c>
      <c r="AW100" s="163">
        <f t="shared" si="28"/>
        <v>8.3333333333333339</v>
      </c>
      <c r="AX100" s="163">
        <f t="shared" si="28"/>
        <v>55.555555555555557</v>
      </c>
      <c r="AY100" s="164">
        <f t="shared" si="29"/>
        <v>1801.3305555555557</v>
      </c>
    </row>
    <row r="101" spans="3:51" ht="15.75" x14ac:dyDescent="0.25">
      <c r="C101" s="1" t="s">
        <v>950</v>
      </c>
      <c r="D101" s="1"/>
      <c r="E101" s="1" t="s">
        <v>1072</v>
      </c>
      <c r="F101" s="1" t="s">
        <v>1072</v>
      </c>
      <c r="G101" s="1" t="s">
        <v>1073</v>
      </c>
      <c r="H101" s="1">
        <v>1</v>
      </c>
      <c r="I101" s="159">
        <v>3000</v>
      </c>
      <c r="J101" s="159">
        <v>3000</v>
      </c>
      <c r="K101" s="159">
        <v>3000</v>
      </c>
      <c r="L101" s="159">
        <v>3000</v>
      </c>
      <c r="M101" s="159">
        <v>300</v>
      </c>
      <c r="N101" s="159">
        <v>300</v>
      </c>
      <c r="O101" s="159">
        <v>0</v>
      </c>
      <c r="P101" s="159">
        <v>0</v>
      </c>
      <c r="Q101" s="159">
        <v>0</v>
      </c>
      <c r="R101" s="159">
        <v>0</v>
      </c>
      <c r="S101" s="162"/>
      <c r="T101" s="161">
        <v>1</v>
      </c>
      <c r="U101" s="161">
        <v>0</v>
      </c>
      <c r="V101" s="161">
        <v>0.5</v>
      </c>
      <c r="W101" s="162"/>
      <c r="X101" s="161">
        <v>0.02</v>
      </c>
      <c r="Y101" s="162"/>
      <c r="Z101" s="163">
        <f t="shared" si="15"/>
        <v>3000</v>
      </c>
      <c r="AA101" s="163">
        <f t="shared" si="16"/>
        <v>500</v>
      </c>
      <c r="AB101" s="163">
        <v>650</v>
      </c>
      <c r="AC101" s="163">
        <v>2500</v>
      </c>
      <c r="AD101" s="162"/>
      <c r="AE101" s="161">
        <v>0</v>
      </c>
      <c r="AF101" s="162"/>
      <c r="AG101" s="161">
        <v>300</v>
      </c>
      <c r="AH101" s="161">
        <v>2000</v>
      </c>
      <c r="AI101" s="162"/>
      <c r="AJ101" s="163">
        <f t="shared" si="17"/>
        <v>3000</v>
      </c>
      <c r="AK101" s="163">
        <f t="shared" si="18"/>
        <v>300</v>
      </c>
      <c r="AL101" s="163">
        <f t="shared" si="19"/>
        <v>0</v>
      </c>
      <c r="AM101" s="163">
        <f t="shared" si="20"/>
        <v>0</v>
      </c>
      <c r="AN101" s="163">
        <f t="shared" si="21"/>
        <v>125</v>
      </c>
      <c r="AO101" s="163">
        <f t="shared" si="22"/>
        <v>0</v>
      </c>
      <c r="AP101" s="163">
        <f t="shared" si="23"/>
        <v>62.5</v>
      </c>
      <c r="AQ101" s="163">
        <f t="shared" si="24"/>
        <v>60</v>
      </c>
      <c r="AR101" s="163">
        <f t="shared" si="25"/>
        <v>125</v>
      </c>
      <c r="AS101" s="163">
        <f t="shared" si="26"/>
        <v>41.666666666666664</v>
      </c>
      <c r="AT101" s="163">
        <f t="shared" si="26"/>
        <v>54.166666666666664</v>
      </c>
      <c r="AU101" s="163">
        <f t="shared" si="26"/>
        <v>208.33333333333334</v>
      </c>
      <c r="AV101" s="163">
        <f t="shared" si="27"/>
        <v>0</v>
      </c>
      <c r="AW101" s="163">
        <f t="shared" si="28"/>
        <v>8.3333333333333339</v>
      </c>
      <c r="AX101" s="163">
        <f t="shared" si="28"/>
        <v>55.555555555555557</v>
      </c>
      <c r="AY101" s="164">
        <f t="shared" si="29"/>
        <v>4040.5555555555557</v>
      </c>
    </row>
    <row r="102" spans="3:51" ht="15.75" x14ac:dyDescent="0.25">
      <c r="C102" s="1" t="s">
        <v>950</v>
      </c>
      <c r="D102" s="1"/>
      <c r="E102" s="1" t="s">
        <v>961</v>
      </c>
      <c r="F102" s="1" t="s">
        <v>725</v>
      </c>
      <c r="G102" s="1" t="s">
        <v>1074</v>
      </c>
      <c r="H102" s="1">
        <v>1</v>
      </c>
      <c r="I102" s="159">
        <v>1200</v>
      </c>
      <c r="J102" s="159">
        <v>1200</v>
      </c>
      <c r="K102" s="159">
        <v>1200</v>
      </c>
      <c r="L102" s="159">
        <v>1200</v>
      </c>
      <c r="M102" s="159">
        <v>0</v>
      </c>
      <c r="N102" s="159">
        <v>0</v>
      </c>
      <c r="O102" s="159">
        <v>0</v>
      </c>
      <c r="P102" s="159">
        <v>0</v>
      </c>
      <c r="Q102" s="159">
        <v>150</v>
      </c>
      <c r="R102" s="159">
        <v>150</v>
      </c>
      <c r="S102" s="162"/>
      <c r="T102" s="161">
        <v>1</v>
      </c>
      <c r="U102" s="161">
        <v>0</v>
      </c>
      <c r="V102" s="161">
        <v>0.5</v>
      </c>
      <c r="W102" s="162"/>
      <c r="X102" s="161">
        <v>0.02</v>
      </c>
      <c r="Y102" s="162"/>
      <c r="Z102" s="163">
        <f t="shared" si="15"/>
        <v>3000</v>
      </c>
      <c r="AA102" s="163">
        <f t="shared" si="16"/>
        <v>500</v>
      </c>
      <c r="AB102" s="163">
        <v>650</v>
      </c>
      <c r="AC102" s="163">
        <v>2500</v>
      </c>
      <c r="AD102" s="162"/>
      <c r="AE102" s="161">
        <v>0</v>
      </c>
      <c r="AF102" s="162"/>
      <c r="AG102" s="161">
        <v>300</v>
      </c>
      <c r="AH102" s="161">
        <v>2000</v>
      </c>
      <c r="AI102" s="162"/>
      <c r="AJ102" s="163">
        <f t="shared" si="17"/>
        <v>1200</v>
      </c>
      <c r="AK102" s="163">
        <f t="shared" si="18"/>
        <v>0</v>
      </c>
      <c r="AL102" s="163">
        <f t="shared" si="19"/>
        <v>0</v>
      </c>
      <c r="AM102" s="163">
        <f t="shared" si="20"/>
        <v>150</v>
      </c>
      <c r="AN102" s="163">
        <f t="shared" si="21"/>
        <v>50</v>
      </c>
      <c r="AO102" s="163">
        <f t="shared" si="22"/>
        <v>0</v>
      </c>
      <c r="AP102" s="163">
        <f t="shared" si="23"/>
        <v>25</v>
      </c>
      <c r="AQ102" s="163">
        <f t="shared" si="24"/>
        <v>24</v>
      </c>
      <c r="AR102" s="163">
        <f t="shared" si="25"/>
        <v>125</v>
      </c>
      <c r="AS102" s="163">
        <f t="shared" si="26"/>
        <v>41.666666666666664</v>
      </c>
      <c r="AT102" s="163">
        <f t="shared" si="26"/>
        <v>54.166666666666664</v>
      </c>
      <c r="AU102" s="163">
        <f t="shared" si="26"/>
        <v>208.33333333333334</v>
      </c>
      <c r="AV102" s="163">
        <f t="shared" si="27"/>
        <v>0</v>
      </c>
      <c r="AW102" s="163">
        <f t="shared" si="28"/>
        <v>8.3333333333333339</v>
      </c>
      <c r="AX102" s="163">
        <f t="shared" si="28"/>
        <v>55.555555555555557</v>
      </c>
      <c r="AY102" s="164">
        <f t="shared" si="29"/>
        <v>1942.0555555555557</v>
      </c>
    </row>
    <row r="103" spans="3:51" ht="15.75" x14ac:dyDescent="0.25">
      <c r="C103" s="1" t="s">
        <v>950</v>
      </c>
      <c r="D103" s="1"/>
      <c r="E103" s="1" t="s">
        <v>970</v>
      </c>
      <c r="F103" s="1" t="s">
        <v>1075</v>
      </c>
      <c r="G103" s="1" t="s">
        <v>1076</v>
      </c>
      <c r="H103" s="1">
        <v>2</v>
      </c>
      <c r="I103" s="159">
        <v>5366</v>
      </c>
      <c r="J103" s="159">
        <v>2683</v>
      </c>
      <c r="K103" s="159">
        <v>3366</v>
      </c>
      <c r="L103" s="159">
        <v>2000</v>
      </c>
      <c r="M103" s="159">
        <v>400</v>
      </c>
      <c r="N103" s="159">
        <v>300</v>
      </c>
      <c r="O103" s="159">
        <v>2</v>
      </c>
      <c r="P103" s="159">
        <v>2</v>
      </c>
      <c r="Q103" s="159">
        <v>200</v>
      </c>
      <c r="R103" s="159">
        <v>0</v>
      </c>
      <c r="S103" s="162"/>
      <c r="T103" s="161">
        <v>1</v>
      </c>
      <c r="U103" s="161">
        <v>0</v>
      </c>
      <c r="V103" s="161">
        <v>0.5</v>
      </c>
      <c r="W103" s="162"/>
      <c r="X103" s="161">
        <v>0.02</v>
      </c>
      <c r="Y103" s="162"/>
      <c r="Z103" s="163">
        <f t="shared" si="15"/>
        <v>3000</v>
      </c>
      <c r="AA103" s="163">
        <f t="shared" si="16"/>
        <v>500</v>
      </c>
      <c r="AB103" s="163">
        <v>650</v>
      </c>
      <c r="AC103" s="163">
        <v>2500</v>
      </c>
      <c r="AD103" s="162"/>
      <c r="AE103" s="161">
        <v>0</v>
      </c>
      <c r="AF103" s="162"/>
      <c r="AG103" s="161">
        <v>300</v>
      </c>
      <c r="AH103" s="161">
        <v>2000</v>
      </c>
      <c r="AI103" s="162"/>
      <c r="AJ103" s="163">
        <f t="shared" si="17"/>
        <v>2683</v>
      </c>
      <c r="AK103" s="163">
        <f t="shared" si="18"/>
        <v>400</v>
      </c>
      <c r="AL103" s="163">
        <f t="shared" si="19"/>
        <v>447.16666666666669</v>
      </c>
      <c r="AM103" s="163">
        <f t="shared" si="20"/>
        <v>200</v>
      </c>
      <c r="AN103" s="163">
        <f t="shared" si="21"/>
        <v>111.79166666666667</v>
      </c>
      <c r="AO103" s="163">
        <f t="shared" si="22"/>
        <v>0</v>
      </c>
      <c r="AP103" s="163">
        <f t="shared" si="23"/>
        <v>55.895833333333336</v>
      </c>
      <c r="AQ103" s="163">
        <f t="shared" si="24"/>
        <v>62.603333333333332</v>
      </c>
      <c r="AR103" s="163">
        <f t="shared" si="25"/>
        <v>125</v>
      </c>
      <c r="AS103" s="163">
        <f t="shared" si="26"/>
        <v>41.666666666666664</v>
      </c>
      <c r="AT103" s="163">
        <f t="shared" si="26"/>
        <v>54.166666666666664</v>
      </c>
      <c r="AU103" s="163">
        <f t="shared" si="26"/>
        <v>208.33333333333334</v>
      </c>
      <c r="AV103" s="163">
        <f t="shared" si="27"/>
        <v>0</v>
      </c>
      <c r="AW103" s="163">
        <f t="shared" si="28"/>
        <v>8.3333333333333339</v>
      </c>
      <c r="AX103" s="163">
        <f t="shared" si="28"/>
        <v>55.555555555555557</v>
      </c>
      <c r="AY103" s="164">
        <f t="shared" si="29"/>
        <v>4453.5130555555552</v>
      </c>
    </row>
    <row r="104" spans="3:51" ht="15.75" x14ac:dyDescent="0.25">
      <c r="C104" s="1" t="s">
        <v>950</v>
      </c>
      <c r="D104" s="1" t="s">
        <v>1077</v>
      </c>
      <c r="E104" s="1" t="s">
        <v>961</v>
      </c>
      <c r="F104" s="1" t="s">
        <v>725</v>
      </c>
      <c r="G104" s="1" t="s">
        <v>1078</v>
      </c>
      <c r="H104" s="1">
        <v>49</v>
      </c>
      <c r="I104" s="159">
        <v>49325</v>
      </c>
      <c r="J104" s="159">
        <v>1006.6326530612245</v>
      </c>
      <c r="K104" s="159">
        <v>4500</v>
      </c>
      <c r="L104" s="159">
        <v>460</v>
      </c>
      <c r="M104" s="159"/>
      <c r="N104" s="159"/>
      <c r="O104" s="159"/>
      <c r="P104" s="159"/>
      <c r="Q104" s="159">
        <v>150</v>
      </c>
      <c r="R104" s="159">
        <v>0</v>
      </c>
      <c r="S104" s="162"/>
      <c r="T104" s="161">
        <v>1</v>
      </c>
      <c r="U104" s="161">
        <v>0</v>
      </c>
      <c r="V104" s="161">
        <v>0.5</v>
      </c>
      <c r="W104" s="162"/>
      <c r="X104" s="161">
        <v>0.02</v>
      </c>
      <c r="Y104" s="162"/>
      <c r="Z104" s="163">
        <f t="shared" si="15"/>
        <v>3000</v>
      </c>
      <c r="AA104" s="163">
        <f t="shared" si="16"/>
        <v>500</v>
      </c>
      <c r="AB104" s="163">
        <v>650</v>
      </c>
      <c r="AC104" s="163">
        <v>2500</v>
      </c>
      <c r="AD104" s="162"/>
      <c r="AE104" s="161">
        <v>0</v>
      </c>
      <c r="AF104" s="162"/>
      <c r="AG104" s="161">
        <v>300</v>
      </c>
      <c r="AH104" s="161">
        <v>2000</v>
      </c>
      <c r="AI104" s="162"/>
      <c r="AJ104" s="163">
        <f t="shared" si="17"/>
        <v>1006.6326530612245</v>
      </c>
      <c r="AK104" s="163">
        <f t="shared" si="18"/>
        <v>0</v>
      </c>
      <c r="AL104" s="163">
        <f t="shared" si="19"/>
        <v>0</v>
      </c>
      <c r="AM104" s="163">
        <f t="shared" si="20"/>
        <v>150</v>
      </c>
      <c r="AN104" s="163">
        <f t="shared" si="21"/>
        <v>41.943027210884352</v>
      </c>
      <c r="AO104" s="163">
        <f t="shared" si="22"/>
        <v>0</v>
      </c>
      <c r="AP104" s="163">
        <f t="shared" si="23"/>
        <v>20.971513605442176</v>
      </c>
      <c r="AQ104" s="163">
        <f t="shared" si="24"/>
        <v>20.132653061224488</v>
      </c>
      <c r="AR104" s="163">
        <f t="shared" si="25"/>
        <v>125</v>
      </c>
      <c r="AS104" s="163">
        <f t="shared" si="26"/>
        <v>41.666666666666664</v>
      </c>
      <c r="AT104" s="163">
        <f t="shared" si="26"/>
        <v>54.166666666666664</v>
      </c>
      <c r="AU104" s="163">
        <f t="shared" si="26"/>
        <v>208.33333333333334</v>
      </c>
      <c r="AV104" s="163">
        <f t="shared" si="27"/>
        <v>0</v>
      </c>
      <c r="AW104" s="163">
        <f t="shared" si="28"/>
        <v>8.3333333333333339</v>
      </c>
      <c r="AX104" s="163">
        <f t="shared" si="28"/>
        <v>55.555555555555557</v>
      </c>
      <c r="AY104" s="164">
        <f t="shared" si="29"/>
        <v>1732.7354024943313</v>
      </c>
    </row>
    <row r="105" spans="3:51" ht="15.75" x14ac:dyDescent="0.25">
      <c r="C105" s="1" t="s">
        <v>950</v>
      </c>
      <c r="D105" s="1"/>
      <c r="E105" s="1" t="s">
        <v>263</v>
      </c>
      <c r="F105" s="1" t="s">
        <v>263</v>
      </c>
      <c r="G105" s="1" t="s">
        <v>812</v>
      </c>
      <c r="H105" s="1">
        <v>37</v>
      </c>
      <c r="I105" s="159">
        <v>83770</v>
      </c>
      <c r="J105" s="159">
        <v>2264.0540540540542</v>
      </c>
      <c r="K105" s="159">
        <v>11000</v>
      </c>
      <c r="L105" s="159">
        <v>550</v>
      </c>
      <c r="M105" s="159">
        <v>800</v>
      </c>
      <c r="N105" s="159">
        <v>0</v>
      </c>
      <c r="O105" s="159">
        <v>0</v>
      </c>
      <c r="P105" s="159">
        <v>0</v>
      </c>
      <c r="Q105" s="159">
        <v>250</v>
      </c>
      <c r="R105" s="159">
        <v>0</v>
      </c>
      <c r="S105" s="162"/>
      <c r="T105" s="161">
        <v>1</v>
      </c>
      <c r="U105" s="161">
        <v>0</v>
      </c>
      <c r="V105" s="161">
        <v>0.5</v>
      </c>
      <c r="W105" s="162"/>
      <c r="X105" s="161">
        <v>0.02</v>
      </c>
      <c r="Y105" s="162"/>
      <c r="Z105" s="163">
        <f t="shared" si="15"/>
        <v>3000</v>
      </c>
      <c r="AA105" s="163">
        <f t="shared" si="16"/>
        <v>500</v>
      </c>
      <c r="AB105" s="163">
        <v>650</v>
      </c>
      <c r="AC105" s="163">
        <v>2500</v>
      </c>
      <c r="AD105" s="162"/>
      <c r="AE105" s="161">
        <v>0</v>
      </c>
      <c r="AF105" s="162"/>
      <c r="AG105" s="161">
        <v>300</v>
      </c>
      <c r="AH105" s="161">
        <v>2000</v>
      </c>
      <c r="AI105" s="162"/>
      <c r="AJ105" s="163">
        <f t="shared" si="17"/>
        <v>2264.0540540540542</v>
      </c>
      <c r="AK105" s="163">
        <f t="shared" si="18"/>
        <v>800</v>
      </c>
      <c r="AL105" s="163">
        <f t="shared" si="19"/>
        <v>0</v>
      </c>
      <c r="AM105" s="163">
        <f t="shared" si="20"/>
        <v>250</v>
      </c>
      <c r="AN105" s="163">
        <f t="shared" si="21"/>
        <v>94.335585585585591</v>
      </c>
      <c r="AO105" s="163">
        <f t="shared" si="22"/>
        <v>0</v>
      </c>
      <c r="AP105" s="163">
        <f t="shared" si="23"/>
        <v>47.167792792792795</v>
      </c>
      <c r="AQ105" s="163">
        <f t="shared" si="24"/>
        <v>45.281081081081084</v>
      </c>
      <c r="AR105" s="163">
        <f t="shared" si="25"/>
        <v>125</v>
      </c>
      <c r="AS105" s="163">
        <f t="shared" si="26"/>
        <v>41.666666666666664</v>
      </c>
      <c r="AT105" s="163">
        <f t="shared" si="26"/>
        <v>54.166666666666664</v>
      </c>
      <c r="AU105" s="163">
        <f t="shared" si="26"/>
        <v>208.33333333333334</v>
      </c>
      <c r="AV105" s="163">
        <f t="shared" si="27"/>
        <v>0</v>
      </c>
      <c r="AW105" s="163">
        <f t="shared" si="28"/>
        <v>8.3333333333333339</v>
      </c>
      <c r="AX105" s="163">
        <f t="shared" si="28"/>
        <v>55.555555555555557</v>
      </c>
      <c r="AY105" s="164">
        <f t="shared" si="29"/>
        <v>3993.8940690690692</v>
      </c>
    </row>
    <row r="106" spans="3:51" ht="15.75" x14ac:dyDescent="0.25">
      <c r="C106" s="1" t="s">
        <v>950</v>
      </c>
      <c r="D106" s="1"/>
      <c r="E106" s="1" t="s">
        <v>263</v>
      </c>
      <c r="F106" s="1" t="s">
        <v>263</v>
      </c>
      <c r="G106" s="1" t="s">
        <v>815</v>
      </c>
      <c r="H106" s="1">
        <v>5</v>
      </c>
      <c r="I106" s="159">
        <v>8400</v>
      </c>
      <c r="J106" s="159">
        <v>1680</v>
      </c>
      <c r="K106" s="159">
        <v>1800</v>
      </c>
      <c r="L106" s="159">
        <v>1500</v>
      </c>
      <c r="M106" s="159">
        <v>0</v>
      </c>
      <c r="N106" s="159">
        <v>0</v>
      </c>
      <c r="O106" s="159">
        <v>0</v>
      </c>
      <c r="P106" s="159">
        <v>0</v>
      </c>
      <c r="Q106" s="159">
        <v>150</v>
      </c>
      <c r="R106" s="159">
        <v>150</v>
      </c>
      <c r="S106" s="162"/>
      <c r="T106" s="161">
        <v>1</v>
      </c>
      <c r="U106" s="161">
        <v>0</v>
      </c>
      <c r="V106" s="161">
        <v>0.5</v>
      </c>
      <c r="W106" s="162"/>
      <c r="X106" s="161">
        <v>0.02</v>
      </c>
      <c r="Y106" s="162"/>
      <c r="Z106" s="163">
        <f t="shared" si="15"/>
        <v>3000</v>
      </c>
      <c r="AA106" s="163">
        <f t="shared" si="16"/>
        <v>500</v>
      </c>
      <c r="AB106" s="163">
        <v>650</v>
      </c>
      <c r="AC106" s="163">
        <v>2500</v>
      </c>
      <c r="AD106" s="162"/>
      <c r="AE106" s="161">
        <v>0</v>
      </c>
      <c r="AF106" s="162"/>
      <c r="AG106" s="161">
        <v>300</v>
      </c>
      <c r="AH106" s="161">
        <v>2000</v>
      </c>
      <c r="AI106" s="162"/>
      <c r="AJ106" s="163">
        <f t="shared" si="17"/>
        <v>1680</v>
      </c>
      <c r="AK106" s="163">
        <f t="shared" si="18"/>
        <v>0</v>
      </c>
      <c r="AL106" s="163">
        <f t="shared" si="19"/>
        <v>0</v>
      </c>
      <c r="AM106" s="163">
        <f t="shared" si="20"/>
        <v>150</v>
      </c>
      <c r="AN106" s="163">
        <f t="shared" si="21"/>
        <v>70</v>
      </c>
      <c r="AO106" s="163">
        <f t="shared" si="22"/>
        <v>0</v>
      </c>
      <c r="AP106" s="163">
        <f t="shared" si="23"/>
        <v>35</v>
      </c>
      <c r="AQ106" s="163">
        <f t="shared" si="24"/>
        <v>33.6</v>
      </c>
      <c r="AR106" s="163">
        <f t="shared" si="25"/>
        <v>125</v>
      </c>
      <c r="AS106" s="163">
        <f t="shared" si="26"/>
        <v>41.666666666666664</v>
      </c>
      <c r="AT106" s="163">
        <f t="shared" si="26"/>
        <v>54.166666666666664</v>
      </c>
      <c r="AU106" s="163">
        <f t="shared" si="26"/>
        <v>208.33333333333334</v>
      </c>
      <c r="AV106" s="163">
        <f t="shared" si="27"/>
        <v>0</v>
      </c>
      <c r="AW106" s="163">
        <f t="shared" si="28"/>
        <v>8.3333333333333339</v>
      </c>
      <c r="AX106" s="163">
        <f t="shared" si="28"/>
        <v>55.555555555555557</v>
      </c>
      <c r="AY106" s="164">
        <f t="shared" si="29"/>
        <v>2461.6555555555556</v>
      </c>
    </row>
    <row r="107" spans="3:51" ht="15.75" x14ac:dyDescent="0.25">
      <c r="C107" s="1" t="s">
        <v>950</v>
      </c>
      <c r="D107" s="1"/>
      <c r="E107" s="1" t="s">
        <v>263</v>
      </c>
      <c r="F107" s="1" t="s">
        <v>263</v>
      </c>
      <c r="G107" s="1" t="s">
        <v>811</v>
      </c>
      <c r="H107" s="1">
        <v>10</v>
      </c>
      <c r="I107" s="159">
        <v>19320</v>
      </c>
      <c r="J107" s="159">
        <v>1932</v>
      </c>
      <c r="K107" s="159">
        <v>2500</v>
      </c>
      <c r="L107" s="159">
        <v>1000</v>
      </c>
      <c r="M107" s="159">
        <v>0</v>
      </c>
      <c r="N107" s="159">
        <v>0</v>
      </c>
      <c r="O107" s="159">
        <v>0</v>
      </c>
      <c r="P107" s="159">
        <v>0</v>
      </c>
      <c r="Q107" s="159">
        <v>200</v>
      </c>
      <c r="R107" s="159">
        <v>0</v>
      </c>
      <c r="T107" s="1">
        <v>1</v>
      </c>
      <c r="U107" s="1">
        <v>0</v>
      </c>
      <c r="V107" s="1">
        <v>0.5</v>
      </c>
      <c r="X107" s="1">
        <v>0.02</v>
      </c>
      <c r="Z107" s="159">
        <f t="shared" si="15"/>
        <v>3000</v>
      </c>
      <c r="AA107" s="159">
        <f t="shared" si="16"/>
        <v>500</v>
      </c>
      <c r="AB107" s="159">
        <v>650</v>
      </c>
      <c r="AC107" s="159">
        <v>2500</v>
      </c>
      <c r="AE107" s="1">
        <v>0</v>
      </c>
      <c r="AG107" s="1">
        <v>300</v>
      </c>
      <c r="AH107" s="1">
        <v>2000</v>
      </c>
      <c r="AJ107" s="159">
        <f t="shared" si="17"/>
        <v>1932</v>
      </c>
      <c r="AK107" s="159">
        <f t="shared" si="18"/>
        <v>0</v>
      </c>
      <c r="AL107" s="159">
        <f t="shared" si="19"/>
        <v>0</v>
      </c>
      <c r="AM107" s="159">
        <f t="shared" si="20"/>
        <v>200</v>
      </c>
      <c r="AN107" s="159">
        <f t="shared" si="21"/>
        <v>80.5</v>
      </c>
      <c r="AO107" s="159">
        <f t="shared" si="22"/>
        <v>0</v>
      </c>
      <c r="AP107" s="159">
        <f t="shared" si="23"/>
        <v>40.25</v>
      </c>
      <c r="AQ107" s="159">
        <f t="shared" si="24"/>
        <v>38.64</v>
      </c>
      <c r="AR107" s="159">
        <f t="shared" si="25"/>
        <v>125</v>
      </c>
      <c r="AS107" s="159">
        <f t="shared" si="26"/>
        <v>41.666666666666664</v>
      </c>
      <c r="AT107" s="159">
        <f t="shared" si="26"/>
        <v>54.166666666666664</v>
      </c>
      <c r="AU107" s="159">
        <f t="shared" si="26"/>
        <v>208.33333333333334</v>
      </c>
      <c r="AV107" s="159">
        <f t="shared" si="27"/>
        <v>0</v>
      </c>
      <c r="AW107" s="159">
        <f t="shared" si="28"/>
        <v>8.3333333333333339</v>
      </c>
      <c r="AX107" s="159">
        <f t="shared" si="28"/>
        <v>55.555555555555557</v>
      </c>
      <c r="AY107" s="164">
        <f t="shared" si="29"/>
        <v>2784.4455555555555</v>
      </c>
    </row>
    <row r="108" spans="3:51" ht="15.75" x14ac:dyDescent="0.25">
      <c r="C108" s="1" t="s">
        <v>950</v>
      </c>
      <c r="D108" s="1"/>
      <c r="E108" s="1" t="s">
        <v>263</v>
      </c>
      <c r="F108" s="1" t="s">
        <v>263</v>
      </c>
      <c r="G108" s="1" t="s">
        <v>820</v>
      </c>
      <c r="H108" s="1">
        <v>38</v>
      </c>
      <c r="I108" s="159">
        <v>45100</v>
      </c>
      <c r="J108" s="159">
        <v>1186.8421052631579</v>
      </c>
      <c r="K108" s="159">
        <v>1200</v>
      </c>
      <c r="L108" s="159">
        <v>1000</v>
      </c>
      <c r="M108" s="159">
        <v>0</v>
      </c>
      <c r="N108" s="159">
        <v>0</v>
      </c>
      <c r="O108" s="159">
        <v>0</v>
      </c>
      <c r="P108" s="159">
        <v>0</v>
      </c>
      <c r="Q108" s="159">
        <v>200</v>
      </c>
      <c r="R108" s="159">
        <v>0</v>
      </c>
      <c r="T108" s="1">
        <v>1</v>
      </c>
      <c r="U108" s="1">
        <v>0</v>
      </c>
      <c r="V108" s="1">
        <v>0.5</v>
      </c>
      <c r="X108" s="1">
        <v>0.02</v>
      </c>
      <c r="Z108" s="159">
        <f t="shared" si="15"/>
        <v>3000</v>
      </c>
      <c r="AA108" s="159">
        <f t="shared" si="16"/>
        <v>500</v>
      </c>
      <c r="AB108" s="159">
        <v>650</v>
      </c>
      <c r="AC108" s="159">
        <v>2500</v>
      </c>
      <c r="AE108" s="1">
        <v>0</v>
      </c>
      <c r="AG108" s="1">
        <v>300</v>
      </c>
      <c r="AH108" s="1">
        <v>2000</v>
      </c>
      <c r="AJ108" s="159">
        <f t="shared" si="17"/>
        <v>1186.8421052631579</v>
      </c>
      <c r="AK108" s="159">
        <f t="shared" si="18"/>
        <v>0</v>
      </c>
      <c r="AL108" s="159">
        <f t="shared" si="19"/>
        <v>0</v>
      </c>
      <c r="AM108" s="159">
        <f t="shared" si="20"/>
        <v>200</v>
      </c>
      <c r="AN108" s="159">
        <f t="shared" si="21"/>
        <v>49.451754385964911</v>
      </c>
      <c r="AO108" s="159">
        <f t="shared" si="22"/>
        <v>0</v>
      </c>
      <c r="AP108" s="159">
        <f t="shared" si="23"/>
        <v>24.725877192982455</v>
      </c>
      <c r="AQ108" s="159">
        <f t="shared" si="24"/>
        <v>23.736842105263158</v>
      </c>
      <c r="AR108" s="159">
        <f t="shared" si="25"/>
        <v>125</v>
      </c>
      <c r="AS108" s="159">
        <f t="shared" si="26"/>
        <v>41.666666666666664</v>
      </c>
      <c r="AT108" s="159">
        <f t="shared" si="26"/>
        <v>54.166666666666664</v>
      </c>
      <c r="AU108" s="159">
        <f t="shared" si="26"/>
        <v>208.33333333333334</v>
      </c>
      <c r="AV108" s="159">
        <f t="shared" si="27"/>
        <v>0</v>
      </c>
      <c r="AW108" s="159">
        <f t="shared" si="28"/>
        <v>8.3333333333333339</v>
      </c>
      <c r="AX108" s="159">
        <f t="shared" si="28"/>
        <v>55.555555555555557</v>
      </c>
      <c r="AY108" s="164">
        <f t="shared" si="29"/>
        <v>1977.812134502924</v>
      </c>
    </row>
    <row r="109" spans="3:51" ht="15.75" x14ac:dyDescent="0.25">
      <c r="C109" s="1" t="s">
        <v>950</v>
      </c>
      <c r="D109" s="1" t="s">
        <v>1079</v>
      </c>
      <c r="E109" s="1" t="s">
        <v>263</v>
      </c>
      <c r="F109" s="1" t="s">
        <v>263</v>
      </c>
      <c r="G109" s="1" t="s">
        <v>814</v>
      </c>
      <c r="H109" s="1">
        <v>10</v>
      </c>
      <c r="I109" s="159">
        <v>25500</v>
      </c>
      <c r="J109" s="159">
        <v>2550</v>
      </c>
      <c r="K109" s="159">
        <v>3000</v>
      </c>
      <c r="L109" s="159">
        <v>1500</v>
      </c>
      <c r="M109" s="159">
        <v>300</v>
      </c>
      <c r="N109" s="159">
        <v>0</v>
      </c>
      <c r="O109" s="159">
        <v>2</v>
      </c>
      <c r="P109" s="159">
        <v>2</v>
      </c>
      <c r="Q109" s="159">
        <v>150</v>
      </c>
      <c r="R109" s="159">
        <v>0</v>
      </c>
      <c r="T109" s="1">
        <v>1</v>
      </c>
      <c r="U109" s="1">
        <v>0</v>
      </c>
      <c r="V109" s="1">
        <v>0.5</v>
      </c>
      <c r="X109" s="1">
        <v>0.02</v>
      </c>
      <c r="Z109" s="159">
        <f t="shared" si="15"/>
        <v>3000</v>
      </c>
      <c r="AA109" s="159">
        <f t="shared" si="16"/>
        <v>500</v>
      </c>
      <c r="AB109" s="159">
        <v>650</v>
      </c>
      <c r="AC109" s="159">
        <v>2500</v>
      </c>
      <c r="AE109" s="1">
        <v>0</v>
      </c>
      <c r="AG109" s="1">
        <v>300</v>
      </c>
      <c r="AH109" s="1">
        <v>2000</v>
      </c>
      <c r="AJ109" s="159">
        <f t="shared" si="17"/>
        <v>2550</v>
      </c>
      <c r="AK109" s="159">
        <f t="shared" si="18"/>
        <v>300</v>
      </c>
      <c r="AL109" s="159">
        <f t="shared" si="19"/>
        <v>425</v>
      </c>
      <c r="AM109" s="159">
        <f t="shared" si="20"/>
        <v>150</v>
      </c>
      <c r="AN109" s="159">
        <f t="shared" si="21"/>
        <v>106.25</v>
      </c>
      <c r="AO109" s="159">
        <f t="shared" si="22"/>
        <v>0</v>
      </c>
      <c r="AP109" s="159">
        <f t="shared" si="23"/>
        <v>53.125</v>
      </c>
      <c r="AQ109" s="159">
        <f t="shared" si="24"/>
        <v>59.5</v>
      </c>
      <c r="AR109" s="159">
        <f t="shared" si="25"/>
        <v>125</v>
      </c>
      <c r="AS109" s="159">
        <f t="shared" si="26"/>
        <v>41.666666666666664</v>
      </c>
      <c r="AT109" s="159">
        <f t="shared" si="26"/>
        <v>54.166666666666664</v>
      </c>
      <c r="AU109" s="159">
        <f t="shared" si="26"/>
        <v>208.33333333333334</v>
      </c>
      <c r="AV109" s="159">
        <f t="shared" si="27"/>
        <v>0</v>
      </c>
      <c r="AW109" s="159">
        <f t="shared" si="28"/>
        <v>8.3333333333333339</v>
      </c>
      <c r="AX109" s="159">
        <f t="shared" si="28"/>
        <v>55.555555555555557</v>
      </c>
      <c r="AY109" s="164">
        <f t="shared" si="29"/>
        <v>4136.9305555555557</v>
      </c>
    </row>
    <row r="110" spans="3:51" ht="15.75" x14ac:dyDescent="0.25">
      <c r="C110" s="1" t="s">
        <v>950</v>
      </c>
      <c r="D110" s="1"/>
      <c r="E110" s="1" t="s">
        <v>263</v>
      </c>
      <c r="F110" s="1" t="s">
        <v>263</v>
      </c>
      <c r="G110" s="1" t="s">
        <v>819</v>
      </c>
      <c r="H110" s="1">
        <v>58</v>
      </c>
      <c r="I110" s="159">
        <v>38075</v>
      </c>
      <c r="J110" s="159">
        <v>667.98245614035091</v>
      </c>
      <c r="K110" s="159">
        <v>1100</v>
      </c>
      <c r="L110" s="159">
        <v>300</v>
      </c>
      <c r="M110" s="159">
        <v>0</v>
      </c>
      <c r="N110" s="159">
        <v>0</v>
      </c>
      <c r="O110" s="159">
        <v>0</v>
      </c>
      <c r="P110" s="159">
        <v>0</v>
      </c>
      <c r="Q110" s="159">
        <v>150</v>
      </c>
      <c r="R110" s="159">
        <v>120</v>
      </c>
      <c r="T110" s="1">
        <v>1</v>
      </c>
      <c r="U110" s="1">
        <v>0</v>
      </c>
      <c r="V110" s="1">
        <v>0.5</v>
      </c>
      <c r="X110" s="1">
        <v>0.02</v>
      </c>
      <c r="Z110" s="159">
        <f t="shared" si="15"/>
        <v>3000</v>
      </c>
      <c r="AA110" s="159">
        <f t="shared" si="16"/>
        <v>500</v>
      </c>
      <c r="AB110" s="159">
        <v>650</v>
      </c>
      <c r="AC110" s="159">
        <v>2500</v>
      </c>
      <c r="AE110" s="1">
        <v>0</v>
      </c>
      <c r="AG110" s="1">
        <v>300</v>
      </c>
      <c r="AH110" s="1">
        <v>2000</v>
      </c>
      <c r="AJ110" s="159">
        <f t="shared" si="17"/>
        <v>667.98245614035091</v>
      </c>
      <c r="AK110" s="159">
        <f t="shared" si="18"/>
        <v>0</v>
      </c>
      <c r="AL110" s="159">
        <f t="shared" si="19"/>
        <v>0</v>
      </c>
      <c r="AM110" s="159">
        <f t="shared" si="20"/>
        <v>150</v>
      </c>
      <c r="AN110" s="159">
        <f t="shared" si="21"/>
        <v>27.832602339181289</v>
      </c>
      <c r="AO110" s="159">
        <f t="shared" si="22"/>
        <v>0</v>
      </c>
      <c r="AP110" s="159">
        <f t="shared" si="23"/>
        <v>13.916301169590644</v>
      </c>
      <c r="AQ110" s="159">
        <f t="shared" si="24"/>
        <v>13.359649122807019</v>
      </c>
      <c r="AR110" s="159">
        <f t="shared" si="25"/>
        <v>125</v>
      </c>
      <c r="AS110" s="159">
        <f t="shared" si="26"/>
        <v>41.666666666666664</v>
      </c>
      <c r="AT110" s="159">
        <f t="shared" si="26"/>
        <v>54.166666666666664</v>
      </c>
      <c r="AU110" s="159">
        <f t="shared" si="26"/>
        <v>208.33333333333334</v>
      </c>
      <c r="AV110" s="159">
        <f t="shared" si="27"/>
        <v>0</v>
      </c>
      <c r="AW110" s="159">
        <f t="shared" si="28"/>
        <v>8.3333333333333339</v>
      </c>
      <c r="AX110" s="159">
        <f t="shared" si="28"/>
        <v>55.555555555555557</v>
      </c>
      <c r="AY110" s="164">
        <f t="shared" si="29"/>
        <v>1366.1465643274855</v>
      </c>
    </row>
    <row r="111" spans="3:51" ht="15.75" x14ac:dyDescent="0.25">
      <c r="C111" s="1" t="s">
        <v>950</v>
      </c>
      <c r="D111" s="1"/>
      <c r="E111" s="1" t="s">
        <v>263</v>
      </c>
      <c r="F111" s="1" t="s">
        <v>263</v>
      </c>
      <c r="G111" s="1" t="s">
        <v>813</v>
      </c>
      <c r="H111" s="1">
        <v>53</v>
      </c>
      <c r="I111" s="159">
        <v>74785</v>
      </c>
      <c r="J111" s="159">
        <v>1411.0377358490566</v>
      </c>
      <c r="K111" s="159">
        <v>2185</v>
      </c>
      <c r="L111" s="159">
        <v>1200</v>
      </c>
      <c r="M111" s="159">
        <v>0</v>
      </c>
      <c r="N111" s="159">
        <v>0</v>
      </c>
      <c r="O111" s="159">
        <v>0</v>
      </c>
      <c r="P111" s="159">
        <v>0</v>
      </c>
      <c r="Q111" s="159">
        <v>200</v>
      </c>
      <c r="R111" s="159">
        <v>150</v>
      </c>
      <c r="T111" s="1">
        <v>1</v>
      </c>
      <c r="U111" s="1">
        <v>0</v>
      </c>
      <c r="V111" s="1">
        <v>0.5</v>
      </c>
      <c r="X111" s="1">
        <v>0.02</v>
      </c>
      <c r="Z111" s="159">
        <f t="shared" si="15"/>
        <v>3000</v>
      </c>
      <c r="AA111" s="159">
        <f t="shared" si="16"/>
        <v>500</v>
      </c>
      <c r="AB111" s="159">
        <v>650</v>
      </c>
      <c r="AC111" s="159">
        <v>2500</v>
      </c>
      <c r="AE111" s="1">
        <v>0</v>
      </c>
      <c r="AG111" s="1">
        <v>300</v>
      </c>
      <c r="AH111" s="1">
        <v>2000</v>
      </c>
      <c r="AJ111" s="159">
        <f t="shared" si="17"/>
        <v>1411.0377358490566</v>
      </c>
      <c r="AK111" s="159">
        <f t="shared" si="18"/>
        <v>0</v>
      </c>
      <c r="AL111" s="159">
        <f t="shared" si="19"/>
        <v>0</v>
      </c>
      <c r="AM111" s="159">
        <f t="shared" si="20"/>
        <v>200</v>
      </c>
      <c r="AN111" s="159">
        <f t="shared" si="21"/>
        <v>58.793238993710695</v>
      </c>
      <c r="AO111" s="159">
        <f t="shared" si="22"/>
        <v>0</v>
      </c>
      <c r="AP111" s="159">
        <f t="shared" si="23"/>
        <v>29.396619496855347</v>
      </c>
      <c r="AQ111" s="159">
        <f t="shared" si="24"/>
        <v>28.220754716981133</v>
      </c>
      <c r="AR111" s="159">
        <f t="shared" si="25"/>
        <v>125</v>
      </c>
      <c r="AS111" s="159">
        <f t="shared" si="26"/>
        <v>41.666666666666664</v>
      </c>
      <c r="AT111" s="159">
        <f t="shared" si="26"/>
        <v>54.166666666666664</v>
      </c>
      <c r="AU111" s="159">
        <f t="shared" si="26"/>
        <v>208.33333333333334</v>
      </c>
      <c r="AV111" s="159">
        <f t="shared" si="27"/>
        <v>0</v>
      </c>
      <c r="AW111" s="159">
        <f t="shared" si="28"/>
        <v>8.3333333333333339</v>
      </c>
      <c r="AX111" s="159">
        <f t="shared" si="28"/>
        <v>55.555555555555557</v>
      </c>
      <c r="AY111" s="164">
        <f t="shared" si="29"/>
        <v>2220.5039046121597</v>
      </c>
    </row>
    <row r="112" spans="3:51" ht="15.75" x14ac:dyDescent="0.25">
      <c r="C112" s="1" t="s">
        <v>950</v>
      </c>
      <c r="D112" s="1" t="s">
        <v>1079</v>
      </c>
      <c r="E112" s="1" t="s">
        <v>263</v>
      </c>
      <c r="F112" s="1" t="s">
        <v>263</v>
      </c>
      <c r="G112" s="1" t="s">
        <v>803</v>
      </c>
      <c r="H112" s="1">
        <v>93</v>
      </c>
      <c r="I112" s="159">
        <v>124185</v>
      </c>
      <c r="J112" s="159">
        <v>1335.3225806451612</v>
      </c>
      <c r="K112" s="159">
        <v>2100</v>
      </c>
      <c r="L112" s="159">
        <v>750</v>
      </c>
      <c r="M112" s="159">
        <v>0</v>
      </c>
      <c r="N112" s="159">
        <v>0</v>
      </c>
      <c r="O112" s="159">
        <v>0</v>
      </c>
      <c r="P112" s="159">
        <v>0</v>
      </c>
      <c r="Q112" s="159">
        <v>200</v>
      </c>
      <c r="R112" s="159">
        <v>0</v>
      </c>
      <c r="T112" s="1">
        <v>1</v>
      </c>
      <c r="U112" s="1">
        <v>0</v>
      </c>
      <c r="V112" s="1">
        <v>0.5</v>
      </c>
      <c r="X112" s="1">
        <v>0.02</v>
      </c>
      <c r="Z112" s="159">
        <f t="shared" si="15"/>
        <v>3000</v>
      </c>
      <c r="AA112" s="159">
        <f t="shared" si="16"/>
        <v>500</v>
      </c>
      <c r="AB112" s="159">
        <v>650</v>
      </c>
      <c r="AC112" s="159">
        <v>2500</v>
      </c>
      <c r="AE112" s="1">
        <v>0</v>
      </c>
      <c r="AG112" s="1">
        <v>300</v>
      </c>
      <c r="AH112" s="1">
        <v>2000</v>
      </c>
      <c r="AJ112" s="159">
        <f t="shared" si="17"/>
        <v>1335.3225806451612</v>
      </c>
      <c r="AK112" s="159">
        <f t="shared" si="18"/>
        <v>0</v>
      </c>
      <c r="AL112" s="159">
        <f t="shared" si="19"/>
        <v>0</v>
      </c>
      <c r="AM112" s="159">
        <f t="shared" si="20"/>
        <v>200</v>
      </c>
      <c r="AN112" s="159">
        <f t="shared" si="21"/>
        <v>55.638440860215049</v>
      </c>
      <c r="AO112" s="159">
        <f t="shared" si="22"/>
        <v>0</v>
      </c>
      <c r="AP112" s="159">
        <f t="shared" si="23"/>
        <v>27.819220430107524</v>
      </c>
      <c r="AQ112" s="159">
        <f t="shared" si="24"/>
        <v>26.706451612903226</v>
      </c>
      <c r="AR112" s="159">
        <f t="shared" si="25"/>
        <v>125</v>
      </c>
      <c r="AS112" s="159">
        <f t="shared" si="26"/>
        <v>41.666666666666664</v>
      </c>
      <c r="AT112" s="159">
        <f t="shared" si="26"/>
        <v>54.166666666666664</v>
      </c>
      <c r="AU112" s="159">
        <f t="shared" si="26"/>
        <v>208.33333333333334</v>
      </c>
      <c r="AV112" s="159">
        <f t="shared" si="27"/>
        <v>0</v>
      </c>
      <c r="AW112" s="159">
        <f t="shared" si="28"/>
        <v>8.3333333333333339</v>
      </c>
      <c r="AX112" s="159">
        <f t="shared" si="28"/>
        <v>55.555555555555557</v>
      </c>
      <c r="AY112" s="164">
        <f t="shared" si="29"/>
        <v>2138.542249103943</v>
      </c>
    </row>
    <row r="113" spans="3:51" ht="15.75" x14ac:dyDescent="0.25">
      <c r="C113" s="1" t="s">
        <v>950</v>
      </c>
      <c r="D113" s="1"/>
      <c r="E113" s="1" t="s">
        <v>263</v>
      </c>
      <c r="F113" s="1" t="s">
        <v>263</v>
      </c>
      <c r="G113" s="1" t="s">
        <v>1080</v>
      </c>
      <c r="H113" s="1">
        <v>16</v>
      </c>
      <c r="I113" s="159">
        <v>46850</v>
      </c>
      <c r="J113" s="159">
        <v>2928.125</v>
      </c>
      <c r="K113" s="159">
        <v>4500</v>
      </c>
      <c r="L113" s="159">
        <v>1000</v>
      </c>
      <c r="M113" s="159">
        <v>300</v>
      </c>
      <c r="N113" s="159">
        <v>0</v>
      </c>
      <c r="O113" s="159">
        <v>0</v>
      </c>
      <c r="P113" s="159">
        <v>0</v>
      </c>
      <c r="Q113" s="159">
        <v>150</v>
      </c>
      <c r="R113" s="159">
        <v>0</v>
      </c>
      <c r="T113" s="1">
        <v>1</v>
      </c>
      <c r="U113" s="1">
        <v>0</v>
      </c>
      <c r="V113" s="1">
        <v>0.5</v>
      </c>
      <c r="X113" s="1">
        <v>0.02</v>
      </c>
      <c r="Z113" s="159">
        <f t="shared" si="15"/>
        <v>3000</v>
      </c>
      <c r="AA113" s="159">
        <f t="shared" si="16"/>
        <v>500</v>
      </c>
      <c r="AB113" s="159">
        <v>650</v>
      </c>
      <c r="AC113" s="159">
        <v>2500</v>
      </c>
      <c r="AE113" s="1">
        <v>0</v>
      </c>
      <c r="AG113" s="1">
        <v>300</v>
      </c>
      <c r="AH113" s="1">
        <v>2000</v>
      </c>
      <c r="AJ113" s="159">
        <f t="shared" si="17"/>
        <v>2928.125</v>
      </c>
      <c r="AK113" s="159">
        <f t="shared" si="18"/>
        <v>300</v>
      </c>
      <c r="AL113" s="159">
        <f t="shared" si="19"/>
        <v>0</v>
      </c>
      <c r="AM113" s="159">
        <f t="shared" si="20"/>
        <v>150</v>
      </c>
      <c r="AN113" s="159">
        <f t="shared" si="21"/>
        <v>122.00520833333333</v>
      </c>
      <c r="AO113" s="159">
        <f t="shared" si="22"/>
        <v>0</v>
      </c>
      <c r="AP113" s="159">
        <f t="shared" si="23"/>
        <v>61.002604166666664</v>
      </c>
      <c r="AQ113" s="159">
        <f t="shared" si="24"/>
        <v>58.5625</v>
      </c>
      <c r="AR113" s="159">
        <f t="shared" si="25"/>
        <v>125</v>
      </c>
      <c r="AS113" s="159">
        <f t="shared" si="26"/>
        <v>41.666666666666664</v>
      </c>
      <c r="AT113" s="159">
        <f t="shared" si="26"/>
        <v>54.166666666666664</v>
      </c>
      <c r="AU113" s="159">
        <f t="shared" si="26"/>
        <v>208.33333333333334</v>
      </c>
      <c r="AV113" s="159">
        <f t="shared" si="27"/>
        <v>0</v>
      </c>
      <c r="AW113" s="159">
        <f t="shared" si="28"/>
        <v>8.3333333333333339</v>
      </c>
      <c r="AX113" s="159">
        <f t="shared" si="28"/>
        <v>55.555555555555557</v>
      </c>
      <c r="AY113" s="164">
        <f t="shared" si="29"/>
        <v>4112.7508680555557</v>
      </c>
    </row>
    <row r="114" spans="3:51" ht="15.75" x14ac:dyDescent="0.25">
      <c r="C114" s="1" t="s">
        <v>950</v>
      </c>
      <c r="D114" s="1"/>
      <c r="E114" s="1" t="s">
        <v>263</v>
      </c>
      <c r="F114" s="1" t="s">
        <v>263</v>
      </c>
      <c r="G114" s="1" t="s">
        <v>802</v>
      </c>
      <c r="H114" s="1">
        <v>235</v>
      </c>
      <c r="I114" s="159">
        <v>288050</v>
      </c>
      <c r="J114" s="159">
        <v>1225.7446808510638</v>
      </c>
      <c r="K114" s="159">
        <v>2000</v>
      </c>
      <c r="L114" s="159">
        <v>850</v>
      </c>
      <c r="M114" s="159">
        <v>0</v>
      </c>
      <c r="N114" s="159">
        <v>0</v>
      </c>
      <c r="O114" s="159">
        <v>0</v>
      </c>
      <c r="P114" s="159">
        <v>0</v>
      </c>
      <c r="Q114" s="159">
        <v>200</v>
      </c>
      <c r="R114" s="159">
        <v>0</v>
      </c>
      <c r="T114" s="1">
        <v>1</v>
      </c>
      <c r="U114" s="1">
        <v>0</v>
      </c>
      <c r="V114" s="1">
        <v>0.5</v>
      </c>
      <c r="X114" s="1">
        <v>0.02</v>
      </c>
      <c r="Z114" s="159">
        <f t="shared" si="15"/>
        <v>3000</v>
      </c>
      <c r="AA114" s="159">
        <f t="shared" si="16"/>
        <v>500</v>
      </c>
      <c r="AB114" s="159">
        <v>650</v>
      </c>
      <c r="AC114" s="159">
        <v>2500</v>
      </c>
      <c r="AE114" s="1">
        <v>0</v>
      </c>
      <c r="AG114" s="1">
        <v>300</v>
      </c>
      <c r="AH114" s="1">
        <v>2000</v>
      </c>
      <c r="AJ114" s="159">
        <f t="shared" si="17"/>
        <v>1225.7446808510638</v>
      </c>
      <c r="AK114" s="159">
        <f t="shared" si="18"/>
        <v>0</v>
      </c>
      <c r="AL114" s="159">
        <f t="shared" si="19"/>
        <v>0</v>
      </c>
      <c r="AM114" s="159">
        <f t="shared" si="20"/>
        <v>200</v>
      </c>
      <c r="AN114" s="159">
        <f t="shared" si="21"/>
        <v>51.072695035460988</v>
      </c>
      <c r="AO114" s="159">
        <f t="shared" si="22"/>
        <v>0</v>
      </c>
      <c r="AP114" s="159">
        <f t="shared" si="23"/>
        <v>25.536347517730494</v>
      </c>
      <c r="AQ114" s="159">
        <f t="shared" si="24"/>
        <v>24.514893617021276</v>
      </c>
      <c r="AR114" s="159">
        <f t="shared" si="25"/>
        <v>125</v>
      </c>
      <c r="AS114" s="159">
        <f t="shared" si="26"/>
        <v>41.666666666666664</v>
      </c>
      <c r="AT114" s="159">
        <f t="shared" si="26"/>
        <v>54.166666666666664</v>
      </c>
      <c r="AU114" s="159">
        <f t="shared" si="26"/>
        <v>208.33333333333334</v>
      </c>
      <c r="AV114" s="159">
        <f t="shared" si="27"/>
        <v>0</v>
      </c>
      <c r="AW114" s="159">
        <f t="shared" si="28"/>
        <v>8.3333333333333339</v>
      </c>
      <c r="AX114" s="159">
        <f t="shared" si="28"/>
        <v>55.555555555555557</v>
      </c>
      <c r="AY114" s="164">
        <f t="shared" si="29"/>
        <v>2019.9241725768322</v>
      </c>
    </row>
    <row r="115" spans="3:51" ht="15.75" x14ac:dyDescent="0.25">
      <c r="C115" s="1" t="s">
        <v>950</v>
      </c>
      <c r="D115" s="1"/>
      <c r="E115" s="1" t="s">
        <v>263</v>
      </c>
      <c r="F115" s="1" t="s">
        <v>263</v>
      </c>
      <c r="G115" s="1" t="s">
        <v>1081</v>
      </c>
      <c r="H115" s="1">
        <v>4</v>
      </c>
      <c r="I115" s="159">
        <v>5250</v>
      </c>
      <c r="J115" s="159">
        <v>1312.5</v>
      </c>
      <c r="K115" s="159">
        <v>1600</v>
      </c>
      <c r="L115" s="159">
        <v>1000</v>
      </c>
      <c r="M115" s="159">
        <v>0</v>
      </c>
      <c r="N115" s="159">
        <v>0</v>
      </c>
      <c r="O115" s="159">
        <v>0</v>
      </c>
      <c r="P115" s="159">
        <v>0</v>
      </c>
      <c r="Q115" s="159">
        <v>200</v>
      </c>
      <c r="R115" s="159">
        <v>150</v>
      </c>
      <c r="T115" s="1">
        <v>1</v>
      </c>
      <c r="U115" s="1">
        <v>0</v>
      </c>
      <c r="V115" s="1">
        <v>0.5</v>
      </c>
      <c r="X115" s="1">
        <v>0.02</v>
      </c>
      <c r="Z115" s="159">
        <f t="shared" si="15"/>
        <v>3000</v>
      </c>
      <c r="AA115" s="159">
        <f t="shared" si="16"/>
        <v>500</v>
      </c>
      <c r="AB115" s="159">
        <v>650</v>
      </c>
      <c r="AC115" s="159">
        <v>2500</v>
      </c>
      <c r="AE115" s="1">
        <v>0</v>
      </c>
      <c r="AG115" s="1">
        <v>300</v>
      </c>
      <c r="AH115" s="1">
        <v>2000</v>
      </c>
      <c r="AJ115" s="159">
        <f t="shared" si="17"/>
        <v>1312.5</v>
      </c>
      <c r="AK115" s="159">
        <f t="shared" si="18"/>
        <v>0</v>
      </c>
      <c r="AL115" s="159">
        <f t="shared" si="19"/>
        <v>0</v>
      </c>
      <c r="AM115" s="159">
        <f t="shared" si="20"/>
        <v>200</v>
      </c>
      <c r="AN115" s="159">
        <f t="shared" si="21"/>
        <v>54.6875</v>
      </c>
      <c r="AO115" s="159">
        <f t="shared" si="22"/>
        <v>0</v>
      </c>
      <c r="AP115" s="159">
        <f t="shared" si="23"/>
        <v>27.34375</v>
      </c>
      <c r="AQ115" s="159">
        <f t="shared" si="24"/>
        <v>26.25</v>
      </c>
      <c r="AR115" s="159">
        <f t="shared" si="25"/>
        <v>125</v>
      </c>
      <c r="AS115" s="159">
        <f t="shared" si="26"/>
        <v>41.666666666666664</v>
      </c>
      <c r="AT115" s="159">
        <f t="shared" si="26"/>
        <v>54.166666666666664</v>
      </c>
      <c r="AU115" s="159">
        <f t="shared" si="26"/>
        <v>208.33333333333334</v>
      </c>
      <c r="AV115" s="159">
        <f t="shared" si="27"/>
        <v>0</v>
      </c>
      <c r="AW115" s="159">
        <f t="shared" si="28"/>
        <v>8.3333333333333339</v>
      </c>
      <c r="AX115" s="159">
        <f t="shared" si="28"/>
        <v>55.555555555555557</v>
      </c>
      <c r="AY115" s="164">
        <f t="shared" si="29"/>
        <v>2113.8368055555561</v>
      </c>
    </row>
    <row r="116" spans="3:51" ht="15.75" x14ac:dyDescent="0.25">
      <c r="C116" s="1" t="s">
        <v>950</v>
      </c>
      <c r="D116" s="1"/>
      <c r="E116" s="1" t="s">
        <v>263</v>
      </c>
      <c r="F116" s="1" t="s">
        <v>263</v>
      </c>
      <c r="G116" s="1" t="s">
        <v>1082</v>
      </c>
      <c r="H116" s="1">
        <v>8</v>
      </c>
      <c r="I116" s="159">
        <v>9590</v>
      </c>
      <c r="J116" s="159">
        <v>1198.75</v>
      </c>
      <c r="K116" s="159">
        <v>1500</v>
      </c>
      <c r="L116" s="159">
        <v>990</v>
      </c>
      <c r="M116" s="159">
        <v>0</v>
      </c>
      <c r="N116" s="159">
        <v>0</v>
      </c>
      <c r="O116" s="159">
        <v>0</v>
      </c>
      <c r="P116" s="159">
        <v>0</v>
      </c>
      <c r="Q116" s="159">
        <v>150</v>
      </c>
      <c r="R116" s="159">
        <v>150</v>
      </c>
      <c r="T116" s="1">
        <v>1</v>
      </c>
      <c r="U116" s="1">
        <v>0</v>
      </c>
      <c r="V116" s="1">
        <v>0.5</v>
      </c>
      <c r="X116" s="1">
        <v>0.02</v>
      </c>
      <c r="Z116" s="159">
        <f t="shared" si="15"/>
        <v>3000</v>
      </c>
      <c r="AA116" s="159">
        <f t="shared" si="16"/>
        <v>500</v>
      </c>
      <c r="AB116" s="159">
        <v>650</v>
      </c>
      <c r="AC116" s="159">
        <v>2500</v>
      </c>
      <c r="AE116" s="1">
        <v>0</v>
      </c>
      <c r="AG116" s="1">
        <v>300</v>
      </c>
      <c r="AH116" s="1">
        <v>2000</v>
      </c>
      <c r="AJ116" s="159">
        <f t="shared" si="17"/>
        <v>1198.75</v>
      </c>
      <c r="AK116" s="159">
        <f t="shared" si="18"/>
        <v>0</v>
      </c>
      <c r="AL116" s="159">
        <f t="shared" si="19"/>
        <v>0</v>
      </c>
      <c r="AM116" s="159">
        <f t="shared" si="20"/>
        <v>150</v>
      </c>
      <c r="AN116" s="159">
        <f t="shared" si="21"/>
        <v>49.947916666666664</v>
      </c>
      <c r="AO116" s="159">
        <f t="shared" si="22"/>
        <v>0</v>
      </c>
      <c r="AP116" s="159">
        <f t="shared" si="23"/>
        <v>24.973958333333332</v>
      </c>
      <c r="AQ116" s="159">
        <f t="shared" si="24"/>
        <v>23.975000000000001</v>
      </c>
      <c r="AR116" s="159">
        <f t="shared" si="25"/>
        <v>125</v>
      </c>
      <c r="AS116" s="159">
        <f t="shared" si="26"/>
        <v>41.666666666666664</v>
      </c>
      <c r="AT116" s="159">
        <f t="shared" si="26"/>
        <v>54.166666666666664</v>
      </c>
      <c r="AU116" s="159">
        <f t="shared" si="26"/>
        <v>208.33333333333334</v>
      </c>
      <c r="AV116" s="159">
        <f t="shared" si="27"/>
        <v>0</v>
      </c>
      <c r="AW116" s="159">
        <f t="shared" si="28"/>
        <v>8.3333333333333339</v>
      </c>
      <c r="AX116" s="159">
        <f t="shared" si="28"/>
        <v>55.555555555555557</v>
      </c>
      <c r="AY116" s="164">
        <f t="shared" si="29"/>
        <v>1940.7024305555556</v>
      </c>
    </row>
    <row r="117" spans="3:51" ht="15.75" x14ac:dyDescent="0.25">
      <c r="C117" s="1" t="s">
        <v>950</v>
      </c>
      <c r="D117" s="1"/>
      <c r="E117" s="1" t="s">
        <v>263</v>
      </c>
      <c r="F117" s="1" t="s">
        <v>263</v>
      </c>
      <c r="G117" s="1" t="s">
        <v>1083</v>
      </c>
      <c r="H117" s="1">
        <v>57</v>
      </c>
      <c r="I117" s="159">
        <v>100050</v>
      </c>
      <c r="J117" s="159">
        <v>1755.2631578947369</v>
      </c>
      <c r="K117" s="159">
        <v>3100</v>
      </c>
      <c r="L117" s="159">
        <v>1100</v>
      </c>
      <c r="M117" s="159">
        <v>0</v>
      </c>
      <c r="N117" s="159">
        <v>0</v>
      </c>
      <c r="O117" s="159">
        <v>0</v>
      </c>
      <c r="P117" s="159">
        <v>0</v>
      </c>
      <c r="Q117" s="159">
        <v>200</v>
      </c>
      <c r="R117" s="159">
        <v>0</v>
      </c>
      <c r="T117" s="1">
        <v>1</v>
      </c>
      <c r="U117" s="1">
        <v>0</v>
      </c>
      <c r="V117" s="1">
        <v>0.5</v>
      </c>
      <c r="X117" s="1">
        <v>0.02</v>
      </c>
      <c r="Z117" s="159">
        <f t="shared" si="15"/>
        <v>3000</v>
      </c>
      <c r="AA117" s="159">
        <f t="shared" si="16"/>
        <v>500</v>
      </c>
      <c r="AB117" s="159">
        <v>650</v>
      </c>
      <c r="AC117" s="159">
        <v>2500</v>
      </c>
      <c r="AE117" s="1">
        <v>0</v>
      </c>
      <c r="AG117" s="1">
        <v>300</v>
      </c>
      <c r="AH117" s="1">
        <v>2000</v>
      </c>
      <c r="AJ117" s="159">
        <f t="shared" si="17"/>
        <v>1755.2631578947369</v>
      </c>
      <c r="AK117" s="159">
        <f t="shared" si="18"/>
        <v>0</v>
      </c>
      <c r="AL117" s="159">
        <f t="shared" si="19"/>
        <v>0</v>
      </c>
      <c r="AM117" s="159">
        <f t="shared" si="20"/>
        <v>200</v>
      </c>
      <c r="AN117" s="159">
        <f t="shared" si="21"/>
        <v>73.135964912280699</v>
      </c>
      <c r="AO117" s="159">
        <f t="shared" si="22"/>
        <v>0</v>
      </c>
      <c r="AP117" s="159">
        <f t="shared" si="23"/>
        <v>36.567982456140349</v>
      </c>
      <c r="AQ117" s="159">
        <f t="shared" si="24"/>
        <v>35.10526315789474</v>
      </c>
      <c r="AR117" s="159">
        <f t="shared" si="25"/>
        <v>125</v>
      </c>
      <c r="AS117" s="159">
        <f t="shared" si="26"/>
        <v>41.666666666666664</v>
      </c>
      <c r="AT117" s="159">
        <f t="shared" si="26"/>
        <v>54.166666666666664</v>
      </c>
      <c r="AU117" s="159">
        <f t="shared" si="26"/>
        <v>208.33333333333334</v>
      </c>
      <c r="AV117" s="159">
        <f t="shared" si="27"/>
        <v>0</v>
      </c>
      <c r="AW117" s="159">
        <f t="shared" si="28"/>
        <v>8.3333333333333339</v>
      </c>
      <c r="AX117" s="159">
        <f t="shared" si="28"/>
        <v>55.555555555555557</v>
      </c>
      <c r="AY117" s="164">
        <f t="shared" si="29"/>
        <v>2593.1279239766081</v>
      </c>
    </row>
    <row r="118" spans="3:51" ht="15.75" x14ac:dyDescent="0.25">
      <c r="C118" s="1" t="s">
        <v>950</v>
      </c>
      <c r="D118" s="1"/>
      <c r="E118" s="1" t="s">
        <v>263</v>
      </c>
      <c r="F118" s="1" t="s">
        <v>263</v>
      </c>
      <c r="G118" s="1" t="s">
        <v>1084</v>
      </c>
      <c r="H118" s="1">
        <v>1</v>
      </c>
      <c r="I118" s="159">
        <v>2800</v>
      </c>
      <c r="J118" s="159">
        <v>2800</v>
      </c>
      <c r="K118" s="159">
        <v>2800</v>
      </c>
      <c r="L118" s="159">
        <v>2800</v>
      </c>
      <c r="M118" s="159">
        <v>0</v>
      </c>
      <c r="N118" s="159">
        <v>0</v>
      </c>
      <c r="O118" s="159">
        <v>0</v>
      </c>
      <c r="P118" s="159">
        <v>0</v>
      </c>
      <c r="Q118" s="159">
        <v>0</v>
      </c>
      <c r="R118" s="159">
        <v>0</v>
      </c>
      <c r="T118" s="1">
        <v>1</v>
      </c>
      <c r="U118" s="1">
        <v>0</v>
      </c>
      <c r="V118" s="1">
        <v>0.5</v>
      </c>
      <c r="X118" s="1">
        <v>0.02</v>
      </c>
      <c r="Z118" s="159">
        <f t="shared" si="15"/>
        <v>3000</v>
      </c>
      <c r="AA118" s="159">
        <f t="shared" si="16"/>
        <v>500</v>
      </c>
      <c r="AB118" s="159">
        <v>650</v>
      </c>
      <c r="AC118" s="159">
        <v>2500</v>
      </c>
      <c r="AE118" s="1">
        <v>0</v>
      </c>
      <c r="AG118" s="1">
        <v>300</v>
      </c>
      <c r="AH118" s="1">
        <v>2000</v>
      </c>
      <c r="AJ118" s="159">
        <f t="shared" si="17"/>
        <v>2800</v>
      </c>
      <c r="AK118" s="159">
        <f t="shared" si="18"/>
        <v>0</v>
      </c>
      <c r="AL118" s="159">
        <f t="shared" si="19"/>
        <v>0</v>
      </c>
      <c r="AM118" s="159">
        <f t="shared" si="20"/>
        <v>0</v>
      </c>
      <c r="AN118" s="159">
        <f t="shared" si="21"/>
        <v>116.66666666666667</v>
      </c>
      <c r="AO118" s="159">
        <f t="shared" si="22"/>
        <v>0</v>
      </c>
      <c r="AP118" s="159">
        <f t="shared" si="23"/>
        <v>58.333333333333336</v>
      </c>
      <c r="AQ118" s="159">
        <f t="shared" si="24"/>
        <v>56</v>
      </c>
      <c r="AR118" s="159">
        <f t="shared" si="25"/>
        <v>125</v>
      </c>
      <c r="AS118" s="159">
        <f t="shared" si="26"/>
        <v>41.666666666666664</v>
      </c>
      <c r="AT118" s="159">
        <f t="shared" si="26"/>
        <v>54.166666666666664</v>
      </c>
      <c r="AU118" s="159">
        <f t="shared" si="26"/>
        <v>208.33333333333334</v>
      </c>
      <c r="AV118" s="159">
        <f t="shared" si="27"/>
        <v>0</v>
      </c>
      <c r="AW118" s="159">
        <f t="shared" si="28"/>
        <v>8.3333333333333339</v>
      </c>
      <c r="AX118" s="159">
        <f t="shared" si="28"/>
        <v>55.555555555555557</v>
      </c>
      <c r="AY118" s="164">
        <f t="shared" si="29"/>
        <v>3524.0555555555557</v>
      </c>
    </row>
    <row r="119" spans="3:51" ht="15.75" x14ac:dyDescent="0.25">
      <c r="C119" s="1" t="s">
        <v>950</v>
      </c>
      <c r="D119" s="1"/>
      <c r="E119" s="1" t="s">
        <v>263</v>
      </c>
      <c r="F119" s="1" t="s">
        <v>263</v>
      </c>
      <c r="G119" s="1" t="s">
        <v>1085</v>
      </c>
      <c r="H119" s="1">
        <v>14</v>
      </c>
      <c r="I119" s="159">
        <v>16150</v>
      </c>
      <c r="J119" s="159">
        <v>1153.5714285714287</v>
      </c>
      <c r="K119" s="159">
        <v>2400</v>
      </c>
      <c r="L119" s="159">
        <v>800</v>
      </c>
      <c r="M119" s="159">
        <v>0</v>
      </c>
      <c r="N119" s="159">
        <v>0</v>
      </c>
      <c r="O119" s="159">
        <v>0</v>
      </c>
      <c r="P119" s="159">
        <v>0</v>
      </c>
      <c r="Q119" s="159">
        <v>150</v>
      </c>
      <c r="R119" s="159">
        <v>150</v>
      </c>
      <c r="T119" s="1">
        <v>1</v>
      </c>
      <c r="U119" s="1">
        <v>0</v>
      </c>
      <c r="V119" s="1">
        <v>0.5</v>
      </c>
      <c r="X119" s="1">
        <v>0.02</v>
      </c>
      <c r="Z119" s="159">
        <f t="shared" si="15"/>
        <v>3000</v>
      </c>
      <c r="AA119" s="159">
        <f t="shared" si="16"/>
        <v>500</v>
      </c>
      <c r="AB119" s="159">
        <v>650</v>
      </c>
      <c r="AC119" s="159">
        <v>2500</v>
      </c>
      <c r="AE119" s="1">
        <v>0</v>
      </c>
      <c r="AG119" s="1">
        <v>300</v>
      </c>
      <c r="AH119" s="1">
        <v>2000</v>
      </c>
      <c r="AJ119" s="159">
        <f t="shared" si="17"/>
        <v>1153.5714285714287</v>
      </c>
      <c r="AK119" s="159">
        <f t="shared" si="18"/>
        <v>0</v>
      </c>
      <c r="AL119" s="159">
        <f t="shared" si="19"/>
        <v>0</v>
      </c>
      <c r="AM119" s="159">
        <f t="shared" si="20"/>
        <v>150</v>
      </c>
      <c r="AN119" s="159">
        <f t="shared" si="21"/>
        <v>48.065476190476197</v>
      </c>
      <c r="AO119" s="159">
        <f t="shared" si="22"/>
        <v>0</v>
      </c>
      <c r="AP119" s="159">
        <f t="shared" si="23"/>
        <v>24.032738095238098</v>
      </c>
      <c r="AQ119" s="159">
        <f t="shared" si="24"/>
        <v>23.071428571428573</v>
      </c>
      <c r="AR119" s="159">
        <f t="shared" si="25"/>
        <v>125</v>
      </c>
      <c r="AS119" s="159">
        <f t="shared" si="26"/>
        <v>41.666666666666664</v>
      </c>
      <c r="AT119" s="159">
        <f t="shared" si="26"/>
        <v>54.166666666666664</v>
      </c>
      <c r="AU119" s="159">
        <f t="shared" si="26"/>
        <v>208.33333333333334</v>
      </c>
      <c r="AV119" s="159">
        <f t="shared" si="27"/>
        <v>0</v>
      </c>
      <c r="AW119" s="159">
        <f t="shared" si="28"/>
        <v>8.3333333333333339</v>
      </c>
      <c r="AX119" s="159">
        <f t="shared" si="28"/>
        <v>55.555555555555557</v>
      </c>
      <c r="AY119" s="164">
        <f t="shared" si="29"/>
        <v>1891.7966269841272</v>
      </c>
    </row>
    <row r="120" spans="3:51" ht="15.75" x14ac:dyDescent="0.25">
      <c r="C120" s="1" t="s">
        <v>950</v>
      </c>
      <c r="D120" s="1"/>
      <c r="E120" s="1" t="s">
        <v>263</v>
      </c>
      <c r="F120" s="1" t="s">
        <v>263</v>
      </c>
      <c r="G120" s="1" t="s">
        <v>804</v>
      </c>
      <c r="H120" s="1">
        <v>4</v>
      </c>
      <c r="I120" s="159">
        <v>4800</v>
      </c>
      <c r="J120" s="159">
        <v>1200</v>
      </c>
      <c r="K120" s="159">
        <v>1200</v>
      </c>
      <c r="L120" s="159">
        <v>1200</v>
      </c>
      <c r="M120" s="159">
        <v>0</v>
      </c>
      <c r="N120" s="159">
        <v>0</v>
      </c>
      <c r="O120" s="159">
        <v>0</v>
      </c>
      <c r="P120" s="159">
        <v>0</v>
      </c>
      <c r="Q120" s="159">
        <v>200</v>
      </c>
      <c r="R120" s="159">
        <v>150</v>
      </c>
      <c r="T120" s="1">
        <v>1</v>
      </c>
      <c r="U120" s="1">
        <v>0</v>
      </c>
      <c r="V120" s="1">
        <v>0.5</v>
      </c>
      <c r="X120" s="1">
        <v>0.02</v>
      </c>
      <c r="Z120" s="159">
        <f t="shared" si="15"/>
        <v>3000</v>
      </c>
      <c r="AA120" s="159">
        <f t="shared" si="16"/>
        <v>500</v>
      </c>
      <c r="AB120" s="159">
        <v>650</v>
      </c>
      <c r="AC120" s="159">
        <v>2500</v>
      </c>
      <c r="AE120" s="1">
        <v>0</v>
      </c>
      <c r="AG120" s="1">
        <v>300</v>
      </c>
      <c r="AH120" s="1">
        <v>2000</v>
      </c>
      <c r="AJ120" s="159">
        <f t="shared" si="17"/>
        <v>1200</v>
      </c>
      <c r="AK120" s="159">
        <f t="shared" si="18"/>
        <v>0</v>
      </c>
      <c r="AL120" s="159">
        <f t="shared" si="19"/>
        <v>0</v>
      </c>
      <c r="AM120" s="159">
        <f t="shared" si="20"/>
        <v>200</v>
      </c>
      <c r="AN120" s="159">
        <f t="shared" si="21"/>
        <v>50</v>
      </c>
      <c r="AO120" s="159">
        <f t="shared" si="22"/>
        <v>0</v>
      </c>
      <c r="AP120" s="159">
        <f t="shared" si="23"/>
        <v>25</v>
      </c>
      <c r="AQ120" s="159">
        <f t="shared" si="24"/>
        <v>24</v>
      </c>
      <c r="AR120" s="159">
        <f t="shared" si="25"/>
        <v>125</v>
      </c>
      <c r="AS120" s="159">
        <f t="shared" si="26"/>
        <v>41.666666666666664</v>
      </c>
      <c r="AT120" s="159">
        <f t="shared" si="26"/>
        <v>54.166666666666664</v>
      </c>
      <c r="AU120" s="159">
        <f t="shared" si="26"/>
        <v>208.33333333333334</v>
      </c>
      <c r="AV120" s="159">
        <f t="shared" si="27"/>
        <v>0</v>
      </c>
      <c r="AW120" s="159">
        <f t="shared" si="28"/>
        <v>8.3333333333333339</v>
      </c>
      <c r="AX120" s="159">
        <f t="shared" si="28"/>
        <v>55.555555555555557</v>
      </c>
      <c r="AY120" s="164">
        <f t="shared" si="29"/>
        <v>1992.0555555555557</v>
      </c>
    </row>
    <row r="121" spans="3:51" ht="15.75" x14ac:dyDescent="0.25">
      <c r="C121" s="1" t="s">
        <v>950</v>
      </c>
      <c r="D121" s="1"/>
      <c r="E121" s="1" t="s">
        <v>263</v>
      </c>
      <c r="F121" s="1" t="s">
        <v>263</v>
      </c>
      <c r="G121" s="1" t="s">
        <v>805</v>
      </c>
      <c r="H121" s="1">
        <v>217</v>
      </c>
      <c r="I121" s="159">
        <v>259351</v>
      </c>
      <c r="J121" s="159">
        <v>1195.1658986175116</v>
      </c>
      <c r="K121" s="159">
        <v>1700</v>
      </c>
      <c r="L121" s="159">
        <v>600</v>
      </c>
      <c r="M121" s="159">
        <v>0</v>
      </c>
      <c r="N121" s="159">
        <v>0</v>
      </c>
      <c r="O121" s="159">
        <v>0</v>
      </c>
      <c r="P121" s="159">
        <v>0</v>
      </c>
      <c r="Q121" s="159">
        <v>250</v>
      </c>
      <c r="R121" s="159">
        <v>0</v>
      </c>
      <c r="T121" s="1">
        <v>1</v>
      </c>
      <c r="U121" s="1">
        <v>0</v>
      </c>
      <c r="V121" s="1">
        <v>0.5</v>
      </c>
      <c r="X121" s="1">
        <v>0.02</v>
      </c>
      <c r="Z121" s="159">
        <f t="shared" si="15"/>
        <v>3000</v>
      </c>
      <c r="AA121" s="159">
        <f t="shared" si="16"/>
        <v>500</v>
      </c>
      <c r="AB121" s="159">
        <v>650</v>
      </c>
      <c r="AC121" s="159">
        <v>2500</v>
      </c>
      <c r="AE121" s="1">
        <v>0</v>
      </c>
      <c r="AG121" s="1">
        <v>300</v>
      </c>
      <c r="AH121" s="1">
        <v>2000</v>
      </c>
      <c r="AJ121" s="159">
        <f t="shared" si="17"/>
        <v>1195.1658986175116</v>
      </c>
      <c r="AK121" s="159">
        <f t="shared" si="18"/>
        <v>0</v>
      </c>
      <c r="AL121" s="159">
        <f t="shared" si="19"/>
        <v>0</v>
      </c>
      <c r="AM121" s="159">
        <f t="shared" si="20"/>
        <v>250</v>
      </c>
      <c r="AN121" s="159">
        <f t="shared" si="21"/>
        <v>49.798579109062985</v>
      </c>
      <c r="AO121" s="159">
        <f t="shared" si="22"/>
        <v>0</v>
      </c>
      <c r="AP121" s="159">
        <f t="shared" si="23"/>
        <v>24.899289554531492</v>
      </c>
      <c r="AQ121" s="159">
        <f t="shared" si="24"/>
        <v>23.903317972350234</v>
      </c>
      <c r="AR121" s="159">
        <f t="shared" si="25"/>
        <v>125</v>
      </c>
      <c r="AS121" s="159">
        <f t="shared" si="26"/>
        <v>41.666666666666664</v>
      </c>
      <c r="AT121" s="159">
        <f t="shared" si="26"/>
        <v>54.166666666666664</v>
      </c>
      <c r="AU121" s="159">
        <f t="shared" si="26"/>
        <v>208.33333333333334</v>
      </c>
      <c r="AV121" s="159">
        <f t="shared" si="27"/>
        <v>0</v>
      </c>
      <c r="AW121" s="159">
        <f t="shared" si="28"/>
        <v>8.3333333333333339</v>
      </c>
      <c r="AX121" s="159">
        <f t="shared" si="28"/>
        <v>55.555555555555557</v>
      </c>
      <c r="AY121" s="164">
        <f t="shared" si="29"/>
        <v>2036.8226408090118</v>
      </c>
    </row>
    <row r="122" spans="3:51" ht="15.75" x14ac:dyDescent="0.25">
      <c r="C122" s="1" t="s">
        <v>950</v>
      </c>
      <c r="D122" s="1"/>
      <c r="E122" s="1" t="s">
        <v>263</v>
      </c>
      <c r="F122" s="1" t="s">
        <v>263</v>
      </c>
      <c r="G122" s="1" t="s">
        <v>1086</v>
      </c>
      <c r="H122" s="1">
        <v>1</v>
      </c>
      <c r="I122" s="159">
        <v>1300</v>
      </c>
      <c r="J122" s="159">
        <v>1300</v>
      </c>
      <c r="K122" s="159">
        <v>1300</v>
      </c>
      <c r="L122" s="159">
        <v>1300</v>
      </c>
      <c r="M122" s="159">
        <v>0</v>
      </c>
      <c r="N122" s="159">
        <v>0</v>
      </c>
      <c r="O122" s="159">
        <v>0</v>
      </c>
      <c r="P122" s="159">
        <v>0</v>
      </c>
      <c r="Q122" s="159">
        <v>150</v>
      </c>
      <c r="R122" s="159">
        <v>150</v>
      </c>
      <c r="T122" s="1">
        <v>1</v>
      </c>
      <c r="U122" s="1">
        <v>0</v>
      </c>
      <c r="V122" s="1">
        <v>0.5</v>
      </c>
      <c r="X122" s="1">
        <v>0.02</v>
      </c>
      <c r="Z122" s="159">
        <f t="shared" si="15"/>
        <v>3000</v>
      </c>
      <c r="AA122" s="159">
        <f t="shared" si="16"/>
        <v>500</v>
      </c>
      <c r="AB122" s="159">
        <v>650</v>
      </c>
      <c r="AC122" s="159">
        <v>2500</v>
      </c>
      <c r="AE122" s="1">
        <v>0</v>
      </c>
      <c r="AG122" s="1">
        <v>300</v>
      </c>
      <c r="AH122" s="1">
        <v>2000</v>
      </c>
      <c r="AJ122" s="159">
        <f t="shared" si="17"/>
        <v>1300</v>
      </c>
      <c r="AK122" s="159">
        <f t="shared" si="18"/>
        <v>0</v>
      </c>
      <c r="AL122" s="159">
        <f t="shared" si="19"/>
        <v>0</v>
      </c>
      <c r="AM122" s="159">
        <f t="shared" si="20"/>
        <v>150</v>
      </c>
      <c r="AN122" s="159">
        <f t="shared" si="21"/>
        <v>54.166666666666664</v>
      </c>
      <c r="AO122" s="159">
        <f t="shared" si="22"/>
        <v>0</v>
      </c>
      <c r="AP122" s="159">
        <f t="shared" si="23"/>
        <v>27.083333333333332</v>
      </c>
      <c r="AQ122" s="159">
        <f t="shared" si="24"/>
        <v>26</v>
      </c>
      <c r="AR122" s="159">
        <f t="shared" si="25"/>
        <v>125</v>
      </c>
      <c r="AS122" s="159">
        <f t="shared" si="26"/>
        <v>41.666666666666664</v>
      </c>
      <c r="AT122" s="159">
        <f t="shared" si="26"/>
        <v>54.166666666666664</v>
      </c>
      <c r="AU122" s="159">
        <f t="shared" si="26"/>
        <v>208.33333333333334</v>
      </c>
      <c r="AV122" s="159">
        <f t="shared" si="27"/>
        <v>0</v>
      </c>
      <c r="AW122" s="159">
        <f t="shared" si="28"/>
        <v>8.3333333333333339</v>
      </c>
      <c r="AX122" s="159">
        <f t="shared" si="28"/>
        <v>55.555555555555557</v>
      </c>
      <c r="AY122" s="164">
        <f t="shared" si="29"/>
        <v>2050.3055555555557</v>
      </c>
    </row>
    <row r="123" spans="3:51" ht="15.75" x14ac:dyDescent="0.25">
      <c r="C123" s="1" t="s">
        <v>950</v>
      </c>
      <c r="D123" s="1"/>
      <c r="E123" s="1" t="s">
        <v>263</v>
      </c>
      <c r="F123" s="1" t="s">
        <v>263</v>
      </c>
      <c r="G123" s="1" t="s">
        <v>1087</v>
      </c>
      <c r="H123" s="1">
        <v>16</v>
      </c>
      <c r="I123" s="159">
        <v>28400</v>
      </c>
      <c r="J123" s="159">
        <v>1775</v>
      </c>
      <c r="K123" s="159">
        <v>2600</v>
      </c>
      <c r="L123" s="159">
        <v>1300</v>
      </c>
      <c r="M123" s="159">
        <v>0</v>
      </c>
      <c r="N123" s="159">
        <v>0</v>
      </c>
      <c r="O123" s="159">
        <v>0</v>
      </c>
      <c r="P123" s="159">
        <v>0</v>
      </c>
      <c r="Q123" s="159">
        <v>150</v>
      </c>
      <c r="R123" s="159">
        <v>0</v>
      </c>
      <c r="T123" s="1">
        <v>1</v>
      </c>
      <c r="U123" s="1">
        <v>0</v>
      </c>
      <c r="V123" s="1">
        <v>0.5</v>
      </c>
      <c r="X123" s="1">
        <v>0.02</v>
      </c>
      <c r="Z123" s="159">
        <f t="shared" si="15"/>
        <v>3000</v>
      </c>
      <c r="AA123" s="159">
        <f t="shared" si="16"/>
        <v>500</v>
      </c>
      <c r="AB123" s="159">
        <v>650</v>
      </c>
      <c r="AC123" s="159">
        <v>2500</v>
      </c>
      <c r="AE123" s="1">
        <v>0</v>
      </c>
      <c r="AG123" s="1">
        <v>300</v>
      </c>
      <c r="AH123" s="1">
        <v>2000</v>
      </c>
      <c r="AJ123" s="159">
        <f t="shared" si="17"/>
        <v>1775</v>
      </c>
      <c r="AK123" s="159">
        <f t="shared" si="18"/>
        <v>0</v>
      </c>
      <c r="AL123" s="159">
        <f t="shared" si="19"/>
        <v>0</v>
      </c>
      <c r="AM123" s="159">
        <f t="shared" si="20"/>
        <v>150</v>
      </c>
      <c r="AN123" s="159">
        <f t="shared" si="21"/>
        <v>73.958333333333329</v>
      </c>
      <c r="AO123" s="159">
        <f t="shared" si="22"/>
        <v>0</v>
      </c>
      <c r="AP123" s="159">
        <f t="shared" si="23"/>
        <v>36.979166666666664</v>
      </c>
      <c r="AQ123" s="159">
        <f t="shared" si="24"/>
        <v>35.5</v>
      </c>
      <c r="AR123" s="159">
        <f t="shared" si="25"/>
        <v>125</v>
      </c>
      <c r="AS123" s="159">
        <f t="shared" si="26"/>
        <v>41.666666666666664</v>
      </c>
      <c r="AT123" s="159">
        <f t="shared" si="26"/>
        <v>54.166666666666664</v>
      </c>
      <c r="AU123" s="159">
        <f t="shared" si="26"/>
        <v>208.33333333333334</v>
      </c>
      <c r="AV123" s="159">
        <f t="shared" si="27"/>
        <v>0</v>
      </c>
      <c r="AW123" s="159">
        <f t="shared" si="28"/>
        <v>8.3333333333333339</v>
      </c>
      <c r="AX123" s="159">
        <f t="shared" si="28"/>
        <v>55.555555555555557</v>
      </c>
      <c r="AY123" s="164">
        <f t="shared" si="29"/>
        <v>2564.4930555555557</v>
      </c>
    </row>
    <row r="124" spans="3:51" ht="15.75" x14ac:dyDescent="0.25">
      <c r="C124" s="1" t="s">
        <v>950</v>
      </c>
      <c r="D124" s="1"/>
      <c r="E124" s="1" t="s">
        <v>263</v>
      </c>
      <c r="F124" s="1" t="s">
        <v>263</v>
      </c>
      <c r="G124" s="1" t="s">
        <v>1088</v>
      </c>
      <c r="H124" s="1">
        <v>6</v>
      </c>
      <c r="I124" s="159">
        <v>12300</v>
      </c>
      <c r="J124" s="159">
        <v>2050</v>
      </c>
      <c r="K124" s="159">
        <v>3500</v>
      </c>
      <c r="L124" s="159">
        <v>1100</v>
      </c>
      <c r="M124" s="159">
        <v>300</v>
      </c>
      <c r="N124" s="159">
        <v>0</v>
      </c>
      <c r="O124" s="159">
        <v>0</v>
      </c>
      <c r="P124" s="159">
        <v>0</v>
      </c>
      <c r="Q124" s="159">
        <v>200</v>
      </c>
      <c r="R124" s="159">
        <v>0</v>
      </c>
      <c r="T124" s="1">
        <v>1</v>
      </c>
      <c r="U124" s="1">
        <v>0</v>
      </c>
      <c r="V124" s="1">
        <v>0.5</v>
      </c>
      <c r="X124" s="1">
        <v>0.02</v>
      </c>
      <c r="Z124" s="159">
        <f t="shared" si="15"/>
        <v>3000</v>
      </c>
      <c r="AA124" s="159">
        <f t="shared" si="16"/>
        <v>500</v>
      </c>
      <c r="AB124" s="159">
        <v>650</v>
      </c>
      <c r="AC124" s="159">
        <v>2500</v>
      </c>
      <c r="AE124" s="1">
        <v>0</v>
      </c>
      <c r="AG124" s="1">
        <v>300</v>
      </c>
      <c r="AH124" s="1">
        <v>2000</v>
      </c>
      <c r="AJ124" s="159">
        <f t="shared" si="17"/>
        <v>2050</v>
      </c>
      <c r="AK124" s="159">
        <f t="shared" si="18"/>
        <v>300</v>
      </c>
      <c r="AL124" s="159">
        <f t="shared" si="19"/>
        <v>0</v>
      </c>
      <c r="AM124" s="159">
        <f t="shared" si="20"/>
        <v>200</v>
      </c>
      <c r="AN124" s="159">
        <f t="shared" si="21"/>
        <v>85.416666666666671</v>
      </c>
      <c r="AO124" s="159">
        <f t="shared" si="22"/>
        <v>0</v>
      </c>
      <c r="AP124" s="159">
        <f t="shared" si="23"/>
        <v>42.708333333333336</v>
      </c>
      <c r="AQ124" s="159">
        <f t="shared" si="24"/>
        <v>41</v>
      </c>
      <c r="AR124" s="159">
        <f t="shared" si="25"/>
        <v>125</v>
      </c>
      <c r="AS124" s="159">
        <f t="shared" si="26"/>
        <v>41.666666666666664</v>
      </c>
      <c r="AT124" s="159">
        <f t="shared" si="26"/>
        <v>54.166666666666664</v>
      </c>
      <c r="AU124" s="159">
        <f t="shared" si="26"/>
        <v>208.33333333333334</v>
      </c>
      <c r="AV124" s="159">
        <f t="shared" si="27"/>
        <v>0</v>
      </c>
      <c r="AW124" s="159">
        <f t="shared" si="28"/>
        <v>8.3333333333333339</v>
      </c>
      <c r="AX124" s="159">
        <f t="shared" si="28"/>
        <v>55.555555555555557</v>
      </c>
      <c r="AY124" s="164">
        <f t="shared" si="29"/>
        <v>3212.1805555555557</v>
      </c>
    </row>
    <row r="125" spans="3:51" ht="15.75" x14ac:dyDescent="0.25">
      <c r="C125" s="1" t="s">
        <v>950</v>
      </c>
      <c r="D125" s="1"/>
      <c r="E125" s="1" t="s">
        <v>263</v>
      </c>
      <c r="F125" s="1" t="s">
        <v>263</v>
      </c>
      <c r="G125" s="1" t="s">
        <v>1089</v>
      </c>
      <c r="H125" s="1">
        <v>23</v>
      </c>
      <c r="I125" s="159">
        <v>36650</v>
      </c>
      <c r="J125" s="159">
        <v>1593.4782608695652</v>
      </c>
      <c r="K125" s="159">
        <v>3000</v>
      </c>
      <c r="L125" s="159">
        <v>600</v>
      </c>
      <c r="M125" s="159">
        <v>300</v>
      </c>
      <c r="N125" s="159">
        <v>0</v>
      </c>
      <c r="O125" s="159">
        <v>0</v>
      </c>
      <c r="P125" s="159">
        <v>0</v>
      </c>
      <c r="Q125" s="159">
        <v>150</v>
      </c>
      <c r="R125" s="159">
        <v>0</v>
      </c>
      <c r="T125" s="1">
        <v>1</v>
      </c>
      <c r="U125" s="1">
        <v>0</v>
      </c>
      <c r="V125" s="1">
        <v>0.5</v>
      </c>
      <c r="X125" s="1">
        <v>0.02</v>
      </c>
      <c r="Z125" s="159">
        <f t="shared" si="15"/>
        <v>3000</v>
      </c>
      <c r="AA125" s="159">
        <f t="shared" si="16"/>
        <v>500</v>
      </c>
      <c r="AB125" s="159">
        <v>650</v>
      </c>
      <c r="AC125" s="159">
        <v>2500</v>
      </c>
      <c r="AE125" s="1">
        <v>0</v>
      </c>
      <c r="AG125" s="1">
        <v>300</v>
      </c>
      <c r="AH125" s="1">
        <v>2000</v>
      </c>
      <c r="AJ125" s="159">
        <f t="shared" si="17"/>
        <v>1593.4782608695652</v>
      </c>
      <c r="AK125" s="159">
        <f t="shared" si="18"/>
        <v>300</v>
      </c>
      <c r="AL125" s="159">
        <f t="shared" si="19"/>
        <v>0</v>
      </c>
      <c r="AM125" s="159">
        <f t="shared" si="20"/>
        <v>150</v>
      </c>
      <c r="AN125" s="159">
        <f t="shared" si="21"/>
        <v>66.39492753623189</v>
      </c>
      <c r="AO125" s="159">
        <f t="shared" si="22"/>
        <v>0</v>
      </c>
      <c r="AP125" s="159">
        <f t="shared" si="23"/>
        <v>33.197463768115945</v>
      </c>
      <c r="AQ125" s="159">
        <f t="shared" si="24"/>
        <v>31.869565217391305</v>
      </c>
      <c r="AR125" s="159">
        <f t="shared" si="25"/>
        <v>125</v>
      </c>
      <c r="AS125" s="159">
        <f t="shared" si="26"/>
        <v>41.666666666666664</v>
      </c>
      <c r="AT125" s="159">
        <f t="shared" si="26"/>
        <v>54.166666666666664</v>
      </c>
      <c r="AU125" s="159">
        <f t="shared" si="26"/>
        <v>208.33333333333334</v>
      </c>
      <c r="AV125" s="159">
        <f t="shared" si="27"/>
        <v>0</v>
      </c>
      <c r="AW125" s="159">
        <f t="shared" si="28"/>
        <v>8.3333333333333339</v>
      </c>
      <c r="AX125" s="159">
        <f t="shared" si="28"/>
        <v>55.555555555555557</v>
      </c>
      <c r="AY125" s="164">
        <f t="shared" si="29"/>
        <v>2667.9957729468601</v>
      </c>
    </row>
    <row r="126" spans="3:51" ht="15.75" x14ac:dyDescent="0.25">
      <c r="C126" s="1" t="s">
        <v>950</v>
      </c>
      <c r="D126" s="1"/>
      <c r="E126" s="1" t="s">
        <v>263</v>
      </c>
      <c r="F126" s="1" t="s">
        <v>263</v>
      </c>
      <c r="G126" s="1" t="s">
        <v>818</v>
      </c>
      <c r="H126" s="1">
        <v>8</v>
      </c>
      <c r="I126" s="159">
        <v>11620</v>
      </c>
      <c r="J126" s="159">
        <v>1452.5</v>
      </c>
      <c r="K126" s="159">
        <v>2200</v>
      </c>
      <c r="L126" s="159">
        <v>950</v>
      </c>
      <c r="M126" s="159">
        <v>0</v>
      </c>
      <c r="N126" s="159">
        <v>0</v>
      </c>
      <c r="O126" s="159">
        <v>0</v>
      </c>
      <c r="P126" s="159">
        <v>0</v>
      </c>
      <c r="Q126" s="159">
        <v>150</v>
      </c>
      <c r="R126" s="159">
        <v>120</v>
      </c>
      <c r="T126" s="1">
        <v>1</v>
      </c>
      <c r="U126" s="1">
        <v>0</v>
      </c>
      <c r="V126" s="1">
        <v>0.5</v>
      </c>
      <c r="X126" s="1">
        <v>0.02</v>
      </c>
      <c r="Z126" s="159">
        <f t="shared" si="15"/>
        <v>3000</v>
      </c>
      <c r="AA126" s="159">
        <f t="shared" si="16"/>
        <v>500</v>
      </c>
      <c r="AB126" s="159">
        <v>650</v>
      </c>
      <c r="AC126" s="159">
        <v>2500</v>
      </c>
      <c r="AE126" s="1">
        <v>0</v>
      </c>
      <c r="AG126" s="1">
        <v>300</v>
      </c>
      <c r="AH126" s="1">
        <v>2000</v>
      </c>
      <c r="AJ126" s="159">
        <f t="shared" si="17"/>
        <v>1452.5</v>
      </c>
      <c r="AK126" s="159">
        <f t="shared" si="18"/>
        <v>0</v>
      </c>
      <c r="AL126" s="159">
        <f t="shared" si="19"/>
        <v>0</v>
      </c>
      <c r="AM126" s="159">
        <f t="shared" si="20"/>
        <v>150</v>
      </c>
      <c r="AN126" s="159">
        <f t="shared" si="21"/>
        <v>60.520833333333336</v>
      </c>
      <c r="AO126" s="159">
        <f t="shared" si="22"/>
        <v>0</v>
      </c>
      <c r="AP126" s="159">
        <f t="shared" si="23"/>
        <v>30.260416666666668</v>
      </c>
      <c r="AQ126" s="159">
        <f t="shared" si="24"/>
        <v>29.05</v>
      </c>
      <c r="AR126" s="159">
        <f t="shared" si="25"/>
        <v>125</v>
      </c>
      <c r="AS126" s="159">
        <f t="shared" si="26"/>
        <v>41.666666666666664</v>
      </c>
      <c r="AT126" s="159">
        <f t="shared" si="26"/>
        <v>54.166666666666664</v>
      </c>
      <c r="AU126" s="159">
        <f t="shared" si="26"/>
        <v>208.33333333333334</v>
      </c>
      <c r="AV126" s="159">
        <f t="shared" si="27"/>
        <v>0</v>
      </c>
      <c r="AW126" s="159">
        <f t="shared" si="28"/>
        <v>8.3333333333333339</v>
      </c>
      <c r="AX126" s="159">
        <f t="shared" si="28"/>
        <v>55.555555555555557</v>
      </c>
      <c r="AY126" s="164">
        <f t="shared" si="29"/>
        <v>2215.3868055555558</v>
      </c>
    </row>
    <row r="127" spans="3:51" ht="15.75" x14ac:dyDescent="0.25">
      <c r="C127" s="1" t="s">
        <v>950</v>
      </c>
      <c r="D127" s="1"/>
      <c r="E127" s="1" t="s">
        <v>263</v>
      </c>
      <c r="F127" s="1" t="s">
        <v>263</v>
      </c>
      <c r="G127" s="1" t="s">
        <v>809</v>
      </c>
      <c r="H127" s="1">
        <v>110</v>
      </c>
      <c r="I127" s="159">
        <v>81753</v>
      </c>
      <c r="J127" s="159">
        <v>743.20909090909095</v>
      </c>
      <c r="K127" s="159">
        <v>1200</v>
      </c>
      <c r="L127" s="159">
        <v>500</v>
      </c>
      <c r="M127" s="159">
        <v>0</v>
      </c>
      <c r="N127" s="159">
        <v>0</v>
      </c>
      <c r="O127" s="159">
        <v>0</v>
      </c>
      <c r="P127" s="159">
        <v>0</v>
      </c>
      <c r="Q127" s="159">
        <v>150</v>
      </c>
      <c r="R127" s="159">
        <v>0</v>
      </c>
      <c r="T127" s="1">
        <v>1</v>
      </c>
      <c r="U127" s="1">
        <v>0</v>
      </c>
      <c r="V127" s="1">
        <v>0.5</v>
      </c>
      <c r="X127" s="1">
        <v>0.02</v>
      </c>
      <c r="Z127" s="159">
        <f t="shared" si="15"/>
        <v>3000</v>
      </c>
      <c r="AA127" s="159">
        <f t="shared" si="16"/>
        <v>500</v>
      </c>
      <c r="AB127" s="159">
        <v>650</v>
      </c>
      <c r="AC127" s="159">
        <v>2500</v>
      </c>
      <c r="AE127" s="1">
        <v>0</v>
      </c>
      <c r="AG127" s="1">
        <v>300</v>
      </c>
      <c r="AH127" s="1">
        <v>2000</v>
      </c>
      <c r="AJ127" s="159">
        <f t="shared" si="17"/>
        <v>743.20909090909095</v>
      </c>
      <c r="AK127" s="159">
        <f t="shared" si="18"/>
        <v>0</v>
      </c>
      <c r="AL127" s="159">
        <f t="shared" si="19"/>
        <v>0</v>
      </c>
      <c r="AM127" s="159">
        <f t="shared" si="20"/>
        <v>150</v>
      </c>
      <c r="AN127" s="159">
        <f t="shared" si="21"/>
        <v>30.967045454545456</v>
      </c>
      <c r="AO127" s="159">
        <f t="shared" si="22"/>
        <v>0</v>
      </c>
      <c r="AP127" s="159">
        <f t="shared" si="23"/>
        <v>15.483522727272728</v>
      </c>
      <c r="AQ127" s="159">
        <f t="shared" si="24"/>
        <v>14.864181818181819</v>
      </c>
      <c r="AR127" s="159">
        <f t="shared" si="25"/>
        <v>125</v>
      </c>
      <c r="AS127" s="159">
        <f t="shared" si="26"/>
        <v>41.666666666666664</v>
      </c>
      <c r="AT127" s="159">
        <f t="shared" si="26"/>
        <v>54.166666666666664</v>
      </c>
      <c r="AU127" s="159">
        <f t="shared" si="26"/>
        <v>208.33333333333334</v>
      </c>
      <c r="AV127" s="159">
        <f t="shared" si="27"/>
        <v>0</v>
      </c>
      <c r="AW127" s="159">
        <f t="shared" si="28"/>
        <v>8.3333333333333339</v>
      </c>
      <c r="AX127" s="159">
        <f t="shared" si="28"/>
        <v>55.555555555555557</v>
      </c>
      <c r="AY127" s="164">
        <f t="shared" si="29"/>
        <v>1447.5793964646466</v>
      </c>
    </row>
    <row r="128" spans="3:51" ht="15.75" x14ac:dyDescent="0.25">
      <c r="C128" s="1" t="s">
        <v>950</v>
      </c>
      <c r="D128" s="1"/>
      <c r="E128" s="1" t="s">
        <v>263</v>
      </c>
      <c r="F128" s="1" t="s">
        <v>263</v>
      </c>
      <c r="G128" s="1" t="s">
        <v>1090</v>
      </c>
      <c r="H128" s="1">
        <v>10</v>
      </c>
      <c r="I128" s="159">
        <v>11050</v>
      </c>
      <c r="J128" s="159">
        <v>1105</v>
      </c>
      <c r="K128" s="159">
        <v>1150</v>
      </c>
      <c r="L128" s="159">
        <v>950</v>
      </c>
      <c r="M128" s="159">
        <v>0</v>
      </c>
      <c r="N128" s="159">
        <v>0</v>
      </c>
      <c r="O128" s="159">
        <v>0</v>
      </c>
      <c r="P128" s="159">
        <v>0</v>
      </c>
      <c r="Q128" s="159">
        <v>150</v>
      </c>
      <c r="R128" s="159">
        <v>0</v>
      </c>
      <c r="T128" s="1">
        <v>1</v>
      </c>
      <c r="U128" s="1">
        <v>0</v>
      </c>
      <c r="V128" s="1">
        <v>0.5</v>
      </c>
      <c r="X128" s="1">
        <v>0.02</v>
      </c>
      <c r="Z128" s="159">
        <f t="shared" si="15"/>
        <v>3000</v>
      </c>
      <c r="AA128" s="159">
        <f t="shared" si="16"/>
        <v>500</v>
      </c>
      <c r="AB128" s="159">
        <v>650</v>
      </c>
      <c r="AC128" s="159">
        <v>2500</v>
      </c>
      <c r="AE128" s="1">
        <v>0</v>
      </c>
      <c r="AG128" s="1">
        <v>300</v>
      </c>
      <c r="AH128" s="1">
        <v>2000</v>
      </c>
      <c r="AJ128" s="159">
        <f t="shared" si="17"/>
        <v>1105</v>
      </c>
      <c r="AK128" s="159">
        <f t="shared" si="18"/>
        <v>0</v>
      </c>
      <c r="AL128" s="159">
        <f t="shared" si="19"/>
        <v>0</v>
      </c>
      <c r="AM128" s="159">
        <f t="shared" si="20"/>
        <v>150</v>
      </c>
      <c r="AN128" s="159">
        <f t="shared" si="21"/>
        <v>46.041666666666664</v>
      </c>
      <c r="AO128" s="159">
        <f t="shared" si="22"/>
        <v>0</v>
      </c>
      <c r="AP128" s="159">
        <f t="shared" si="23"/>
        <v>23.020833333333332</v>
      </c>
      <c r="AQ128" s="159">
        <f t="shared" si="24"/>
        <v>22.1</v>
      </c>
      <c r="AR128" s="159">
        <f t="shared" si="25"/>
        <v>125</v>
      </c>
      <c r="AS128" s="159">
        <f t="shared" si="26"/>
        <v>41.666666666666664</v>
      </c>
      <c r="AT128" s="159">
        <f t="shared" si="26"/>
        <v>54.166666666666664</v>
      </c>
      <c r="AU128" s="159">
        <f t="shared" si="26"/>
        <v>208.33333333333334</v>
      </c>
      <c r="AV128" s="159">
        <f t="shared" si="27"/>
        <v>0</v>
      </c>
      <c r="AW128" s="159">
        <f t="shared" si="28"/>
        <v>8.3333333333333339</v>
      </c>
      <c r="AX128" s="159">
        <f t="shared" si="28"/>
        <v>55.555555555555557</v>
      </c>
      <c r="AY128" s="164">
        <f t="shared" si="29"/>
        <v>1839.2180555555556</v>
      </c>
    </row>
    <row r="129" spans="3:51" ht="15.75" x14ac:dyDescent="0.25">
      <c r="C129" s="1" t="s">
        <v>950</v>
      </c>
      <c r="D129" s="1"/>
      <c r="E129" s="1" t="s">
        <v>263</v>
      </c>
      <c r="F129" s="1" t="s">
        <v>263</v>
      </c>
      <c r="G129" s="1" t="s">
        <v>1091</v>
      </c>
      <c r="H129" s="1">
        <v>27</v>
      </c>
      <c r="I129" s="159">
        <v>42420</v>
      </c>
      <c r="J129" s="159">
        <v>1571.1111111111111</v>
      </c>
      <c r="K129" s="159">
        <v>2350</v>
      </c>
      <c r="L129" s="159">
        <v>800</v>
      </c>
      <c r="M129" s="159">
        <v>0</v>
      </c>
      <c r="N129" s="159">
        <v>0</v>
      </c>
      <c r="O129" s="159">
        <v>0</v>
      </c>
      <c r="P129" s="159">
        <v>0</v>
      </c>
      <c r="Q129" s="159">
        <v>150</v>
      </c>
      <c r="R129" s="159">
        <v>150</v>
      </c>
      <c r="T129" s="1">
        <v>1</v>
      </c>
      <c r="U129" s="1">
        <v>0</v>
      </c>
      <c r="V129" s="1">
        <v>0.5</v>
      </c>
      <c r="X129" s="1">
        <v>0.02</v>
      </c>
      <c r="Z129" s="159">
        <f t="shared" si="15"/>
        <v>3000</v>
      </c>
      <c r="AA129" s="159">
        <f t="shared" si="16"/>
        <v>500</v>
      </c>
      <c r="AB129" s="159">
        <v>650</v>
      </c>
      <c r="AC129" s="159">
        <v>2500</v>
      </c>
      <c r="AE129" s="1">
        <v>0</v>
      </c>
      <c r="AG129" s="1">
        <v>300</v>
      </c>
      <c r="AH129" s="1">
        <v>2000</v>
      </c>
      <c r="AJ129" s="159">
        <f t="shared" si="17"/>
        <v>1571.1111111111111</v>
      </c>
      <c r="AK129" s="159">
        <f t="shared" si="18"/>
        <v>0</v>
      </c>
      <c r="AL129" s="159">
        <f t="shared" si="19"/>
        <v>0</v>
      </c>
      <c r="AM129" s="159">
        <f t="shared" si="20"/>
        <v>150</v>
      </c>
      <c r="AN129" s="159">
        <f t="shared" si="21"/>
        <v>65.462962962962962</v>
      </c>
      <c r="AO129" s="159">
        <f t="shared" si="22"/>
        <v>0</v>
      </c>
      <c r="AP129" s="159">
        <f t="shared" si="23"/>
        <v>32.731481481481481</v>
      </c>
      <c r="AQ129" s="159">
        <f t="shared" si="24"/>
        <v>31.422222222222221</v>
      </c>
      <c r="AR129" s="159">
        <f t="shared" si="25"/>
        <v>125</v>
      </c>
      <c r="AS129" s="159">
        <f t="shared" si="26"/>
        <v>41.666666666666664</v>
      </c>
      <c r="AT129" s="159">
        <f t="shared" si="26"/>
        <v>54.166666666666664</v>
      </c>
      <c r="AU129" s="159">
        <f t="shared" si="26"/>
        <v>208.33333333333334</v>
      </c>
      <c r="AV129" s="159">
        <f t="shared" si="27"/>
        <v>0</v>
      </c>
      <c r="AW129" s="159">
        <f t="shared" si="28"/>
        <v>8.3333333333333339</v>
      </c>
      <c r="AX129" s="159">
        <f t="shared" si="28"/>
        <v>55.555555555555557</v>
      </c>
      <c r="AY129" s="164">
        <f t="shared" si="29"/>
        <v>2343.7833333333338</v>
      </c>
    </row>
    <row r="130" spans="3:51" ht="15.75" x14ac:dyDescent="0.25">
      <c r="C130" s="1" t="s">
        <v>950</v>
      </c>
      <c r="D130" s="1"/>
      <c r="E130" s="1" t="s">
        <v>263</v>
      </c>
      <c r="F130" s="1" t="s">
        <v>263</v>
      </c>
      <c r="G130" s="1" t="s">
        <v>1092</v>
      </c>
      <c r="H130" s="1">
        <v>14</v>
      </c>
      <c r="I130" s="159">
        <v>12685</v>
      </c>
      <c r="J130" s="159">
        <v>906.07142857142856</v>
      </c>
      <c r="K130" s="159">
        <v>3000</v>
      </c>
      <c r="L130" s="159">
        <v>450</v>
      </c>
      <c r="M130" s="159">
        <v>300</v>
      </c>
      <c r="N130" s="159">
        <v>0</v>
      </c>
      <c r="O130" s="159">
        <v>0</v>
      </c>
      <c r="P130" s="159">
        <v>0</v>
      </c>
      <c r="Q130" s="159">
        <v>250</v>
      </c>
      <c r="R130" s="159">
        <v>0</v>
      </c>
      <c r="T130" s="1">
        <v>1</v>
      </c>
      <c r="U130" s="1">
        <v>0</v>
      </c>
      <c r="V130" s="1">
        <v>0.5</v>
      </c>
      <c r="X130" s="1">
        <v>0.02</v>
      </c>
      <c r="Z130" s="159">
        <f t="shared" si="15"/>
        <v>3000</v>
      </c>
      <c r="AA130" s="159">
        <f t="shared" si="16"/>
        <v>500</v>
      </c>
      <c r="AB130" s="159">
        <v>650</v>
      </c>
      <c r="AC130" s="159">
        <v>2500</v>
      </c>
      <c r="AE130" s="1">
        <v>0</v>
      </c>
      <c r="AG130" s="1">
        <v>300</v>
      </c>
      <c r="AH130" s="1">
        <v>2000</v>
      </c>
      <c r="AJ130" s="159">
        <f t="shared" si="17"/>
        <v>906.07142857142856</v>
      </c>
      <c r="AK130" s="159">
        <f t="shared" si="18"/>
        <v>300</v>
      </c>
      <c r="AL130" s="159">
        <f t="shared" si="19"/>
        <v>0</v>
      </c>
      <c r="AM130" s="159">
        <f t="shared" si="20"/>
        <v>250</v>
      </c>
      <c r="AN130" s="159">
        <f t="shared" si="21"/>
        <v>37.75297619047619</v>
      </c>
      <c r="AO130" s="159">
        <f t="shared" si="22"/>
        <v>0</v>
      </c>
      <c r="AP130" s="159">
        <f t="shared" si="23"/>
        <v>18.876488095238095</v>
      </c>
      <c r="AQ130" s="159">
        <f t="shared" si="24"/>
        <v>18.12142857142857</v>
      </c>
      <c r="AR130" s="159">
        <f t="shared" si="25"/>
        <v>125</v>
      </c>
      <c r="AS130" s="159">
        <f t="shared" si="26"/>
        <v>41.666666666666664</v>
      </c>
      <c r="AT130" s="159">
        <f t="shared" si="26"/>
        <v>54.166666666666664</v>
      </c>
      <c r="AU130" s="159">
        <f t="shared" si="26"/>
        <v>208.33333333333334</v>
      </c>
      <c r="AV130" s="159">
        <f t="shared" si="27"/>
        <v>0</v>
      </c>
      <c r="AW130" s="159">
        <f t="shared" si="28"/>
        <v>8.3333333333333339</v>
      </c>
      <c r="AX130" s="159">
        <f t="shared" si="28"/>
        <v>55.555555555555557</v>
      </c>
      <c r="AY130" s="164">
        <f t="shared" si="29"/>
        <v>2023.8778769841269</v>
      </c>
    </row>
    <row r="131" spans="3:51" ht="15.75" x14ac:dyDescent="0.25">
      <c r="C131" s="1" t="s">
        <v>950</v>
      </c>
      <c r="D131" s="1"/>
      <c r="E131" s="1" t="s">
        <v>9</v>
      </c>
      <c r="F131" s="1" t="s">
        <v>570</v>
      </c>
      <c r="G131" s="1" t="s">
        <v>1093</v>
      </c>
      <c r="H131" s="1">
        <v>240</v>
      </c>
      <c r="I131" s="159">
        <v>222228</v>
      </c>
      <c r="J131" s="159">
        <v>925.95</v>
      </c>
      <c r="K131" s="159">
        <v>1600</v>
      </c>
      <c r="L131" s="159">
        <v>580</v>
      </c>
      <c r="M131" s="159">
        <v>0</v>
      </c>
      <c r="N131" s="159">
        <v>0</v>
      </c>
      <c r="O131" s="159">
        <v>0</v>
      </c>
      <c r="P131" s="159">
        <v>0</v>
      </c>
      <c r="Q131" s="159">
        <v>250</v>
      </c>
      <c r="R131" s="159">
        <v>150</v>
      </c>
      <c r="T131" s="1">
        <v>1</v>
      </c>
      <c r="U131" s="1">
        <v>0</v>
      </c>
      <c r="V131" s="1">
        <v>0.5</v>
      </c>
      <c r="X131" s="1">
        <v>0.02</v>
      </c>
      <c r="Z131" s="159">
        <f t="shared" si="15"/>
        <v>3000</v>
      </c>
      <c r="AA131" s="159">
        <f t="shared" si="16"/>
        <v>500</v>
      </c>
      <c r="AB131" s="159">
        <v>650</v>
      </c>
      <c r="AC131" s="159">
        <v>2500</v>
      </c>
      <c r="AE131" s="1">
        <v>0</v>
      </c>
      <c r="AG131" s="1">
        <v>300</v>
      </c>
      <c r="AH131" s="1">
        <v>2000</v>
      </c>
      <c r="AJ131" s="159">
        <f t="shared" si="17"/>
        <v>925.95</v>
      </c>
      <c r="AK131" s="159">
        <f t="shared" si="18"/>
        <v>0</v>
      </c>
      <c r="AL131" s="159">
        <f t="shared" si="19"/>
        <v>0</v>
      </c>
      <c r="AM131" s="159">
        <f t="shared" si="20"/>
        <v>250</v>
      </c>
      <c r="AN131" s="159">
        <f t="shared" si="21"/>
        <v>38.581250000000004</v>
      </c>
      <c r="AO131" s="159">
        <f t="shared" si="22"/>
        <v>0</v>
      </c>
      <c r="AP131" s="159">
        <f t="shared" si="23"/>
        <v>19.290625000000002</v>
      </c>
      <c r="AQ131" s="159">
        <f t="shared" si="24"/>
        <v>18.519000000000002</v>
      </c>
      <c r="AR131" s="159">
        <f t="shared" si="25"/>
        <v>125</v>
      </c>
      <c r="AS131" s="159">
        <f t="shared" si="26"/>
        <v>41.666666666666664</v>
      </c>
      <c r="AT131" s="159">
        <f t="shared" si="26"/>
        <v>54.166666666666664</v>
      </c>
      <c r="AU131" s="159">
        <f t="shared" si="26"/>
        <v>208.33333333333334</v>
      </c>
      <c r="AV131" s="159">
        <f t="shared" si="27"/>
        <v>0</v>
      </c>
      <c r="AW131" s="159">
        <f t="shared" si="28"/>
        <v>8.3333333333333339</v>
      </c>
      <c r="AX131" s="159">
        <f t="shared" si="28"/>
        <v>55.555555555555557</v>
      </c>
      <c r="AY131" s="164">
        <f t="shared" si="29"/>
        <v>1745.3964305555558</v>
      </c>
    </row>
    <row r="132" spans="3:51" ht="15.75" x14ac:dyDescent="0.25">
      <c r="C132" s="1" t="s">
        <v>950</v>
      </c>
      <c r="D132" s="1"/>
      <c r="E132" s="1" t="s">
        <v>9</v>
      </c>
      <c r="F132" s="1" t="s">
        <v>570</v>
      </c>
      <c r="G132" s="1" t="s">
        <v>817</v>
      </c>
      <c r="H132" s="1">
        <v>3</v>
      </c>
      <c r="I132" s="159">
        <v>2700</v>
      </c>
      <c r="J132" s="159">
        <v>900</v>
      </c>
      <c r="K132" s="159">
        <v>1000</v>
      </c>
      <c r="L132" s="159">
        <v>850</v>
      </c>
      <c r="M132" s="159">
        <v>0</v>
      </c>
      <c r="N132" s="159">
        <v>0</v>
      </c>
      <c r="O132" s="159">
        <v>0</v>
      </c>
      <c r="P132" s="159">
        <v>0</v>
      </c>
      <c r="Q132" s="159">
        <v>150</v>
      </c>
      <c r="R132" s="159">
        <v>150</v>
      </c>
      <c r="T132" s="1">
        <v>1</v>
      </c>
      <c r="U132" s="1">
        <v>0</v>
      </c>
      <c r="V132" s="1">
        <v>0.5</v>
      </c>
      <c r="X132" s="1">
        <v>0.02</v>
      </c>
      <c r="Z132" s="159">
        <f t="shared" si="15"/>
        <v>3000</v>
      </c>
      <c r="AA132" s="159">
        <f t="shared" si="16"/>
        <v>500</v>
      </c>
      <c r="AB132" s="159">
        <v>650</v>
      </c>
      <c r="AC132" s="159">
        <v>2500</v>
      </c>
      <c r="AE132" s="1">
        <v>0</v>
      </c>
      <c r="AG132" s="1">
        <v>300</v>
      </c>
      <c r="AH132" s="1">
        <v>2000</v>
      </c>
      <c r="AJ132" s="159">
        <f t="shared" si="17"/>
        <v>900</v>
      </c>
      <c r="AK132" s="159">
        <f t="shared" si="18"/>
        <v>0</v>
      </c>
      <c r="AL132" s="159">
        <f t="shared" si="19"/>
        <v>0</v>
      </c>
      <c r="AM132" s="159">
        <f t="shared" si="20"/>
        <v>150</v>
      </c>
      <c r="AN132" s="159">
        <f t="shared" si="21"/>
        <v>37.5</v>
      </c>
      <c r="AO132" s="159">
        <f t="shared" si="22"/>
        <v>0</v>
      </c>
      <c r="AP132" s="159">
        <f t="shared" si="23"/>
        <v>18.75</v>
      </c>
      <c r="AQ132" s="159">
        <f t="shared" si="24"/>
        <v>18</v>
      </c>
      <c r="AR132" s="159">
        <f t="shared" si="25"/>
        <v>125</v>
      </c>
      <c r="AS132" s="159">
        <f t="shared" si="26"/>
        <v>41.666666666666664</v>
      </c>
      <c r="AT132" s="159">
        <f t="shared" si="26"/>
        <v>54.166666666666664</v>
      </c>
      <c r="AU132" s="159">
        <f t="shared" si="26"/>
        <v>208.33333333333334</v>
      </c>
      <c r="AV132" s="159">
        <f t="shared" si="27"/>
        <v>0</v>
      </c>
      <c r="AW132" s="159">
        <f t="shared" si="28"/>
        <v>8.3333333333333339</v>
      </c>
      <c r="AX132" s="159">
        <f t="shared" si="28"/>
        <v>55.555555555555557</v>
      </c>
      <c r="AY132" s="164">
        <f t="shared" si="29"/>
        <v>1617.3055555555557</v>
      </c>
    </row>
    <row r="133" spans="3:51" ht="15.75" x14ac:dyDescent="0.25">
      <c r="C133" s="1" t="s">
        <v>950</v>
      </c>
      <c r="D133" s="1"/>
      <c r="E133" s="1" t="s">
        <v>1018</v>
      </c>
      <c r="F133" s="1" t="s">
        <v>1019</v>
      </c>
      <c r="G133" s="1" t="s">
        <v>1094</v>
      </c>
      <c r="H133" s="1">
        <v>82</v>
      </c>
      <c r="I133" s="159">
        <v>84900</v>
      </c>
      <c r="J133" s="159">
        <v>1035.3658536585365</v>
      </c>
      <c r="K133" s="159">
        <v>1500</v>
      </c>
      <c r="L133" s="159">
        <v>800</v>
      </c>
      <c r="M133" s="159">
        <v>0</v>
      </c>
      <c r="N133" s="159">
        <v>0</v>
      </c>
      <c r="O133" s="159">
        <v>0</v>
      </c>
      <c r="P133" s="159">
        <v>0</v>
      </c>
      <c r="Q133" s="159">
        <v>150</v>
      </c>
      <c r="R133" s="159">
        <v>150</v>
      </c>
      <c r="T133" s="1">
        <v>1</v>
      </c>
      <c r="U133" s="1">
        <v>0</v>
      </c>
      <c r="V133" s="1">
        <v>0.5</v>
      </c>
      <c r="X133" s="1">
        <v>0.02</v>
      </c>
      <c r="Z133" s="159">
        <f t="shared" si="15"/>
        <v>3000</v>
      </c>
      <c r="AA133" s="159">
        <f t="shared" si="16"/>
        <v>500</v>
      </c>
      <c r="AB133" s="159">
        <v>650</v>
      </c>
      <c r="AC133" s="159">
        <v>2500</v>
      </c>
      <c r="AE133" s="1">
        <v>0</v>
      </c>
      <c r="AG133" s="1">
        <v>300</v>
      </c>
      <c r="AH133" s="1">
        <v>2000</v>
      </c>
      <c r="AJ133" s="159">
        <f t="shared" si="17"/>
        <v>1035.3658536585365</v>
      </c>
      <c r="AK133" s="159">
        <f t="shared" si="18"/>
        <v>0</v>
      </c>
      <c r="AL133" s="159">
        <f t="shared" si="19"/>
        <v>0</v>
      </c>
      <c r="AM133" s="159">
        <f t="shared" si="20"/>
        <v>150</v>
      </c>
      <c r="AN133" s="159">
        <f t="shared" si="21"/>
        <v>43.140243902439018</v>
      </c>
      <c r="AO133" s="159">
        <f t="shared" si="22"/>
        <v>0</v>
      </c>
      <c r="AP133" s="159">
        <f t="shared" si="23"/>
        <v>21.570121951219509</v>
      </c>
      <c r="AQ133" s="159">
        <f t="shared" si="24"/>
        <v>20.707317073170731</v>
      </c>
      <c r="AR133" s="159">
        <f t="shared" si="25"/>
        <v>125</v>
      </c>
      <c r="AS133" s="159">
        <f t="shared" si="26"/>
        <v>41.666666666666664</v>
      </c>
      <c r="AT133" s="159">
        <f t="shared" si="26"/>
        <v>54.166666666666664</v>
      </c>
      <c r="AU133" s="159">
        <f t="shared" si="26"/>
        <v>208.33333333333334</v>
      </c>
      <c r="AV133" s="159">
        <f t="shared" si="27"/>
        <v>0</v>
      </c>
      <c r="AW133" s="159">
        <f t="shared" si="28"/>
        <v>8.3333333333333339</v>
      </c>
      <c r="AX133" s="159">
        <f t="shared" si="28"/>
        <v>55.555555555555557</v>
      </c>
      <c r="AY133" s="164">
        <f t="shared" si="29"/>
        <v>1763.8390921409216</v>
      </c>
    </row>
    <row r="134" spans="3:51" ht="15.75" x14ac:dyDescent="0.25">
      <c r="C134" s="1" t="s">
        <v>950</v>
      </c>
      <c r="D134" s="1"/>
      <c r="E134" s="1" t="s">
        <v>1018</v>
      </c>
      <c r="F134" s="1" t="s">
        <v>1022</v>
      </c>
      <c r="G134" s="1" t="s">
        <v>1095</v>
      </c>
      <c r="H134" s="1">
        <v>464</v>
      </c>
      <c r="I134" s="159">
        <v>533347</v>
      </c>
      <c r="J134" s="159">
        <v>1149.4547413793102</v>
      </c>
      <c r="K134" s="159">
        <v>3000</v>
      </c>
      <c r="L134" s="159">
        <v>650</v>
      </c>
      <c r="M134" s="159">
        <v>300</v>
      </c>
      <c r="N134" s="159">
        <v>0</v>
      </c>
      <c r="O134" s="159">
        <v>0</v>
      </c>
      <c r="P134" s="159">
        <v>0</v>
      </c>
      <c r="Q134" s="159">
        <v>250</v>
      </c>
      <c r="R134" s="159">
        <v>0</v>
      </c>
      <c r="T134" s="1">
        <v>1</v>
      </c>
      <c r="U134" s="1">
        <v>0</v>
      </c>
      <c r="V134" s="1">
        <v>0.5</v>
      </c>
      <c r="X134" s="1">
        <v>0.02</v>
      </c>
      <c r="Z134" s="159">
        <f t="shared" ref="Z134:Z160" si="30">IF($J134&gt;=5000,6000,3000)</f>
        <v>3000</v>
      </c>
      <c r="AA134" s="159">
        <f t="shared" ref="AA134:AA160" si="31">IF($J134&gt;=5000,2650,500)</f>
        <v>500</v>
      </c>
      <c r="AB134" s="159">
        <v>650</v>
      </c>
      <c r="AC134" s="159">
        <v>2500</v>
      </c>
      <c r="AE134" s="1">
        <v>0</v>
      </c>
      <c r="AG134" s="1">
        <v>300</v>
      </c>
      <c r="AH134" s="1">
        <v>2000</v>
      </c>
      <c r="AJ134" s="159">
        <f t="shared" ref="AJ134:AJ160" si="32">J134</f>
        <v>1149.4547413793102</v>
      </c>
      <c r="AK134" s="159">
        <f t="shared" ref="AK134:AK160" si="33">M134</f>
        <v>300</v>
      </c>
      <c r="AL134" s="159">
        <f t="shared" ref="AL134:AL160" si="34">P134*J134/12</f>
        <v>0</v>
      </c>
      <c r="AM134" s="159">
        <f t="shared" ref="AM134:AM160" si="35">Q134</f>
        <v>250</v>
      </c>
      <c r="AN134" s="159">
        <f t="shared" ref="AN134:AN160" si="36">T134*J134/24</f>
        <v>47.893947557471257</v>
      </c>
      <c r="AO134" s="159">
        <f t="shared" ref="AO134:AO160" si="37">U134*J134/12</f>
        <v>0</v>
      </c>
      <c r="AP134" s="159">
        <f t="shared" ref="AP134:AP160" si="38">V134*J134/24</f>
        <v>23.946973778735629</v>
      </c>
      <c r="AQ134" s="159">
        <f t="shared" ref="AQ134:AQ160" si="39">X134*(AJ134+AL134)</f>
        <v>22.989094827586204</v>
      </c>
      <c r="AR134" s="159">
        <f t="shared" ref="AR134:AR160" si="40">Z134/24</f>
        <v>125</v>
      </c>
      <c r="AS134" s="159">
        <f t="shared" ref="AS134:AU160" si="41">AA134/12</f>
        <v>41.666666666666664</v>
      </c>
      <c r="AT134" s="159">
        <f t="shared" si="41"/>
        <v>54.166666666666664</v>
      </c>
      <c r="AU134" s="159">
        <f t="shared" si="41"/>
        <v>208.33333333333334</v>
      </c>
      <c r="AV134" s="159">
        <f t="shared" ref="AV134:AV160" si="42">AE134*AJ134/36</f>
        <v>0</v>
      </c>
      <c r="AW134" s="159">
        <f t="shared" ref="AW134:AX160" si="43">AG134/36</f>
        <v>8.3333333333333339</v>
      </c>
      <c r="AX134" s="159">
        <f t="shared" si="43"/>
        <v>55.555555555555557</v>
      </c>
      <c r="AY134" s="164">
        <f t="shared" ref="AY134:AY160" si="44">SUM(AJ134:AX134)</f>
        <v>2287.3403130986594</v>
      </c>
    </row>
    <row r="135" spans="3:51" ht="15.75" x14ac:dyDescent="0.25">
      <c r="C135" s="1" t="s">
        <v>950</v>
      </c>
      <c r="D135" s="1"/>
      <c r="E135" s="1" t="s">
        <v>1018</v>
      </c>
      <c r="F135" s="1" t="s">
        <v>1022</v>
      </c>
      <c r="G135" s="1" t="s">
        <v>808</v>
      </c>
      <c r="H135" s="1">
        <v>4</v>
      </c>
      <c r="I135" s="159">
        <v>6000</v>
      </c>
      <c r="J135" s="159">
        <v>1500</v>
      </c>
      <c r="K135" s="159">
        <v>1900</v>
      </c>
      <c r="L135" s="159">
        <v>1100</v>
      </c>
      <c r="M135" s="159">
        <v>0</v>
      </c>
      <c r="N135" s="159">
        <v>0</v>
      </c>
      <c r="O135" s="159">
        <v>0</v>
      </c>
      <c r="P135" s="159">
        <v>0</v>
      </c>
      <c r="Q135" s="159">
        <v>150</v>
      </c>
      <c r="R135" s="159">
        <v>150</v>
      </c>
      <c r="T135" s="1">
        <v>1</v>
      </c>
      <c r="U135" s="1">
        <v>0</v>
      </c>
      <c r="V135" s="1">
        <v>0.5</v>
      </c>
      <c r="X135" s="1">
        <v>0.02</v>
      </c>
      <c r="Z135" s="159">
        <f t="shared" si="30"/>
        <v>3000</v>
      </c>
      <c r="AA135" s="159">
        <f t="shared" si="31"/>
        <v>500</v>
      </c>
      <c r="AB135" s="159">
        <v>650</v>
      </c>
      <c r="AC135" s="159">
        <v>2500</v>
      </c>
      <c r="AE135" s="1">
        <v>0</v>
      </c>
      <c r="AG135" s="1">
        <v>300</v>
      </c>
      <c r="AH135" s="1">
        <v>2000</v>
      </c>
      <c r="AJ135" s="159">
        <f t="shared" si="32"/>
        <v>1500</v>
      </c>
      <c r="AK135" s="159">
        <f t="shared" si="33"/>
        <v>0</v>
      </c>
      <c r="AL135" s="159">
        <f t="shared" si="34"/>
        <v>0</v>
      </c>
      <c r="AM135" s="159">
        <f t="shared" si="35"/>
        <v>150</v>
      </c>
      <c r="AN135" s="159">
        <f t="shared" si="36"/>
        <v>62.5</v>
      </c>
      <c r="AO135" s="159">
        <f t="shared" si="37"/>
        <v>0</v>
      </c>
      <c r="AP135" s="159">
        <f t="shared" si="38"/>
        <v>31.25</v>
      </c>
      <c r="AQ135" s="159">
        <f t="shared" si="39"/>
        <v>30</v>
      </c>
      <c r="AR135" s="159">
        <f t="shared" si="40"/>
        <v>125</v>
      </c>
      <c r="AS135" s="159">
        <f t="shared" si="41"/>
        <v>41.666666666666664</v>
      </c>
      <c r="AT135" s="159">
        <f t="shared" si="41"/>
        <v>54.166666666666664</v>
      </c>
      <c r="AU135" s="159">
        <f t="shared" si="41"/>
        <v>208.33333333333334</v>
      </c>
      <c r="AV135" s="159">
        <f t="shared" si="42"/>
        <v>0</v>
      </c>
      <c r="AW135" s="159">
        <f t="shared" si="43"/>
        <v>8.3333333333333339</v>
      </c>
      <c r="AX135" s="159">
        <f t="shared" si="43"/>
        <v>55.555555555555557</v>
      </c>
      <c r="AY135" s="164">
        <f t="shared" si="44"/>
        <v>2266.8055555555561</v>
      </c>
    </row>
    <row r="136" spans="3:51" ht="15.75" x14ac:dyDescent="0.25">
      <c r="C136" s="1" t="s">
        <v>950</v>
      </c>
      <c r="D136" s="1"/>
      <c r="E136" s="1" t="s">
        <v>263</v>
      </c>
      <c r="F136" s="1" t="s">
        <v>263</v>
      </c>
      <c r="G136" s="1" t="s">
        <v>1096</v>
      </c>
      <c r="H136" s="1">
        <v>39</v>
      </c>
      <c r="I136" s="159">
        <v>36885</v>
      </c>
      <c r="J136" s="159">
        <v>945.76923076923072</v>
      </c>
      <c r="K136" s="159">
        <v>1100</v>
      </c>
      <c r="L136" s="159">
        <v>700</v>
      </c>
      <c r="M136" s="159">
        <v>0</v>
      </c>
      <c r="N136" s="159">
        <v>0</v>
      </c>
      <c r="O136" s="159">
        <v>0</v>
      </c>
      <c r="P136" s="159">
        <v>0</v>
      </c>
      <c r="Q136" s="159">
        <v>150</v>
      </c>
      <c r="R136" s="159">
        <v>150</v>
      </c>
      <c r="T136" s="1">
        <v>1</v>
      </c>
      <c r="U136" s="1">
        <v>0</v>
      </c>
      <c r="V136" s="1">
        <v>0.5</v>
      </c>
      <c r="X136" s="1">
        <v>0.02</v>
      </c>
      <c r="Z136" s="159">
        <f t="shared" si="30"/>
        <v>3000</v>
      </c>
      <c r="AA136" s="159">
        <f t="shared" si="31"/>
        <v>500</v>
      </c>
      <c r="AB136" s="159">
        <v>650</v>
      </c>
      <c r="AC136" s="159">
        <v>2500</v>
      </c>
      <c r="AE136" s="1">
        <v>0</v>
      </c>
      <c r="AG136" s="1">
        <v>300</v>
      </c>
      <c r="AH136" s="1">
        <v>2000</v>
      </c>
      <c r="AJ136" s="159">
        <f t="shared" si="32"/>
        <v>945.76923076923072</v>
      </c>
      <c r="AK136" s="159">
        <f t="shared" si="33"/>
        <v>0</v>
      </c>
      <c r="AL136" s="159">
        <f t="shared" si="34"/>
        <v>0</v>
      </c>
      <c r="AM136" s="159">
        <f t="shared" si="35"/>
        <v>150</v>
      </c>
      <c r="AN136" s="159">
        <f t="shared" si="36"/>
        <v>39.407051282051277</v>
      </c>
      <c r="AO136" s="159">
        <f t="shared" si="37"/>
        <v>0</v>
      </c>
      <c r="AP136" s="159">
        <f t="shared" si="38"/>
        <v>19.703525641025639</v>
      </c>
      <c r="AQ136" s="159">
        <f t="shared" si="39"/>
        <v>18.915384615384614</v>
      </c>
      <c r="AR136" s="159">
        <f t="shared" si="40"/>
        <v>125</v>
      </c>
      <c r="AS136" s="159">
        <f t="shared" si="41"/>
        <v>41.666666666666664</v>
      </c>
      <c r="AT136" s="159">
        <f t="shared" si="41"/>
        <v>54.166666666666664</v>
      </c>
      <c r="AU136" s="159">
        <f t="shared" si="41"/>
        <v>208.33333333333334</v>
      </c>
      <c r="AV136" s="159">
        <f t="shared" si="42"/>
        <v>0</v>
      </c>
      <c r="AW136" s="159">
        <f t="shared" si="43"/>
        <v>8.3333333333333339</v>
      </c>
      <c r="AX136" s="159">
        <f t="shared" si="43"/>
        <v>55.555555555555557</v>
      </c>
      <c r="AY136" s="164">
        <f t="shared" si="44"/>
        <v>1666.850747863248</v>
      </c>
    </row>
    <row r="137" spans="3:51" ht="15.75" x14ac:dyDescent="0.25">
      <c r="C137" s="1" t="s">
        <v>950</v>
      </c>
      <c r="D137" s="1"/>
      <c r="E137" s="1" t="s">
        <v>9</v>
      </c>
      <c r="F137" s="1" t="s">
        <v>1097</v>
      </c>
      <c r="G137" s="1" t="s">
        <v>1098</v>
      </c>
      <c r="H137" s="1">
        <v>3</v>
      </c>
      <c r="I137" s="159">
        <v>2400</v>
      </c>
      <c r="J137" s="159">
        <v>800</v>
      </c>
      <c r="K137" s="159">
        <v>800</v>
      </c>
      <c r="L137" s="159">
        <v>800</v>
      </c>
      <c r="M137" s="159">
        <v>0</v>
      </c>
      <c r="N137" s="159">
        <v>0</v>
      </c>
      <c r="O137" s="159">
        <v>0</v>
      </c>
      <c r="P137" s="159">
        <v>0</v>
      </c>
      <c r="Q137" s="159">
        <v>150</v>
      </c>
      <c r="R137" s="159">
        <v>120</v>
      </c>
      <c r="T137" s="1">
        <v>1</v>
      </c>
      <c r="U137" s="1">
        <v>0</v>
      </c>
      <c r="V137" s="1">
        <v>0.5</v>
      </c>
      <c r="X137" s="1">
        <v>0.02</v>
      </c>
      <c r="Z137" s="159">
        <f t="shared" si="30"/>
        <v>3000</v>
      </c>
      <c r="AA137" s="159">
        <f t="shared" si="31"/>
        <v>500</v>
      </c>
      <c r="AB137" s="159">
        <v>650</v>
      </c>
      <c r="AC137" s="159">
        <v>2500</v>
      </c>
      <c r="AE137" s="1">
        <v>0</v>
      </c>
      <c r="AG137" s="1">
        <v>300</v>
      </c>
      <c r="AH137" s="1">
        <v>2000</v>
      </c>
      <c r="AJ137" s="159">
        <f t="shared" si="32"/>
        <v>800</v>
      </c>
      <c r="AK137" s="159">
        <f t="shared" si="33"/>
        <v>0</v>
      </c>
      <c r="AL137" s="159">
        <f t="shared" si="34"/>
        <v>0</v>
      </c>
      <c r="AM137" s="159">
        <f t="shared" si="35"/>
        <v>150</v>
      </c>
      <c r="AN137" s="159">
        <f t="shared" si="36"/>
        <v>33.333333333333336</v>
      </c>
      <c r="AO137" s="159">
        <f t="shared" si="37"/>
        <v>0</v>
      </c>
      <c r="AP137" s="159">
        <f t="shared" si="38"/>
        <v>16.666666666666668</v>
      </c>
      <c r="AQ137" s="159">
        <f t="shared" si="39"/>
        <v>16</v>
      </c>
      <c r="AR137" s="159">
        <f t="shared" si="40"/>
        <v>125</v>
      </c>
      <c r="AS137" s="159">
        <f t="shared" si="41"/>
        <v>41.666666666666664</v>
      </c>
      <c r="AT137" s="159">
        <f t="shared" si="41"/>
        <v>54.166666666666664</v>
      </c>
      <c r="AU137" s="159">
        <f t="shared" si="41"/>
        <v>208.33333333333334</v>
      </c>
      <c r="AV137" s="159">
        <f t="shared" si="42"/>
        <v>0</v>
      </c>
      <c r="AW137" s="159">
        <f t="shared" si="43"/>
        <v>8.3333333333333339</v>
      </c>
      <c r="AX137" s="159">
        <f t="shared" si="43"/>
        <v>55.555555555555557</v>
      </c>
      <c r="AY137" s="164">
        <f t="shared" si="44"/>
        <v>1509.0555555555557</v>
      </c>
    </row>
    <row r="138" spans="3:51" ht="15.75" x14ac:dyDescent="0.25">
      <c r="C138" s="1" t="s">
        <v>950</v>
      </c>
      <c r="D138" s="1" t="s">
        <v>1003</v>
      </c>
      <c r="E138" s="1" t="s">
        <v>1099</v>
      </c>
      <c r="F138" s="1" t="s">
        <v>1099</v>
      </c>
      <c r="G138" s="1" t="s">
        <v>1100</v>
      </c>
      <c r="H138" s="1">
        <v>8</v>
      </c>
      <c r="I138" s="159">
        <v>8000</v>
      </c>
      <c r="J138" s="159">
        <v>1000</v>
      </c>
      <c r="K138" s="159">
        <v>1050</v>
      </c>
      <c r="L138" s="159">
        <v>950</v>
      </c>
      <c r="M138" s="159">
        <v>0</v>
      </c>
      <c r="N138" s="159">
        <v>0</v>
      </c>
      <c r="O138" s="159">
        <v>0</v>
      </c>
      <c r="P138" s="159">
        <v>0</v>
      </c>
      <c r="Q138" s="159">
        <v>150</v>
      </c>
      <c r="R138" s="159">
        <v>150</v>
      </c>
      <c r="T138" s="1">
        <v>1</v>
      </c>
      <c r="U138" s="1">
        <v>0</v>
      </c>
      <c r="V138" s="1">
        <v>0.5</v>
      </c>
      <c r="X138" s="1">
        <v>0.02</v>
      </c>
      <c r="Z138" s="159">
        <f t="shared" si="30"/>
        <v>3000</v>
      </c>
      <c r="AA138" s="159">
        <f t="shared" si="31"/>
        <v>500</v>
      </c>
      <c r="AB138" s="159">
        <v>650</v>
      </c>
      <c r="AC138" s="159">
        <v>2500</v>
      </c>
      <c r="AE138" s="1">
        <v>0</v>
      </c>
      <c r="AG138" s="1">
        <v>300</v>
      </c>
      <c r="AH138" s="1">
        <v>2000</v>
      </c>
      <c r="AJ138" s="159">
        <f t="shared" si="32"/>
        <v>1000</v>
      </c>
      <c r="AK138" s="159">
        <f t="shared" si="33"/>
        <v>0</v>
      </c>
      <c r="AL138" s="159">
        <f t="shared" si="34"/>
        <v>0</v>
      </c>
      <c r="AM138" s="159">
        <f t="shared" si="35"/>
        <v>150</v>
      </c>
      <c r="AN138" s="159">
        <f t="shared" si="36"/>
        <v>41.666666666666664</v>
      </c>
      <c r="AO138" s="159">
        <f t="shared" si="37"/>
        <v>0</v>
      </c>
      <c r="AP138" s="159">
        <f t="shared" si="38"/>
        <v>20.833333333333332</v>
      </c>
      <c r="AQ138" s="159">
        <f t="shared" si="39"/>
        <v>20</v>
      </c>
      <c r="AR138" s="159">
        <f t="shared" si="40"/>
        <v>125</v>
      </c>
      <c r="AS138" s="159">
        <f t="shared" si="41"/>
        <v>41.666666666666664</v>
      </c>
      <c r="AT138" s="159">
        <f t="shared" si="41"/>
        <v>54.166666666666664</v>
      </c>
      <c r="AU138" s="159">
        <f t="shared" si="41"/>
        <v>208.33333333333334</v>
      </c>
      <c r="AV138" s="159">
        <f t="shared" si="42"/>
        <v>0</v>
      </c>
      <c r="AW138" s="159">
        <f t="shared" si="43"/>
        <v>8.3333333333333339</v>
      </c>
      <c r="AX138" s="159">
        <f t="shared" si="43"/>
        <v>55.555555555555557</v>
      </c>
      <c r="AY138" s="164">
        <f t="shared" si="44"/>
        <v>1725.5555555555557</v>
      </c>
    </row>
    <row r="139" spans="3:51" ht="15.75" x14ac:dyDescent="0.25">
      <c r="C139" s="1" t="s">
        <v>950</v>
      </c>
      <c r="D139" s="1" t="s">
        <v>1101</v>
      </c>
      <c r="E139" s="1"/>
      <c r="F139" s="1"/>
      <c r="G139" s="1" t="s">
        <v>1102</v>
      </c>
      <c r="H139" s="1">
        <v>1</v>
      </c>
      <c r="I139" s="159">
        <v>3200</v>
      </c>
      <c r="J139" s="159">
        <v>3200</v>
      </c>
      <c r="K139" s="159">
        <v>3200</v>
      </c>
      <c r="L139" s="159">
        <v>3200</v>
      </c>
      <c r="M139" s="159">
        <v>300</v>
      </c>
      <c r="N139" s="159">
        <v>300</v>
      </c>
      <c r="O139" s="159">
        <v>0</v>
      </c>
      <c r="P139" s="159">
        <v>0</v>
      </c>
      <c r="Q139" s="159">
        <v>0</v>
      </c>
      <c r="R139" s="159">
        <v>0</v>
      </c>
      <c r="T139" s="1">
        <v>1</v>
      </c>
      <c r="U139" s="1">
        <v>0</v>
      </c>
      <c r="V139" s="1">
        <v>0.5</v>
      </c>
      <c r="X139" s="1">
        <v>0.02</v>
      </c>
      <c r="Z139" s="159">
        <f t="shared" si="30"/>
        <v>3000</v>
      </c>
      <c r="AA139" s="159">
        <f t="shared" si="31"/>
        <v>500</v>
      </c>
      <c r="AB139" s="159">
        <v>650</v>
      </c>
      <c r="AC139" s="159">
        <v>2500</v>
      </c>
      <c r="AE139" s="1">
        <v>0</v>
      </c>
      <c r="AG139" s="1">
        <v>300</v>
      </c>
      <c r="AH139" s="1">
        <v>2000</v>
      </c>
      <c r="AJ139" s="159">
        <f t="shared" si="32"/>
        <v>3200</v>
      </c>
      <c r="AK139" s="159">
        <f t="shared" si="33"/>
        <v>300</v>
      </c>
      <c r="AL139" s="159">
        <f t="shared" si="34"/>
        <v>0</v>
      </c>
      <c r="AM139" s="159">
        <f t="shared" si="35"/>
        <v>0</v>
      </c>
      <c r="AN139" s="159">
        <f t="shared" si="36"/>
        <v>133.33333333333334</v>
      </c>
      <c r="AO139" s="159">
        <f t="shared" si="37"/>
        <v>0</v>
      </c>
      <c r="AP139" s="159">
        <f t="shared" si="38"/>
        <v>66.666666666666671</v>
      </c>
      <c r="AQ139" s="159">
        <f t="shared" si="39"/>
        <v>64</v>
      </c>
      <c r="AR139" s="159">
        <f t="shared" si="40"/>
        <v>125</v>
      </c>
      <c r="AS139" s="159">
        <f t="shared" si="41"/>
        <v>41.666666666666664</v>
      </c>
      <c r="AT139" s="159">
        <f t="shared" si="41"/>
        <v>54.166666666666664</v>
      </c>
      <c r="AU139" s="159">
        <f t="shared" si="41"/>
        <v>208.33333333333334</v>
      </c>
      <c r="AV139" s="159">
        <f t="shared" si="42"/>
        <v>0</v>
      </c>
      <c r="AW139" s="159">
        <f t="shared" si="43"/>
        <v>8.3333333333333339</v>
      </c>
      <c r="AX139" s="159">
        <f t="shared" si="43"/>
        <v>55.555555555555557</v>
      </c>
      <c r="AY139" s="164">
        <f t="shared" si="44"/>
        <v>4257.0555555555547</v>
      </c>
    </row>
    <row r="140" spans="3:51" ht="15.75" x14ac:dyDescent="0.25">
      <c r="C140" s="1" t="s">
        <v>950</v>
      </c>
      <c r="D140" s="1"/>
      <c r="E140" s="1" t="s">
        <v>951</v>
      </c>
      <c r="F140" s="1" t="s">
        <v>1026</v>
      </c>
      <c r="G140" s="1" t="s">
        <v>1103</v>
      </c>
      <c r="H140" s="1">
        <v>346</v>
      </c>
      <c r="I140" s="159">
        <v>1015840</v>
      </c>
      <c r="J140" s="159">
        <v>2935.9537572254335</v>
      </c>
      <c r="K140" s="159">
        <v>5500</v>
      </c>
      <c r="L140" s="159">
        <v>700</v>
      </c>
      <c r="M140" s="159">
        <v>500</v>
      </c>
      <c r="N140" s="159">
        <v>0</v>
      </c>
      <c r="O140" s="159">
        <v>3</v>
      </c>
      <c r="P140" s="159">
        <v>3</v>
      </c>
      <c r="Q140" s="159">
        <v>200</v>
      </c>
      <c r="R140" s="159">
        <v>0</v>
      </c>
      <c r="T140" s="1">
        <v>1</v>
      </c>
      <c r="U140" s="1">
        <v>0</v>
      </c>
      <c r="V140" s="1">
        <v>0.5</v>
      </c>
      <c r="X140" s="1">
        <v>0.02</v>
      </c>
      <c r="Z140" s="159">
        <v>0</v>
      </c>
      <c r="AA140" s="159">
        <f t="shared" si="31"/>
        <v>500</v>
      </c>
      <c r="AB140" s="159">
        <v>650</v>
      </c>
      <c r="AC140" s="159">
        <v>2500</v>
      </c>
      <c r="AE140" s="1">
        <v>0</v>
      </c>
      <c r="AG140" s="1">
        <v>300</v>
      </c>
      <c r="AH140" s="1">
        <v>2000</v>
      </c>
      <c r="AJ140" s="159">
        <f t="shared" si="32"/>
        <v>2935.9537572254335</v>
      </c>
      <c r="AK140" s="159">
        <f t="shared" si="33"/>
        <v>500</v>
      </c>
      <c r="AL140" s="159">
        <f t="shared" si="34"/>
        <v>733.98843930635837</v>
      </c>
      <c r="AM140" s="159">
        <f t="shared" si="35"/>
        <v>200</v>
      </c>
      <c r="AN140" s="159">
        <f t="shared" si="36"/>
        <v>122.33140655105973</v>
      </c>
      <c r="AO140" s="159">
        <f t="shared" si="37"/>
        <v>0</v>
      </c>
      <c r="AP140" s="159">
        <f t="shared" si="38"/>
        <v>61.165703275529864</v>
      </c>
      <c r="AQ140" s="159">
        <f t="shared" si="39"/>
        <v>73.398843930635834</v>
      </c>
      <c r="AR140" s="159">
        <f t="shared" si="40"/>
        <v>0</v>
      </c>
      <c r="AS140" s="159">
        <f t="shared" si="41"/>
        <v>41.666666666666664</v>
      </c>
      <c r="AT140" s="159">
        <f t="shared" si="41"/>
        <v>54.166666666666664</v>
      </c>
      <c r="AU140" s="159">
        <f t="shared" si="41"/>
        <v>208.33333333333334</v>
      </c>
      <c r="AV140" s="159">
        <f t="shared" si="42"/>
        <v>0</v>
      </c>
      <c r="AW140" s="159">
        <f t="shared" si="43"/>
        <v>8.3333333333333339</v>
      </c>
      <c r="AX140" s="159">
        <f t="shared" si="43"/>
        <v>55.555555555555557</v>
      </c>
      <c r="AY140" s="164">
        <f t="shared" si="44"/>
        <v>4994.8937058445727</v>
      </c>
    </row>
    <row r="141" spans="3:51" ht="15.75" x14ac:dyDescent="0.25">
      <c r="C141" s="1" t="s">
        <v>950</v>
      </c>
      <c r="D141" s="1"/>
      <c r="E141" s="1" t="s">
        <v>1072</v>
      </c>
      <c r="F141" s="1" t="s">
        <v>1072</v>
      </c>
      <c r="G141" s="1" t="s">
        <v>1104</v>
      </c>
      <c r="H141" s="1">
        <v>2</v>
      </c>
      <c r="I141" s="159">
        <v>2200</v>
      </c>
      <c r="J141" s="159">
        <v>1100</v>
      </c>
      <c r="K141" s="159">
        <v>1100</v>
      </c>
      <c r="L141" s="159">
        <v>1100</v>
      </c>
      <c r="M141" s="159">
        <v>0</v>
      </c>
      <c r="N141" s="159">
        <v>0</v>
      </c>
      <c r="O141" s="159">
        <v>0</v>
      </c>
      <c r="P141" s="159">
        <v>0</v>
      </c>
      <c r="Q141" s="159">
        <v>150</v>
      </c>
      <c r="R141" s="159">
        <v>150</v>
      </c>
      <c r="T141" s="1">
        <v>1</v>
      </c>
      <c r="U141" s="1">
        <v>0</v>
      </c>
      <c r="V141" s="1">
        <v>0.5</v>
      </c>
      <c r="X141" s="1">
        <v>0.02</v>
      </c>
      <c r="Z141" s="159">
        <f t="shared" si="30"/>
        <v>3000</v>
      </c>
      <c r="AA141" s="159">
        <f t="shared" si="31"/>
        <v>500</v>
      </c>
      <c r="AB141" s="159">
        <v>650</v>
      </c>
      <c r="AC141" s="159">
        <v>2500</v>
      </c>
      <c r="AE141" s="1">
        <v>0</v>
      </c>
      <c r="AG141" s="1">
        <v>300</v>
      </c>
      <c r="AH141" s="1">
        <v>2000</v>
      </c>
      <c r="AJ141" s="159">
        <f t="shared" si="32"/>
        <v>1100</v>
      </c>
      <c r="AK141" s="159">
        <f t="shared" si="33"/>
        <v>0</v>
      </c>
      <c r="AL141" s="159">
        <f t="shared" si="34"/>
        <v>0</v>
      </c>
      <c r="AM141" s="159">
        <f t="shared" si="35"/>
        <v>150</v>
      </c>
      <c r="AN141" s="159">
        <f t="shared" si="36"/>
        <v>45.833333333333336</v>
      </c>
      <c r="AO141" s="159">
        <f t="shared" si="37"/>
        <v>0</v>
      </c>
      <c r="AP141" s="159">
        <f t="shared" si="38"/>
        <v>22.916666666666668</v>
      </c>
      <c r="AQ141" s="159">
        <f t="shared" si="39"/>
        <v>22</v>
      </c>
      <c r="AR141" s="159">
        <f t="shared" si="40"/>
        <v>125</v>
      </c>
      <c r="AS141" s="159">
        <f t="shared" si="41"/>
        <v>41.666666666666664</v>
      </c>
      <c r="AT141" s="159">
        <f t="shared" si="41"/>
        <v>54.166666666666664</v>
      </c>
      <c r="AU141" s="159">
        <f t="shared" si="41"/>
        <v>208.33333333333334</v>
      </c>
      <c r="AV141" s="159">
        <f t="shared" si="42"/>
        <v>0</v>
      </c>
      <c r="AW141" s="159">
        <f t="shared" si="43"/>
        <v>8.3333333333333339</v>
      </c>
      <c r="AX141" s="159">
        <f t="shared" si="43"/>
        <v>55.555555555555557</v>
      </c>
      <c r="AY141" s="164">
        <f t="shared" si="44"/>
        <v>1833.8055555555557</v>
      </c>
    </row>
    <row r="142" spans="3:51" ht="15.75" x14ac:dyDescent="0.25">
      <c r="C142" s="1" t="s">
        <v>950</v>
      </c>
      <c r="D142" s="1"/>
      <c r="E142" s="1" t="s">
        <v>968</v>
      </c>
      <c r="F142" s="1" t="s">
        <v>1028</v>
      </c>
      <c r="G142" s="1" t="s">
        <v>527</v>
      </c>
      <c r="H142" s="1">
        <v>1038</v>
      </c>
      <c r="I142" s="159">
        <v>932036</v>
      </c>
      <c r="J142" s="159">
        <v>897.91522157996144</v>
      </c>
      <c r="K142" s="159">
        <v>2000</v>
      </c>
      <c r="L142" s="159">
        <v>550</v>
      </c>
      <c r="M142" s="159">
        <v>0</v>
      </c>
      <c r="N142" s="159">
        <v>0</v>
      </c>
      <c r="O142" s="159">
        <v>0</v>
      </c>
      <c r="P142" s="159">
        <v>0</v>
      </c>
      <c r="Q142" s="159">
        <v>250</v>
      </c>
      <c r="R142" s="159">
        <v>0</v>
      </c>
      <c r="T142" s="1">
        <v>1</v>
      </c>
      <c r="U142" s="1">
        <v>0</v>
      </c>
      <c r="V142" s="1">
        <v>0.5</v>
      </c>
      <c r="X142" s="1">
        <v>0.02</v>
      </c>
      <c r="Z142" s="159">
        <f t="shared" si="30"/>
        <v>3000</v>
      </c>
      <c r="AA142" s="159">
        <f t="shared" si="31"/>
        <v>500</v>
      </c>
      <c r="AB142" s="159">
        <v>650</v>
      </c>
      <c r="AC142" s="159">
        <v>2500</v>
      </c>
      <c r="AE142" s="1">
        <v>0</v>
      </c>
      <c r="AG142" s="1">
        <v>300</v>
      </c>
      <c r="AH142" s="1">
        <v>2000</v>
      </c>
      <c r="AJ142" s="159">
        <f t="shared" si="32"/>
        <v>897.91522157996144</v>
      </c>
      <c r="AK142" s="159">
        <f t="shared" si="33"/>
        <v>0</v>
      </c>
      <c r="AL142" s="159">
        <f t="shared" si="34"/>
        <v>0</v>
      </c>
      <c r="AM142" s="159">
        <f t="shared" si="35"/>
        <v>250</v>
      </c>
      <c r="AN142" s="159">
        <f t="shared" si="36"/>
        <v>37.413134232498393</v>
      </c>
      <c r="AO142" s="159">
        <f t="shared" si="37"/>
        <v>0</v>
      </c>
      <c r="AP142" s="159">
        <f t="shared" si="38"/>
        <v>18.706567116249197</v>
      </c>
      <c r="AQ142" s="159">
        <f t="shared" si="39"/>
        <v>17.958304431599228</v>
      </c>
      <c r="AR142" s="159">
        <f t="shared" si="40"/>
        <v>125</v>
      </c>
      <c r="AS142" s="159">
        <f t="shared" si="41"/>
        <v>41.666666666666664</v>
      </c>
      <c r="AT142" s="159">
        <f t="shared" si="41"/>
        <v>54.166666666666664</v>
      </c>
      <c r="AU142" s="159">
        <f t="shared" si="41"/>
        <v>208.33333333333334</v>
      </c>
      <c r="AV142" s="159">
        <f t="shared" si="42"/>
        <v>0</v>
      </c>
      <c r="AW142" s="159">
        <f t="shared" si="43"/>
        <v>8.3333333333333339</v>
      </c>
      <c r="AX142" s="159">
        <f t="shared" si="43"/>
        <v>55.555555555555557</v>
      </c>
      <c r="AY142" s="164">
        <f t="shared" si="44"/>
        <v>1715.0487829158637</v>
      </c>
    </row>
    <row r="143" spans="3:51" ht="15.75" x14ac:dyDescent="0.25">
      <c r="C143" s="1" t="s">
        <v>950</v>
      </c>
      <c r="D143" s="1"/>
      <c r="E143" s="1" t="s">
        <v>951</v>
      </c>
      <c r="F143" s="1" t="s">
        <v>954</v>
      </c>
      <c r="G143" s="1" t="s">
        <v>1105</v>
      </c>
      <c r="H143" s="1">
        <v>55</v>
      </c>
      <c r="I143" s="159">
        <v>93871</v>
      </c>
      <c r="J143" s="159">
        <v>1706.7454545454545</v>
      </c>
      <c r="K143" s="159">
        <v>2526</v>
      </c>
      <c r="L143" s="159">
        <v>578</v>
      </c>
      <c r="M143" s="159">
        <v>0</v>
      </c>
      <c r="N143" s="159">
        <v>0</v>
      </c>
      <c r="O143" s="159">
        <v>0</v>
      </c>
      <c r="P143" s="159">
        <v>0</v>
      </c>
      <c r="Q143" s="159">
        <v>250</v>
      </c>
      <c r="R143" s="159">
        <v>0</v>
      </c>
      <c r="T143" s="1">
        <v>1</v>
      </c>
      <c r="U143" s="1">
        <v>0</v>
      </c>
      <c r="V143" s="1">
        <v>0.5</v>
      </c>
      <c r="X143" s="1">
        <v>0.02</v>
      </c>
      <c r="Z143" s="159">
        <f t="shared" si="30"/>
        <v>3000</v>
      </c>
      <c r="AA143" s="159">
        <f t="shared" si="31"/>
        <v>500</v>
      </c>
      <c r="AB143" s="159">
        <v>650</v>
      </c>
      <c r="AC143" s="159">
        <v>2500</v>
      </c>
      <c r="AE143" s="1">
        <v>0</v>
      </c>
      <c r="AG143" s="1">
        <v>300</v>
      </c>
      <c r="AH143" s="1">
        <v>2000</v>
      </c>
      <c r="AJ143" s="159">
        <f t="shared" si="32"/>
        <v>1706.7454545454545</v>
      </c>
      <c r="AK143" s="159">
        <f t="shared" si="33"/>
        <v>0</v>
      </c>
      <c r="AL143" s="159">
        <f t="shared" si="34"/>
        <v>0</v>
      </c>
      <c r="AM143" s="159">
        <f t="shared" si="35"/>
        <v>250</v>
      </c>
      <c r="AN143" s="159">
        <f t="shared" si="36"/>
        <v>71.114393939393935</v>
      </c>
      <c r="AO143" s="159">
        <f t="shared" si="37"/>
        <v>0</v>
      </c>
      <c r="AP143" s="159">
        <f t="shared" si="38"/>
        <v>35.557196969696967</v>
      </c>
      <c r="AQ143" s="159">
        <f t="shared" si="39"/>
        <v>34.13490909090909</v>
      </c>
      <c r="AR143" s="159">
        <f t="shared" si="40"/>
        <v>125</v>
      </c>
      <c r="AS143" s="159">
        <f t="shared" si="41"/>
        <v>41.666666666666664</v>
      </c>
      <c r="AT143" s="159">
        <f t="shared" si="41"/>
        <v>54.166666666666664</v>
      </c>
      <c r="AU143" s="159">
        <f t="shared" si="41"/>
        <v>208.33333333333334</v>
      </c>
      <c r="AV143" s="159">
        <f t="shared" si="42"/>
        <v>0</v>
      </c>
      <c r="AW143" s="159">
        <f t="shared" si="43"/>
        <v>8.3333333333333339</v>
      </c>
      <c r="AX143" s="159">
        <f t="shared" si="43"/>
        <v>55.555555555555557</v>
      </c>
      <c r="AY143" s="164">
        <f t="shared" si="44"/>
        <v>2590.6075101010101</v>
      </c>
    </row>
    <row r="144" spans="3:51" ht="15.75" x14ac:dyDescent="0.25">
      <c r="C144" s="1" t="s">
        <v>950</v>
      </c>
      <c r="D144" s="1"/>
      <c r="E144" s="1"/>
      <c r="F144" s="1"/>
      <c r="G144" s="1" t="s">
        <v>1106</v>
      </c>
      <c r="H144" s="1">
        <v>1</v>
      </c>
      <c r="I144" s="159">
        <v>1800</v>
      </c>
      <c r="J144" s="159">
        <v>1800</v>
      </c>
      <c r="K144" s="159">
        <v>1800</v>
      </c>
      <c r="L144" s="159">
        <v>1800</v>
      </c>
      <c r="M144" s="159">
        <v>0</v>
      </c>
      <c r="N144" s="159">
        <v>0</v>
      </c>
      <c r="O144" s="159">
        <v>0</v>
      </c>
      <c r="P144" s="159">
        <v>0</v>
      </c>
      <c r="Q144" s="159">
        <v>150</v>
      </c>
      <c r="R144" s="159">
        <v>150</v>
      </c>
      <c r="T144" s="1">
        <v>1</v>
      </c>
      <c r="U144" s="1">
        <v>0</v>
      </c>
      <c r="V144" s="1">
        <v>0.5</v>
      </c>
      <c r="X144" s="1">
        <v>0.02</v>
      </c>
      <c r="Z144" s="159">
        <f t="shared" si="30"/>
        <v>3000</v>
      </c>
      <c r="AA144" s="159">
        <f t="shared" si="31"/>
        <v>500</v>
      </c>
      <c r="AB144" s="159">
        <v>650</v>
      </c>
      <c r="AC144" s="159">
        <v>2500</v>
      </c>
      <c r="AE144" s="1">
        <v>0</v>
      </c>
      <c r="AG144" s="1">
        <v>300</v>
      </c>
      <c r="AH144" s="1">
        <v>2000</v>
      </c>
      <c r="AJ144" s="159">
        <f t="shared" si="32"/>
        <v>1800</v>
      </c>
      <c r="AK144" s="159">
        <f t="shared" si="33"/>
        <v>0</v>
      </c>
      <c r="AL144" s="159">
        <f t="shared" si="34"/>
        <v>0</v>
      </c>
      <c r="AM144" s="159">
        <f t="shared" si="35"/>
        <v>150</v>
      </c>
      <c r="AN144" s="159">
        <f t="shared" si="36"/>
        <v>75</v>
      </c>
      <c r="AO144" s="159">
        <f t="shared" si="37"/>
        <v>0</v>
      </c>
      <c r="AP144" s="159">
        <f t="shared" si="38"/>
        <v>37.5</v>
      </c>
      <c r="AQ144" s="159">
        <f t="shared" si="39"/>
        <v>36</v>
      </c>
      <c r="AR144" s="159">
        <f t="shared" si="40"/>
        <v>125</v>
      </c>
      <c r="AS144" s="159">
        <f t="shared" si="41"/>
        <v>41.666666666666664</v>
      </c>
      <c r="AT144" s="159">
        <f t="shared" si="41"/>
        <v>54.166666666666664</v>
      </c>
      <c r="AU144" s="159">
        <f t="shared" si="41"/>
        <v>208.33333333333334</v>
      </c>
      <c r="AV144" s="159">
        <f t="shared" si="42"/>
        <v>0</v>
      </c>
      <c r="AW144" s="159">
        <f t="shared" si="43"/>
        <v>8.3333333333333339</v>
      </c>
      <c r="AX144" s="159">
        <f t="shared" si="43"/>
        <v>55.555555555555557</v>
      </c>
      <c r="AY144" s="164">
        <f t="shared" si="44"/>
        <v>2591.5555555555557</v>
      </c>
    </row>
    <row r="145" spans="3:51" ht="15.75" x14ac:dyDescent="0.25">
      <c r="C145" s="1" t="s">
        <v>950</v>
      </c>
      <c r="D145" s="1"/>
      <c r="E145" s="1" t="s">
        <v>951</v>
      </c>
      <c r="F145" s="1" t="s">
        <v>1107</v>
      </c>
      <c r="G145" s="1" t="s">
        <v>1108</v>
      </c>
      <c r="H145" s="1">
        <v>26</v>
      </c>
      <c r="I145" s="159">
        <v>21905</v>
      </c>
      <c r="J145" s="159">
        <v>842.5</v>
      </c>
      <c r="K145" s="159">
        <v>1500</v>
      </c>
      <c r="L145" s="159">
        <v>550</v>
      </c>
      <c r="M145" s="159">
        <v>300</v>
      </c>
      <c r="N145" s="159">
        <v>0</v>
      </c>
      <c r="O145" s="159">
        <v>0</v>
      </c>
      <c r="P145" s="159">
        <v>0</v>
      </c>
      <c r="Q145" s="159">
        <v>200</v>
      </c>
      <c r="R145" s="159">
        <v>150</v>
      </c>
      <c r="T145" s="1">
        <v>1</v>
      </c>
      <c r="U145" s="1">
        <v>0</v>
      </c>
      <c r="V145" s="1">
        <v>0.5</v>
      </c>
      <c r="X145" s="1">
        <v>0.02</v>
      </c>
      <c r="Z145" s="159">
        <f t="shared" si="30"/>
        <v>3000</v>
      </c>
      <c r="AA145" s="159">
        <f t="shared" si="31"/>
        <v>500</v>
      </c>
      <c r="AB145" s="159">
        <v>650</v>
      </c>
      <c r="AC145" s="159">
        <v>2500</v>
      </c>
      <c r="AE145" s="1">
        <v>0</v>
      </c>
      <c r="AG145" s="1">
        <v>300</v>
      </c>
      <c r="AH145" s="1">
        <v>2000</v>
      </c>
      <c r="AJ145" s="159">
        <f t="shared" si="32"/>
        <v>842.5</v>
      </c>
      <c r="AK145" s="159">
        <f t="shared" si="33"/>
        <v>300</v>
      </c>
      <c r="AL145" s="159">
        <f t="shared" si="34"/>
        <v>0</v>
      </c>
      <c r="AM145" s="159">
        <f t="shared" si="35"/>
        <v>200</v>
      </c>
      <c r="AN145" s="159">
        <f t="shared" si="36"/>
        <v>35.104166666666664</v>
      </c>
      <c r="AO145" s="159">
        <f t="shared" si="37"/>
        <v>0</v>
      </c>
      <c r="AP145" s="159">
        <f t="shared" si="38"/>
        <v>17.552083333333332</v>
      </c>
      <c r="AQ145" s="159">
        <f t="shared" si="39"/>
        <v>16.850000000000001</v>
      </c>
      <c r="AR145" s="159">
        <f t="shared" si="40"/>
        <v>125</v>
      </c>
      <c r="AS145" s="159">
        <f t="shared" si="41"/>
        <v>41.666666666666664</v>
      </c>
      <c r="AT145" s="159">
        <f t="shared" si="41"/>
        <v>54.166666666666664</v>
      </c>
      <c r="AU145" s="159">
        <f t="shared" si="41"/>
        <v>208.33333333333334</v>
      </c>
      <c r="AV145" s="159">
        <f t="shared" si="42"/>
        <v>0</v>
      </c>
      <c r="AW145" s="159">
        <f t="shared" si="43"/>
        <v>8.3333333333333339</v>
      </c>
      <c r="AX145" s="159">
        <f t="shared" si="43"/>
        <v>55.555555555555557</v>
      </c>
      <c r="AY145" s="164">
        <f t="shared" si="44"/>
        <v>1905.0618055555556</v>
      </c>
    </row>
    <row r="146" spans="3:51" ht="15.75" x14ac:dyDescent="0.25">
      <c r="C146" s="1" t="s">
        <v>950</v>
      </c>
      <c r="D146" s="1"/>
      <c r="E146" s="1"/>
      <c r="F146" s="1"/>
      <c r="G146" s="1" t="s">
        <v>555</v>
      </c>
      <c r="H146" s="1">
        <v>27</v>
      </c>
      <c r="I146" s="159">
        <v>57590</v>
      </c>
      <c r="J146" s="159">
        <v>2132.962962962963</v>
      </c>
      <c r="K146" s="159">
        <v>4400</v>
      </c>
      <c r="L146" s="159">
        <v>1000</v>
      </c>
      <c r="M146" s="159">
        <v>400</v>
      </c>
      <c r="N146" s="159">
        <v>0</v>
      </c>
      <c r="O146" s="159">
        <v>0</v>
      </c>
      <c r="P146" s="159">
        <v>0</v>
      </c>
      <c r="Q146" s="159">
        <v>200</v>
      </c>
      <c r="R146" s="159">
        <v>0</v>
      </c>
      <c r="T146" s="1">
        <v>1</v>
      </c>
      <c r="U146" s="1">
        <v>0</v>
      </c>
      <c r="V146" s="1">
        <v>0.5</v>
      </c>
      <c r="X146" s="1">
        <v>0.02</v>
      </c>
      <c r="Z146" s="159">
        <f t="shared" si="30"/>
        <v>3000</v>
      </c>
      <c r="AA146" s="159">
        <f t="shared" si="31"/>
        <v>500</v>
      </c>
      <c r="AB146" s="159">
        <v>650</v>
      </c>
      <c r="AC146" s="159">
        <v>2500</v>
      </c>
      <c r="AE146" s="1">
        <v>0</v>
      </c>
      <c r="AG146" s="1">
        <v>300</v>
      </c>
      <c r="AH146" s="1">
        <v>2000</v>
      </c>
      <c r="AJ146" s="159">
        <f t="shared" si="32"/>
        <v>2132.962962962963</v>
      </c>
      <c r="AK146" s="159">
        <f t="shared" si="33"/>
        <v>400</v>
      </c>
      <c r="AL146" s="159">
        <f t="shared" si="34"/>
        <v>0</v>
      </c>
      <c r="AM146" s="159">
        <f t="shared" si="35"/>
        <v>200</v>
      </c>
      <c r="AN146" s="159">
        <f t="shared" si="36"/>
        <v>88.873456790123456</v>
      </c>
      <c r="AO146" s="159">
        <f t="shared" si="37"/>
        <v>0</v>
      </c>
      <c r="AP146" s="159">
        <f t="shared" si="38"/>
        <v>44.436728395061728</v>
      </c>
      <c r="AQ146" s="159">
        <f t="shared" si="39"/>
        <v>42.659259259259265</v>
      </c>
      <c r="AR146" s="159">
        <f t="shared" si="40"/>
        <v>125</v>
      </c>
      <c r="AS146" s="159">
        <f t="shared" si="41"/>
        <v>41.666666666666664</v>
      </c>
      <c r="AT146" s="159">
        <f t="shared" si="41"/>
        <v>54.166666666666664</v>
      </c>
      <c r="AU146" s="159">
        <f t="shared" si="41"/>
        <v>208.33333333333334</v>
      </c>
      <c r="AV146" s="159">
        <f t="shared" si="42"/>
        <v>0</v>
      </c>
      <c r="AW146" s="159">
        <f t="shared" si="43"/>
        <v>8.3333333333333339</v>
      </c>
      <c r="AX146" s="159">
        <f t="shared" si="43"/>
        <v>55.555555555555557</v>
      </c>
      <c r="AY146" s="164">
        <f t="shared" si="44"/>
        <v>3401.9879629629631</v>
      </c>
    </row>
    <row r="147" spans="3:51" ht="15.75" x14ac:dyDescent="0.25">
      <c r="C147" s="1" t="s">
        <v>950</v>
      </c>
      <c r="D147" s="1"/>
      <c r="E147" s="1" t="s">
        <v>986</v>
      </c>
      <c r="F147" s="1" t="s">
        <v>986</v>
      </c>
      <c r="G147" s="1" t="s">
        <v>1109</v>
      </c>
      <c r="H147" s="1">
        <v>24</v>
      </c>
      <c r="I147" s="159">
        <v>30150</v>
      </c>
      <c r="J147" s="159">
        <v>1256.25</v>
      </c>
      <c r="K147" s="159">
        <v>2000</v>
      </c>
      <c r="L147" s="159">
        <v>850</v>
      </c>
      <c r="M147" s="159">
        <v>0</v>
      </c>
      <c r="N147" s="159">
        <v>0</v>
      </c>
      <c r="O147" s="159">
        <v>0</v>
      </c>
      <c r="P147" s="159">
        <v>0</v>
      </c>
      <c r="Q147" s="159">
        <v>250</v>
      </c>
      <c r="R147" s="159">
        <v>150</v>
      </c>
      <c r="T147" s="1">
        <v>1</v>
      </c>
      <c r="U147" s="1">
        <v>0</v>
      </c>
      <c r="V147" s="1">
        <v>0.5</v>
      </c>
      <c r="X147" s="1">
        <v>0.02</v>
      </c>
      <c r="Z147" s="159">
        <f t="shared" si="30"/>
        <v>3000</v>
      </c>
      <c r="AA147" s="159">
        <f t="shared" si="31"/>
        <v>500</v>
      </c>
      <c r="AB147" s="159">
        <v>650</v>
      </c>
      <c r="AC147" s="159">
        <v>2500</v>
      </c>
      <c r="AE147" s="1">
        <v>0</v>
      </c>
      <c r="AG147" s="1">
        <v>300</v>
      </c>
      <c r="AH147" s="1">
        <v>2000</v>
      </c>
      <c r="AJ147" s="159">
        <f t="shared" si="32"/>
        <v>1256.25</v>
      </c>
      <c r="AK147" s="159">
        <f t="shared" si="33"/>
        <v>0</v>
      </c>
      <c r="AL147" s="159">
        <f t="shared" si="34"/>
        <v>0</v>
      </c>
      <c r="AM147" s="159">
        <f t="shared" si="35"/>
        <v>250</v>
      </c>
      <c r="AN147" s="159">
        <f t="shared" si="36"/>
        <v>52.34375</v>
      </c>
      <c r="AO147" s="159">
        <f t="shared" si="37"/>
        <v>0</v>
      </c>
      <c r="AP147" s="159">
        <f t="shared" si="38"/>
        <v>26.171875</v>
      </c>
      <c r="AQ147" s="159">
        <f t="shared" si="39"/>
        <v>25.125</v>
      </c>
      <c r="AR147" s="159">
        <f t="shared" si="40"/>
        <v>125</v>
      </c>
      <c r="AS147" s="159">
        <f t="shared" si="41"/>
        <v>41.666666666666664</v>
      </c>
      <c r="AT147" s="159">
        <f t="shared" si="41"/>
        <v>54.166666666666664</v>
      </c>
      <c r="AU147" s="159">
        <f t="shared" si="41"/>
        <v>208.33333333333334</v>
      </c>
      <c r="AV147" s="159">
        <f t="shared" si="42"/>
        <v>0</v>
      </c>
      <c r="AW147" s="159">
        <f t="shared" si="43"/>
        <v>8.3333333333333339</v>
      </c>
      <c r="AX147" s="159">
        <f t="shared" si="43"/>
        <v>55.555555555555557</v>
      </c>
      <c r="AY147" s="164">
        <f t="shared" si="44"/>
        <v>2102.9461805555557</v>
      </c>
    </row>
    <row r="148" spans="3:51" ht="15.75" x14ac:dyDescent="0.25">
      <c r="C148" s="1" t="s">
        <v>950</v>
      </c>
      <c r="D148" s="1"/>
      <c r="E148" s="1" t="s">
        <v>961</v>
      </c>
      <c r="F148" s="1" t="s">
        <v>725</v>
      </c>
      <c r="G148" s="1" t="s">
        <v>1110</v>
      </c>
      <c r="H148" s="1">
        <v>3</v>
      </c>
      <c r="I148" s="159">
        <v>10700</v>
      </c>
      <c r="J148" s="159">
        <v>3566.6666666666665</v>
      </c>
      <c r="K148" s="159">
        <v>4500</v>
      </c>
      <c r="L148" s="159">
        <v>3000</v>
      </c>
      <c r="M148" s="159">
        <v>300</v>
      </c>
      <c r="N148" s="159">
        <v>0</v>
      </c>
      <c r="O148" s="159">
        <v>0</v>
      </c>
      <c r="P148" s="159">
        <v>0</v>
      </c>
      <c r="Q148" s="159">
        <v>0</v>
      </c>
      <c r="R148" s="159">
        <v>0</v>
      </c>
      <c r="T148" s="1">
        <v>1</v>
      </c>
      <c r="U148" s="1">
        <v>0</v>
      </c>
      <c r="V148" s="1">
        <v>0.5</v>
      </c>
      <c r="X148" s="1">
        <v>0.02</v>
      </c>
      <c r="Z148" s="159">
        <f t="shared" si="30"/>
        <v>3000</v>
      </c>
      <c r="AA148" s="159">
        <f t="shared" si="31"/>
        <v>500</v>
      </c>
      <c r="AB148" s="159">
        <v>650</v>
      </c>
      <c r="AC148" s="159">
        <v>2500</v>
      </c>
      <c r="AE148" s="1">
        <v>0</v>
      </c>
      <c r="AG148" s="1">
        <v>300</v>
      </c>
      <c r="AH148" s="1">
        <v>2000</v>
      </c>
      <c r="AJ148" s="159">
        <f t="shared" si="32"/>
        <v>3566.6666666666665</v>
      </c>
      <c r="AK148" s="159">
        <f t="shared" si="33"/>
        <v>300</v>
      </c>
      <c r="AL148" s="159">
        <f t="shared" si="34"/>
        <v>0</v>
      </c>
      <c r="AM148" s="159">
        <f t="shared" si="35"/>
        <v>0</v>
      </c>
      <c r="AN148" s="159">
        <f t="shared" si="36"/>
        <v>148.61111111111111</v>
      </c>
      <c r="AO148" s="159">
        <f t="shared" si="37"/>
        <v>0</v>
      </c>
      <c r="AP148" s="159">
        <f t="shared" si="38"/>
        <v>74.305555555555557</v>
      </c>
      <c r="AQ148" s="159">
        <f t="shared" si="39"/>
        <v>71.333333333333329</v>
      </c>
      <c r="AR148" s="159">
        <f t="shared" si="40"/>
        <v>125</v>
      </c>
      <c r="AS148" s="159">
        <f t="shared" si="41"/>
        <v>41.666666666666664</v>
      </c>
      <c r="AT148" s="159">
        <f t="shared" si="41"/>
        <v>54.166666666666664</v>
      </c>
      <c r="AU148" s="159">
        <f t="shared" si="41"/>
        <v>208.33333333333334</v>
      </c>
      <c r="AV148" s="159">
        <f t="shared" si="42"/>
        <v>0</v>
      </c>
      <c r="AW148" s="159">
        <f t="shared" si="43"/>
        <v>8.3333333333333339</v>
      </c>
      <c r="AX148" s="159">
        <f t="shared" si="43"/>
        <v>55.555555555555557</v>
      </c>
      <c r="AY148" s="164">
        <f t="shared" si="44"/>
        <v>4653.9722222222226</v>
      </c>
    </row>
    <row r="149" spans="3:51" ht="15.75" x14ac:dyDescent="0.25">
      <c r="C149" s="1" t="s">
        <v>950</v>
      </c>
      <c r="D149" s="1"/>
      <c r="E149" s="1" t="s">
        <v>951</v>
      </c>
      <c r="F149" s="1" t="s">
        <v>952</v>
      </c>
      <c r="G149" s="1" t="s">
        <v>1111</v>
      </c>
      <c r="H149" s="1">
        <v>42</v>
      </c>
      <c r="I149" s="159">
        <v>123840</v>
      </c>
      <c r="J149" s="159">
        <v>2948.5714285714284</v>
      </c>
      <c r="K149" s="159">
        <v>7430</v>
      </c>
      <c r="L149" s="159">
        <v>1200</v>
      </c>
      <c r="M149" s="159">
        <v>400</v>
      </c>
      <c r="N149" s="159">
        <v>0</v>
      </c>
      <c r="O149" s="159">
        <v>2</v>
      </c>
      <c r="P149" s="159">
        <v>3</v>
      </c>
      <c r="Q149" s="159">
        <v>150</v>
      </c>
      <c r="R149" s="159">
        <v>0</v>
      </c>
      <c r="T149" s="1">
        <v>1</v>
      </c>
      <c r="U149" s="1">
        <v>0</v>
      </c>
      <c r="V149" s="1">
        <v>0.5</v>
      </c>
      <c r="X149" s="1">
        <v>0.02</v>
      </c>
      <c r="Z149" s="159">
        <f t="shared" si="30"/>
        <v>3000</v>
      </c>
      <c r="AA149" s="159">
        <f t="shared" si="31"/>
        <v>500</v>
      </c>
      <c r="AB149" s="159">
        <v>650</v>
      </c>
      <c r="AC149" s="159">
        <v>2500</v>
      </c>
      <c r="AE149" s="1">
        <v>0</v>
      </c>
      <c r="AG149" s="1">
        <v>300</v>
      </c>
      <c r="AH149" s="1">
        <v>2000</v>
      </c>
      <c r="AJ149" s="159">
        <f t="shared" si="32"/>
        <v>2948.5714285714284</v>
      </c>
      <c r="AK149" s="159">
        <f t="shared" si="33"/>
        <v>400</v>
      </c>
      <c r="AL149" s="159">
        <f t="shared" si="34"/>
        <v>737.14285714285722</v>
      </c>
      <c r="AM149" s="159">
        <f t="shared" si="35"/>
        <v>150</v>
      </c>
      <c r="AN149" s="159">
        <f t="shared" si="36"/>
        <v>122.85714285714285</v>
      </c>
      <c r="AO149" s="159">
        <f t="shared" si="37"/>
        <v>0</v>
      </c>
      <c r="AP149" s="159">
        <f t="shared" si="38"/>
        <v>61.428571428571423</v>
      </c>
      <c r="AQ149" s="159">
        <f t="shared" si="39"/>
        <v>73.714285714285722</v>
      </c>
      <c r="AR149" s="159">
        <f t="shared" si="40"/>
        <v>125</v>
      </c>
      <c r="AS149" s="159">
        <f t="shared" si="41"/>
        <v>41.666666666666664</v>
      </c>
      <c r="AT149" s="159">
        <f t="shared" si="41"/>
        <v>54.166666666666664</v>
      </c>
      <c r="AU149" s="159">
        <f t="shared" si="41"/>
        <v>208.33333333333334</v>
      </c>
      <c r="AV149" s="159">
        <f t="shared" si="42"/>
        <v>0</v>
      </c>
      <c r="AW149" s="159">
        <f t="shared" si="43"/>
        <v>8.3333333333333339</v>
      </c>
      <c r="AX149" s="159">
        <f t="shared" si="43"/>
        <v>55.555555555555557</v>
      </c>
      <c r="AY149" s="164">
        <f t="shared" si="44"/>
        <v>4986.7698412698419</v>
      </c>
    </row>
    <row r="150" spans="3:51" ht="15.75" x14ac:dyDescent="0.25">
      <c r="C150" s="1" t="s">
        <v>950</v>
      </c>
      <c r="D150" s="1"/>
      <c r="E150" s="1"/>
      <c r="F150" s="1"/>
      <c r="G150" s="1" t="s">
        <v>1112</v>
      </c>
      <c r="H150" s="1">
        <v>5</v>
      </c>
      <c r="I150" s="159">
        <v>8700</v>
      </c>
      <c r="J150" s="159">
        <v>1740</v>
      </c>
      <c r="K150" s="159">
        <v>3000</v>
      </c>
      <c r="L150" s="159">
        <v>1000</v>
      </c>
      <c r="M150" s="159">
        <v>300</v>
      </c>
      <c r="N150" s="159">
        <v>0</v>
      </c>
      <c r="O150" s="159">
        <v>0</v>
      </c>
      <c r="P150" s="159">
        <v>0</v>
      </c>
      <c r="Q150" s="159">
        <v>150</v>
      </c>
      <c r="R150" s="159">
        <v>0</v>
      </c>
      <c r="T150" s="1">
        <v>1</v>
      </c>
      <c r="U150" s="1">
        <v>0</v>
      </c>
      <c r="V150" s="1">
        <v>0.5</v>
      </c>
      <c r="X150" s="1">
        <v>0.02</v>
      </c>
      <c r="Z150" s="159">
        <f t="shared" si="30"/>
        <v>3000</v>
      </c>
      <c r="AA150" s="159">
        <f t="shared" si="31"/>
        <v>500</v>
      </c>
      <c r="AB150" s="159">
        <v>650</v>
      </c>
      <c r="AC150" s="159">
        <v>2500</v>
      </c>
      <c r="AE150" s="1">
        <v>0</v>
      </c>
      <c r="AG150" s="1">
        <v>300</v>
      </c>
      <c r="AH150" s="1">
        <v>2000</v>
      </c>
      <c r="AJ150" s="159">
        <f t="shared" si="32"/>
        <v>1740</v>
      </c>
      <c r="AK150" s="159">
        <f t="shared" si="33"/>
        <v>300</v>
      </c>
      <c r="AL150" s="159">
        <f t="shared" si="34"/>
        <v>0</v>
      </c>
      <c r="AM150" s="159">
        <f t="shared" si="35"/>
        <v>150</v>
      </c>
      <c r="AN150" s="159">
        <f t="shared" si="36"/>
        <v>72.5</v>
      </c>
      <c r="AO150" s="159">
        <f t="shared" si="37"/>
        <v>0</v>
      </c>
      <c r="AP150" s="159">
        <f t="shared" si="38"/>
        <v>36.25</v>
      </c>
      <c r="AQ150" s="159">
        <f t="shared" si="39"/>
        <v>34.800000000000004</v>
      </c>
      <c r="AR150" s="159">
        <f t="shared" si="40"/>
        <v>125</v>
      </c>
      <c r="AS150" s="159">
        <f t="shared" si="41"/>
        <v>41.666666666666664</v>
      </c>
      <c r="AT150" s="159">
        <f t="shared" si="41"/>
        <v>54.166666666666664</v>
      </c>
      <c r="AU150" s="159">
        <f t="shared" si="41"/>
        <v>208.33333333333334</v>
      </c>
      <c r="AV150" s="159">
        <f t="shared" si="42"/>
        <v>0</v>
      </c>
      <c r="AW150" s="159">
        <f t="shared" si="43"/>
        <v>8.3333333333333339</v>
      </c>
      <c r="AX150" s="159">
        <f t="shared" si="43"/>
        <v>55.555555555555557</v>
      </c>
      <c r="AY150" s="164">
        <f t="shared" si="44"/>
        <v>2826.6055555555558</v>
      </c>
    </row>
    <row r="151" spans="3:51" ht="15.75" x14ac:dyDescent="0.25">
      <c r="C151" s="1" t="s">
        <v>950</v>
      </c>
      <c r="D151" s="1"/>
      <c r="E151" s="1" t="s">
        <v>951</v>
      </c>
      <c r="F151" s="1" t="s">
        <v>952</v>
      </c>
      <c r="G151" s="1" t="s">
        <v>1113</v>
      </c>
      <c r="H151" s="1">
        <v>1</v>
      </c>
      <c r="I151" s="159">
        <v>1500</v>
      </c>
      <c r="J151" s="159">
        <v>1500</v>
      </c>
      <c r="K151" s="159">
        <v>1500</v>
      </c>
      <c r="L151" s="159">
        <v>1500</v>
      </c>
      <c r="M151" s="159">
        <v>0</v>
      </c>
      <c r="N151" s="159">
        <v>0</v>
      </c>
      <c r="O151" s="159">
        <v>0</v>
      </c>
      <c r="P151" s="159">
        <v>0</v>
      </c>
      <c r="Q151" s="159">
        <v>150</v>
      </c>
      <c r="R151" s="159">
        <v>150</v>
      </c>
      <c r="T151" s="1">
        <v>1</v>
      </c>
      <c r="U151" s="1">
        <v>0</v>
      </c>
      <c r="V151" s="1">
        <v>0.5</v>
      </c>
      <c r="X151" s="1">
        <v>0.02</v>
      </c>
      <c r="Z151" s="159">
        <f t="shared" si="30"/>
        <v>3000</v>
      </c>
      <c r="AA151" s="159">
        <f t="shared" si="31"/>
        <v>500</v>
      </c>
      <c r="AB151" s="159">
        <v>650</v>
      </c>
      <c r="AC151" s="159">
        <v>2500</v>
      </c>
      <c r="AE151" s="1">
        <v>0</v>
      </c>
      <c r="AG151" s="1">
        <v>300</v>
      </c>
      <c r="AH151" s="1">
        <v>2000</v>
      </c>
      <c r="AJ151" s="159">
        <f t="shared" si="32"/>
        <v>1500</v>
      </c>
      <c r="AK151" s="159">
        <f t="shared" si="33"/>
        <v>0</v>
      </c>
      <c r="AL151" s="159">
        <f t="shared" si="34"/>
        <v>0</v>
      </c>
      <c r="AM151" s="159">
        <f t="shared" si="35"/>
        <v>150</v>
      </c>
      <c r="AN151" s="159">
        <f t="shared" si="36"/>
        <v>62.5</v>
      </c>
      <c r="AO151" s="159">
        <f t="shared" si="37"/>
        <v>0</v>
      </c>
      <c r="AP151" s="159">
        <f t="shared" si="38"/>
        <v>31.25</v>
      </c>
      <c r="AQ151" s="159">
        <f t="shared" si="39"/>
        <v>30</v>
      </c>
      <c r="AR151" s="159">
        <f t="shared" si="40"/>
        <v>125</v>
      </c>
      <c r="AS151" s="159">
        <f t="shared" si="41"/>
        <v>41.666666666666664</v>
      </c>
      <c r="AT151" s="159">
        <f t="shared" si="41"/>
        <v>54.166666666666664</v>
      </c>
      <c r="AU151" s="159">
        <f t="shared" si="41"/>
        <v>208.33333333333334</v>
      </c>
      <c r="AV151" s="159">
        <f t="shared" si="42"/>
        <v>0</v>
      </c>
      <c r="AW151" s="159">
        <f t="shared" si="43"/>
        <v>8.3333333333333339</v>
      </c>
      <c r="AX151" s="159">
        <f t="shared" si="43"/>
        <v>55.555555555555557</v>
      </c>
      <c r="AY151" s="164">
        <f t="shared" si="44"/>
        <v>2266.8055555555561</v>
      </c>
    </row>
    <row r="152" spans="3:51" ht="15.75" x14ac:dyDescent="0.25">
      <c r="C152" s="1" t="s">
        <v>950</v>
      </c>
      <c r="D152" s="1"/>
      <c r="E152" s="1" t="s">
        <v>951</v>
      </c>
      <c r="F152" s="1" t="s">
        <v>1026</v>
      </c>
      <c r="G152" s="1" t="s">
        <v>1114</v>
      </c>
      <c r="H152" s="1">
        <v>3</v>
      </c>
      <c r="I152" s="159">
        <v>1165</v>
      </c>
      <c r="J152" s="159">
        <v>388.33333333333331</v>
      </c>
      <c r="K152" s="159">
        <v>550</v>
      </c>
      <c r="L152" s="159">
        <v>200</v>
      </c>
      <c r="M152" s="159">
        <v>0</v>
      </c>
      <c r="N152" s="159">
        <v>0</v>
      </c>
      <c r="O152" s="159">
        <v>0</v>
      </c>
      <c r="P152" s="159">
        <v>0</v>
      </c>
      <c r="Q152" s="159">
        <v>150</v>
      </c>
      <c r="R152" s="159">
        <v>0</v>
      </c>
      <c r="T152" s="1">
        <v>1</v>
      </c>
      <c r="U152" s="1">
        <v>0</v>
      </c>
      <c r="V152" s="1">
        <v>0.5</v>
      </c>
      <c r="X152" s="1">
        <v>0.02</v>
      </c>
      <c r="Z152" s="159">
        <f t="shared" si="30"/>
        <v>3000</v>
      </c>
      <c r="AA152" s="159">
        <f t="shared" si="31"/>
        <v>500</v>
      </c>
      <c r="AB152" s="159">
        <v>650</v>
      </c>
      <c r="AC152" s="159">
        <v>2500</v>
      </c>
      <c r="AE152" s="1">
        <v>0</v>
      </c>
      <c r="AG152" s="1">
        <v>300</v>
      </c>
      <c r="AH152" s="1">
        <v>2000</v>
      </c>
      <c r="AJ152" s="159">
        <f t="shared" si="32"/>
        <v>388.33333333333331</v>
      </c>
      <c r="AK152" s="159">
        <f t="shared" si="33"/>
        <v>0</v>
      </c>
      <c r="AL152" s="159">
        <f t="shared" si="34"/>
        <v>0</v>
      </c>
      <c r="AM152" s="159">
        <f t="shared" si="35"/>
        <v>150</v>
      </c>
      <c r="AN152" s="159">
        <f t="shared" si="36"/>
        <v>16.180555555555554</v>
      </c>
      <c r="AO152" s="159">
        <f t="shared" si="37"/>
        <v>0</v>
      </c>
      <c r="AP152" s="159">
        <f t="shared" si="38"/>
        <v>8.0902777777777768</v>
      </c>
      <c r="AQ152" s="159">
        <f t="shared" si="39"/>
        <v>7.7666666666666666</v>
      </c>
      <c r="AR152" s="159">
        <f t="shared" si="40"/>
        <v>125</v>
      </c>
      <c r="AS152" s="159">
        <f t="shared" si="41"/>
        <v>41.666666666666664</v>
      </c>
      <c r="AT152" s="159">
        <f t="shared" si="41"/>
        <v>54.166666666666664</v>
      </c>
      <c r="AU152" s="159">
        <f t="shared" si="41"/>
        <v>208.33333333333334</v>
      </c>
      <c r="AV152" s="159">
        <f t="shared" si="42"/>
        <v>0</v>
      </c>
      <c r="AW152" s="159">
        <f t="shared" si="43"/>
        <v>8.3333333333333339</v>
      </c>
      <c r="AX152" s="159">
        <f t="shared" si="43"/>
        <v>55.555555555555557</v>
      </c>
      <c r="AY152" s="164">
        <f t="shared" si="44"/>
        <v>1063.4263888888888</v>
      </c>
    </row>
    <row r="153" spans="3:51" ht="15.75" x14ac:dyDescent="0.25">
      <c r="C153" s="1" t="s">
        <v>950</v>
      </c>
      <c r="D153" s="1"/>
      <c r="E153" s="1" t="s">
        <v>1115</v>
      </c>
      <c r="F153" s="1" t="s">
        <v>1115</v>
      </c>
      <c r="G153" s="1" t="s">
        <v>1116</v>
      </c>
      <c r="H153" s="1">
        <v>2</v>
      </c>
      <c r="I153" s="159">
        <v>2750</v>
      </c>
      <c r="J153" s="159">
        <v>1375</v>
      </c>
      <c r="K153" s="159">
        <v>1700</v>
      </c>
      <c r="L153" s="159">
        <v>1050</v>
      </c>
      <c r="M153" s="159">
        <v>0</v>
      </c>
      <c r="N153" s="159">
        <v>0</v>
      </c>
      <c r="O153" s="159">
        <v>0</v>
      </c>
      <c r="P153" s="159">
        <v>0</v>
      </c>
      <c r="Q153" s="159">
        <v>150</v>
      </c>
      <c r="R153" s="159">
        <v>150</v>
      </c>
      <c r="T153" s="1">
        <v>1</v>
      </c>
      <c r="U153" s="1">
        <v>0</v>
      </c>
      <c r="V153" s="1">
        <v>0.5</v>
      </c>
      <c r="X153" s="1">
        <v>0.02</v>
      </c>
      <c r="Z153" s="159">
        <f t="shared" si="30"/>
        <v>3000</v>
      </c>
      <c r="AA153" s="159">
        <f t="shared" si="31"/>
        <v>500</v>
      </c>
      <c r="AB153" s="159">
        <v>650</v>
      </c>
      <c r="AC153" s="159">
        <v>2500</v>
      </c>
      <c r="AE153" s="1">
        <v>0</v>
      </c>
      <c r="AG153" s="1">
        <v>300</v>
      </c>
      <c r="AH153" s="1">
        <v>2000</v>
      </c>
      <c r="AJ153" s="159">
        <f t="shared" si="32"/>
        <v>1375</v>
      </c>
      <c r="AK153" s="159">
        <f t="shared" si="33"/>
        <v>0</v>
      </c>
      <c r="AL153" s="159">
        <f t="shared" si="34"/>
        <v>0</v>
      </c>
      <c r="AM153" s="159">
        <f t="shared" si="35"/>
        <v>150</v>
      </c>
      <c r="AN153" s="159">
        <f t="shared" si="36"/>
        <v>57.291666666666664</v>
      </c>
      <c r="AO153" s="159">
        <f t="shared" si="37"/>
        <v>0</v>
      </c>
      <c r="AP153" s="159">
        <f t="shared" si="38"/>
        <v>28.645833333333332</v>
      </c>
      <c r="AQ153" s="159">
        <f t="shared" si="39"/>
        <v>27.5</v>
      </c>
      <c r="AR153" s="159">
        <f t="shared" si="40"/>
        <v>125</v>
      </c>
      <c r="AS153" s="159">
        <f t="shared" si="41"/>
        <v>41.666666666666664</v>
      </c>
      <c r="AT153" s="159">
        <f t="shared" si="41"/>
        <v>54.166666666666664</v>
      </c>
      <c r="AU153" s="159">
        <f t="shared" si="41"/>
        <v>208.33333333333334</v>
      </c>
      <c r="AV153" s="159">
        <f t="shared" si="42"/>
        <v>0</v>
      </c>
      <c r="AW153" s="159">
        <f t="shared" si="43"/>
        <v>8.3333333333333339</v>
      </c>
      <c r="AX153" s="159">
        <f t="shared" si="43"/>
        <v>55.555555555555557</v>
      </c>
      <c r="AY153" s="164">
        <f t="shared" si="44"/>
        <v>2131.4930555555561</v>
      </c>
    </row>
    <row r="154" spans="3:51" ht="15.75" x14ac:dyDescent="0.25">
      <c r="C154" s="1" t="s">
        <v>950</v>
      </c>
      <c r="D154" s="1"/>
      <c r="E154" s="1" t="s">
        <v>961</v>
      </c>
      <c r="F154" s="1" t="s">
        <v>1048</v>
      </c>
      <c r="G154" s="1" t="s">
        <v>1117</v>
      </c>
      <c r="H154" s="1">
        <v>1</v>
      </c>
      <c r="I154" s="159">
        <v>1350</v>
      </c>
      <c r="J154" s="159">
        <v>1350</v>
      </c>
      <c r="K154" s="159">
        <v>1350</v>
      </c>
      <c r="L154" s="159">
        <v>1350</v>
      </c>
      <c r="M154" s="159">
        <v>0</v>
      </c>
      <c r="N154" s="159">
        <v>0</v>
      </c>
      <c r="O154" s="159">
        <v>0</v>
      </c>
      <c r="P154" s="159">
        <v>0</v>
      </c>
      <c r="Q154" s="159">
        <v>150</v>
      </c>
      <c r="R154" s="159">
        <v>150</v>
      </c>
      <c r="T154" s="1">
        <v>1</v>
      </c>
      <c r="U154" s="1">
        <v>0</v>
      </c>
      <c r="V154" s="1">
        <v>0.5</v>
      </c>
      <c r="X154" s="1">
        <v>0.02</v>
      </c>
      <c r="Z154" s="159">
        <f t="shared" si="30"/>
        <v>3000</v>
      </c>
      <c r="AA154" s="159">
        <f t="shared" si="31"/>
        <v>500</v>
      </c>
      <c r="AB154" s="159">
        <v>650</v>
      </c>
      <c r="AC154" s="159">
        <v>2500</v>
      </c>
      <c r="AE154" s="1">
        <v>0</v>
      </c>
      <c r="AG154" s="1">
        <v>300</v>
      </c>
      <c r="AH154" s="1">
        <v>2000</v>
      </c>
      <c r="AJ154" s="159">
        <f t="shared" si="32"/>
        <v>1350</v>
      </c>
      <c r="AK154" s="159">
        <f t="shared" si="33"/>
        <v>0</v>
      </c>
      <c r="AL154" s="159">
        <f t="shared" si="34"/>
        <v>0</v>
      </c>
      <c r="AM154" s="159">
        <f t="shared" si="35"/>
        <v>150</v>
      </c>
      <c r="AN154" s="159">
        <f t="shared" si="36"/>
        <v>56.25</v>
      </c>
      <c r="AO154" s="159">
        <f t="shared" si="37"/>
        <v>0</v>
      </c>
      <c r="AP154" s="159">
        <f t="shared" si="38"/>
        <v>28.125</v>
      </c>
      <c r="AQ154" s="159">
        <f t="shared" si="39"/>
        <v>27</v>
      </c>
      <c r="AR154" s="159">
        <f t="shared" si="40"/>
        <v>125</v>
      </c>
      <c r="AS154" s="159">
        <f t="shared" si="41"/>
        <v>41.666666666666664</v>
      </c>
      <c r="AT154" s="159">
        <f t="shared" si="41"/>
        <v>54.166666666666664</v>
      </c>
      <c r="AU154" s="159">
        <f t="shared" si="41"/>
        <v>208.33333333333334</v>
      </c>
      <c r="AV154" s="159">
        <f t="shared" si="42"/>
        <v>0</v>
      </c>
      <c r="AW154" s="159">
        <f t="shared" si="43"/>
        <v>8.3333333333333339</v>
      </c>
      <c r="AX154" s="159">
        <f t="shared" si="43"/>
        <v>55.555555555555557</v>
      </c>
      <c r="AY154" s="164">
        <f t="shared" si="44"/>
        <v>2104.4305555555557</v>
      </c>
    </row>
    <row r="155" spans="3:51" ht="15.75" x14ac:dyDescent="0.25">
      <c r="C155" s="1" t="s">
        <v>950</v>
      </c>
      <c r="D155" s="1"/>
      <c r="E155" s="1" t="s">
        <v>961</v>
      </c>
      <c r="F155" s="1" t="s">
        <v>725</v>
      </c>
      <c r="G155" s="1" t="s">
        <v>1118</v>
      </c>
      <c r="H155" s="1">
        <v>6</v>
      </c>
      <c r="I155" s="159">
        <v>7400</v>
      </c>
      <c r="J155" s="159">
        <v>1233.3333333333333</v>
      </c>
      <c r="K155" s="159">
        <v>3000</v>
      </c>
      <c r="L155" s="159">
        <v>475</v>
      </c>
      <c r="M155" s="159">
        <v>200</v>
      </c>
      <c r="N155" s="159">
        <v>0</v>
      </c>
      <c r="O155" s="159">
        <v>0</v>
      </c>
      <c r="P155" s="159">
        <v>0</v>
      </c>
      <c r="Q155" s="159">
        <v>150</v>
      </c>
      <c r="R155" s="159">
        <v>0</v>
      </c>
      <c r="T155" s="1">
        <v>1</v>
      </c>
      <c r="U155" s="1">
        <v>0</v>
      </c>
      <c r="V155" s="1">
        <v>0.5</v>
      </c>
      <c r="X155" s="1">
        <v>0.02</v>
      </c>
      <c r="Z155" s="159">
        <f t="shared" si="30"/>
        <v>3000</v>
      </c>
      <c r="AA155" s="159">
        <f t="shared" si="31"/>
        <v>500</v>
      </c>
      <c r="AB155" s="159">
        <v>650</v>
      </c>
      <c r="AC155" s="159">
        <v>2500</v>
      </c>
      <c r="AE155" s="1">
        <v>0</v>
      </c>
      <c r="AG155" s="1">
        <v>300</v>
      </c>
      <c r="AH155" s="1">
        <v>2000</v>
      </c>
      <c r="AJ155" s="159">
        <f t="shared" si="32"/>
        <v>1233.3333333333333</v>
      </c>
      <c r="AK155" s="159">
        <f t="shared" si="33"/>
        <v>200</v>
      </c>
      <c r="AL155" s="159">
        <f t="shared" si="34"/>
        <v>0</v>
      </c>
      <c r="AM155" s="159">
        <f t="shared" si="35"/>
        <v>150</v>
      </c>
      <c r="AN155" s="159">
        <f t="shared" si="36"/>
        <v>51.388888888888886</v>
      </c>
      <c r="AO155" s="159">
        <f t="shared" si="37"/>
        <v>0</v>
      </c>
      <c r="AP155" s="159">
        <f t="shared" si="38"/>
        <v>25.694444444444443</v>
      </c>
      <c r="AQ155" s="159">
        <f t="shared" si="39"/>
        <v>24.666666666666664</v>
      </c>
      <c r="AR155" s="159">
        <f t="shared" si="40"/>
        <v>125</v>
      </c>
      <c r="AS155" s="159">
        <f t="shared" si="41"/>
        <v>41.666666666666664</v>
      </c>
      <c r="AT155" s="159">
        <f t="shared" si="41"/>
        <v>54.166666666666664</v>
      </c>
      <c r="AU155" s="159">
        <f t="shared" si="41"/>
        <v>208.33333333333334</v>
      </c>
      <c r="AV155" s="159">
        <f t="shared" si="42"/>
        <v>0</v>
      </c>
      <c r="AW155" s="159">
        <f t="shared" si="43"/>
        <v>8.3333333333333339</v>
      </c>
      <c r="AX155" s="159">
        <f t="shared" si="43"/>
        <v>55.555555555555557</v>
      </c>
      <c r="AY155" s="164">
        <f t="shared" si="44"/>
        <v>2178.1388888888891</v>
      </c>
    </row>
    <row r="156" spans="3:51" ht="15.75" x14ac:dyDescent="0.25">
      <c r="C156" s="1" t="s">
        <v>950</v>
      </c>
      <c r="D156" s="1"/>
      <c r="E156" s="1" t="s">
        <v>951</v>
      </c>
      <c r="F156" s="1" t="s">
        <v>1107</v>
      </c>
      <c r="G156" s="1" t="s">
        <v>1119</v>
      </c>
      <c r="H156" s="1">
        <v>104</v>
      </c>
      <c r="I156" s="159">
        <v>317100</v>
      </c>
      <c r="J156" s="159">
        <v>3049.0384615384614</v>
      </c>
      <c r="K156" s="159">
        <v>3900</v>
      </c>
      <c r="L156" s="159">
        <v>3000</v>
      </c>
      <c r="M156" s="159">
        <v>400</v>
      </c>
      <c r="N156" s="159">
        <v>0</v>
      </c>
      <c r="O156" s="159">
        <v>0</v>
      </c>
      <c r="P156" s="159">
        <v>0</v>
      </c>
      <c r="Q156" s="159">
        <v>0</v>
      </c>
      <c r="R156" s="159">
        <v>0</v>
      </c>
      <c r="T156" s="1">
        <v>1</v>
      </c>
      <c r="U156" s="1">
        <v>0</v>
      </c>
      <c r="V156" s="1">
        <v>0.5</v>
      </c>
      <c r="X156" s="1">
        <v>0.02</v>
      </c>
      <c r="Z156" s="159">
        <f t="shared" si="30"/>
        <v>3000</v>
      </c>
      <c r="AA156" s="159">
        <f t="shared" si="31"/>
        <v>500</v>
      </c>
      <c r="AB156" s="159">
        <v>650</v>
      </c>
      <c r="AC156" s="159">
        <v>2500</v>
      </c>
      <c r="AE156" s="1">
        <v>0</v>
      </c>
      <c r="AG156" s="1">
        <v>300</v>
      </c>
      <c r="AH156" s="1">
        <v>2000</v>
      </c>
      <c r="AJ156" s="159">
        <f t="shared" si="32"/>
        <v>3049.0384615384614</v>
      </c>
      <c r="AK156" s="159">
        <f t="shared" si="33"/>
        <v>400</v>
      </c>
      <c r="AL156" s="159">
        <f t="shared" si="34"/>
        <v>0</v>
      </c>
      <c r="AM156" s="159">
        <f t="shared" si="35"/>
        <v>0</v>
      </c>
      <c r="AN156" s="159">
        <f t="shared" si="36"/>
        <v>127.04326923076923</v>
      </c>
      <c r="AO156" s="159">
        <f t="shared" si="37"/>
        <v>0</v>
      </c>
      <c r="AP156" s="159">
        <f t="shared" si="38"/>
        <v>63.521634615384613</v>
      </c>
      <c r="AQ156" s="159">
        <f t="shared" si="39"/>
        <v>60.980769230769226</v>
      </c>
      <c r="AR156" s="159">
        <f t="shared" si="40"/>
        <v>125</v>
      </c>
      <c r="AS156" s="159">
        <f t="shared" si="41"/>
        <v>41.666666666666664</v>
      </c>
      <c r="AT156" s="159">
        <f t="shared" si="41"/>
        <v>54.166666666666664</v>
      </c>
      <c r="AU156" s="159">
        <f t="shared" si="41"/>
        <v>208.33333333333334</v>
      </c>
      <c r="AV156" s="159">
        <f t="shared" si="42"/>
        <v>0</v>
      </c>
      <c r="AW156" s="159">
        <f t="shared" si="43"/>
        <v>8.3333333333333339</v>
      </c>
      <c r="AX156" s="159">
        <f t="shared" si="43"/>
        <v>55.555555555555557</v>
      </c>
      <c r="AY156" s="164">
        <f t="shared" si="44"/>
        <v>4193.6396901709395</v>
      </c>
    </row>
    <row r="157" spans="3:51" ht="15.75" x14ac:dyDescent="0.25">
      <c r="C157" s="1" t="s">
        <v>950</v>
      </c>
      <c r="D157" s="1"/>
      <c r="E157" s="1" t="s">
        <v>9</v>
      </c>
      <c r="F157" s="1" t="s">
        <v>1120</v>
      </c>
      <c r="G157" s="1" t="s">
        <v>543</v>
      </c>
      <c r="H157" s="1">
        <v>289</v>
      </c>
      <c r="I157" s="159">
        <v>298553</v>
      </c>
      <c r="J157" s="159">
        <v>1033.0553633217994</v>
      </c>
      <c r="K157" s="159">
        <v>1300</v>
      </c>
      <c r="L157" s="159">
        <v>580</v>
      </c>
      <c r="M157" s="159">
        <v>0</v>
      </c>
      <c r="N157" s="159">
        <v>0</v>
      </c>
      <c r="O157" s="159">
        <v>0</v>
      </c>
      <c r="P157" s="159">
        <v>0</v>
      </c>
      <c r="Q157" s="159">
        <v>200</v>
      </c>
      <c r="R157" s="159">
        <v>150</v>
      </c>
      <c r="T157" s="1">
        <v>1</v>
      </c>
      <c r="U157" s="1">
        <v>0</v>
      </c>
      <c r="V157" s="1">
        <v>0.5</v>
      </c>
      <c r="X157" s="1">
        <v>0.02</v>
      </c>
      <c r="Z157" s="159">
        <f t="shared" si="30"/>
        <v>3000</v>
      </c>
      <c r="AA157" s="159">
        <f t="shared" si="31"/>
        <v>500</v>
      </c>
      <c r="AB157" s="159">
        <v>650</v>
      </c>
      <c r="AC157" s="159">
        <v>2500</v>
      </c>
      <c r="AE157" s="1">
        <v>0</v>
      </c>
      <c r="AG157" s="1">
        <v>300</v>
      </c>
      <c r="AH157" s="1">
        <v>2000</v>
      </c>
      <c r="AJ157" s="159">
        <f t="shared" si="32"/>
        <v>1033.0553633217994</v>
      </c>
      <c r="AK157" s="159">
        <f t="shared" si="33"/>
        <v>0</v>
      </c>
      <c r="AL157" s="159">
        <f t="shared" si="34"/>
        <v>0</v>
      </c>
      <c r="AM157" s="159">
        <f t="shared" si="35"/>
        <v>200</v>
      </c>
      <c r="AN157" s="159">
        <f t="shared" si="36"/>
        <v>43.043973471741644</v>
      </c>
      <c r="AO157" s="159">
        <f t="shared" si="37"/>
        <v>0</v>
      </c>
      <c r="AP157" s="159">
        <f t="shared" si="38"/>
        <v>21.521986735870822</v>
      </c>
      <c r="AQ157" s="159">
        <f t="shared" si="39"/>
        <v>20.661107266435987</v>
      </c>
      <c r="AR157" s="159">
        <f t="shared" si="40"/>
        <v>125</v>
      </c>
      <c r="AS157" s="159">
        <f t="shared" si="41"/>
        <v>41.666666666666664</v>
      </c>
      <c r="AT157" s="159">
        <f t="shared" si="41"/>
        <v>54.166666666666664</v>
      </c>
      <c r="AU157" s="159">
        <f t="shared" si="41"/>
        <v>208.33333333333334</v>
      </c>
      <c r="AV157" s="159">
        <f t="shared" si="42"/>
        <v>0</v>
      </c>
      <c r="AW157" s="159">
        <f t="shared" si="43"/>
        <v>8.3333333333333339</v>
      </c>
      <c r="AX157" s="159">
        <f t="shared" si="43"/>
        <v>55.555555555555557</v>
      </c>
      <c r="AY157" s="164">
        <f t="shared" si="44"/>
        <v>1811.3379863514033</v>
      </c>
    </row>
    <row r="158" spans="3:51" ht="15.75" x14ac:dyDescent="0.25">
      <c r="C158" s="1" t="s">
        <v>950</v>
      </c>
      <c r="D158" s="1"/>
      <c r="E158" s="1" t="s">
        <v>961</v>
      </c>
      <c r="F158" s="1" t="s">
        <v>725</v>
      </c>
      <c r="G158" s="1" t="s">
        <v>1121</v>
      </c>
      <c r="H158" s="1">
        <v>66</v>
      </c>
      <c r="I158" s="159">
        <v>57259</v>
      </c>
      <c r="J158" s="159">
        <v>867.56060606060601</v>
      </c>
      <c r="K158" s="159">
        <v>1200</v>
      </c>
      <c r="L158" s="159">
        <v>550</v>
      </c>
      <c r="M158" s="159">
        <v>0</v>
      </c>
      <c r="N158" s="159">
        <v>0</v>
      </c>
      <c r="O158" s="159">
        <v>0</v>
      </c>
      <c r="P158" s="159">
        <v>0</v>
      </c>
      <c r="Q158" s="159">
        <v>200</v>
      </c>
      <c r="R158" s="159">
        <v>0</v>
      </c>
      <c r="T158" s="1">
        <v>1</v>
      </c>
      <c r="U158" s="1">
        <v>0</v>
      </c>
      <c r="V158" s="1">
        <v>0.5</v>
      </c>
      <c r="X158" s="1">
        <v>0.02</v>
      </c>
      <c r="Z158" s="159">
        <f t="shared" si="30"/>
        <v>3000</v>
      </c>
      <c r="AA158" s="159">
        <f t="shared" si="31"/>
        <v>500</v>
      </c>
      <c r="AB158" s="159">
        <v>650</v>
      </c>
      <c r="AC158" s="159">
        <v>2500</v>
      </c>
      <c r="AE158" s="1">
        <v>0</v>
      </c>
      <c r="AG158" s="1">
        <v>300</v>
      </c>
      <c r="AH158" s="1">
        <v>2000</v>
      </c>
      <c r="AJ158" s="159">
        <f t="shared" si="32"/>
        <v>867.56060606060601</v>
      </c>
      <c r="AK158" s="159">
        <f t="shared" si="33"/>
        <v>0</v>
      </c>
      <c r="AL158" s="159">
        <f t="shared" si="34"/>
        <v>0</v>
      </c>
      <c r="AM158" s="159">
        <f t="shared" si="35"/>
        <v>200</v>
      </c>
      <c r="AN158" s="159">
        <f t="shared" si="36"/>
        <v>36.148358585858581</v>
      </c>
      <c r="AO158" s="159">
        <f t="shared" si="37"/>
        <v>0</v>
      </c>
      <c r="AP158" s="159">
        <f t="shared" si="38"/>
        <v>18.074179292929291</v>
      </c>
      <c r="AQ158" s="159">
        <f t="shared" si="39"/>
        <v>17.351212121212122</v>
      </c>
      <c r="AR158" s="159">
        <f t="shared" si="40"/>
        <v>125</v>
      </c>
      <c r="AS158" s="159">
        <f t="shared" si="41"/>
        <v>41.666666666666664</v>
      </c>
      <c r="AT158" s="159">
        <f t="shared" si="41"/>
        <v>54.166666666666664</v>
      </c>
      <c r="AU158" s="159">
        <f t="shared" si="41"/>
        <v>208.33333333333334</v>
      </c>
      <c r="AV158" s="159">
        <f t="shared" si="42"/>
        <v>0</v>
      </c>
      <c r="AW158" s="159">
        <f t="shared" si="43"/>
        <v>8.3333333333333339</v>
      </c>
      <c r="AX158" s="159">
        <f t="shared" si="43"/>
        <v>55.555555555555557</v>
      </c>
      <c r="AY158" s="164">
        <f t="shared" si="44"/>
        <v>1632.1899116161617</v>
      </c>
    </row>
    <row r="159" spans="3:51" ht="15.75" x14ac:dyDescent="0.25">
      <c r="C159" s="1" t="s">
        <v>950</v>
      </c>
      <c r="D159" s="1"/>
      <c r="E159" s="1" t="s">
        <v>951</v>
      </c>
      <c r="F159" s="1" t="s">
        <v>1026</v>
      </c>
      <c r="G159" s="1" t="s">
        <v>1122</v>
      </c>
      <c r="H159" s="1">
        <v>2</v>
      </c>
      <c r="I159" s="159">
        <v>1250</v>
      </c>
      <c r="J159" s="159">
        <v>625</v>
      </c>
      <c r="K159" s="159">
        <v>650</v>
      </c>
      <c r="L159" s="159">
        <v>600</v>
      </c>
      <c r="M159" s="159">
        <v>0</v>
      </c>
      <c r="N159" s="159">
        <v>0</v>
      </c>
      <c r="O159" s="159">
        <v>0</v>
      </c>
      <c r="P159" s="159">
        <v>0</v>
      </c>
      <c r="Q159" s="159">
        <v>200</v>
      </c>
      <c r="R159" s="159">
        <v>200</v>
      </c>
      <c r="T159" s="1">
        <v>1</v>
      </c>
      <c r="U159" s="1">
        <v>0</v>
      </c>
      <c r="V159" s="1">
        <v>0.5</v>
      </c>
      <c r="X159" s="1">
        <v>0.02</v>
      </c>
      <c r="Z159" s="159">
        <f t="shared" si="30"/>
        <v>3000</v>
      </c>
      <c r="AA159" s="159">
        <f t="shared" si="31"/>
        <v>500</v>
      </c>
      <c r="AB159" s="159">
        <v>650</v>
      </c>
      <c r="AC159" s="159">
        <v>2500</v>
      </c>
      <c r="AE159" s="1">
        <v>0</v>
      </c>
      <c r="AG159" s="1">
        <v>300</v>
      </c>
      <c r="AH159" s="1">
        <v>2000</v>
      </c>
      <c r="AJ159" s="159">
        <f t="shared" si="32"/>
        <v>625</v>
      </c>
      <c r="AK159" s="159">
        <f t="shared" si="33"/>
        <v>0</v>
      </c>
      <c r="AL159" s="159">
        <f t="shared" si="34"/>
        <v>0</v>
      </c>
      <c r="AM159" s="159">
        <f t="shared" si="35"/>
        <v>200</v>
      </c>
      <c r="AN159" s="159">
        <f t="shared" si="36"/>
        <v>26.041666666666668</v>
      </c>
      <c r="AO159" s="159">
        <f t="shared" si="37"/>
        <v>0</v>
      </c>
      <c r="AP159" s="159">
        <f t="shared" si="38"/>
        <v>13.020833333333334</v>
      </c>
      <c r="AQ159" s="159">
        <f t="shared" si="39"/>
        <v>12.5</v>
      </c>
      <c r="AR159" s="159">
        <f t="shared" si="40"/>
        <v>125</v>
      </c>
      <c r="AS159" s="159">
        <f t="shared" si="41"/>
        <v>41.666666666666664</v>
      </c>
      <c r="AT159" s="159">
        <f t="shared" si="41"/>
        <v>54.166666666666664</v>
      </c>
      <c r="AU159" s="159">
        <f t="shared" si="41"/>
        <v>208.33333333333334</v>
      </c>
      <c r="AV159" s="159">
        <f t="shared" si="42"/>
        <v>0</v>
      </c>
      <c r="AW159" s="159">
        <f t="shared" si="43"/>
        <v>8.3333333333333339</v>
      </c>
      <c r="AX159" s="159">
        <f t="shared" si="43"/>
        <v>55.555555555555557</v>
      </c>
      <c r="AY159" s="164">
        <f t="shared" si="44"/>
        <v>1369.6180555555557</v>
      </c>
    </row>
    <row r="160" spans="3:51" ht="15.75" x14ac:dyDescent="0.25">
      <c r="C160" s="1" t="s">
        <v>950</v>
      </c>
      <c r="D160" s="1"/>
      <c r="E160" s="1" t="s">
        <v>961</v>
      </c>
      <c r="F160" s="1" t="s">
        <v>1048</v>
      </c>
      <c r="G160" s="1" t="s">
        <v>551</v>
      </c>
      <c r="H160" s="1">
        <v>128</v>
      </c>
      <c r="I160" s="159">
        <v>142916</v>
      </c>
      <c r="J160" s="159">
        <v>1116.53125</v>
      </c>
      <c r="K160" s="159">
        <v>4500</v>
      </c>
      <c r="L160" s="159">
        <v>650</v>
      </c>
      <c r="M160" s="159">
        <v>300</v>
      </c>
      <c r="N160" s="159">
        <v>0</v>
      </c>
      <c r="O160" s="159">
        <v>3</v>
      </c>
      <c r="P160" s="159">
        <v>3</v>
      </c>
      <c r="Q160" s="159">
        <v>250</v>
      </c>
      <c r="R160" s="159">
        <v>0</v>
      </c>
      <c r="T160" s="1">
        <v>1</v>
      </c>
      <c r="U160" s="1">
        <v>0</v>
      </c>
      <c r="V160" s="1">
        <v>0.5</v>
      </c>
      <c r="X160" s="1">
        <v>0.02</v>
      </c>
      <c r="Z160" s="159">
        <f t="shared" si="30"/>
        <v>3000</v>
      </c>
      <c r="AA160" s="159">
        <f t="shared" si="31"/>
        <v>500</v>
      </c>
      <c r="AB160" s="159">
        <v>650</v>
      </c>
      <c r="AC160" s="159">
        <v>2500</v>
      </c>
      <c r="AE160" s="1">
        <v>0</v>
      </c>
      <c r="AG160" s="1">
        <v>300</v>
      </c>
      <c r="AH160" s="1">
        <v>2000</v>
      </c>
      <c r="AJ160" s="159">
        <f t="shared" si="32"/>
        <v>1116.53125</v>
      </c>
      <c r="AK160" s="159">
        <f t="shared" si="33"/>
        <v>300</v>
      </c>
      <c r="AL160" s="159">
        <f t="shared" si="34"/>
        <v>279.1328125</v>
      </c>
      <c r="AM160" s="159">
        <f t="shared" si="35"/>
        <v>250</v>
      </c>
      <c r="AN160" s="159">
        <f t="shared" si="36"/>
        <v>46.522135416666664</v>
      </c>
      <c r="AO160" s="159">
        <f t="shared" si="37"/>
        <v>0</v>
      </c>
      <c r="AP160" s="159">
        <f t="shared" si="38"/>
        <v>23.261067708333332</v>
      </c>
      <c r="AQ160" s="159">
        <f t="shared" si="39"/>
        <v>27.913281250000001</v>
      </c>
      <c r="AR160" s="159">
        <f t="shared" si="40"/>
        <v>125</v>
      </c>
      <c r="AS160" s="159">
        <f t="shared" si="41"/>
        <v>41.666666666666664</v>
      </c>
      <c r="AT160" s="159">
        <f t="shared" si="41"/>
        <v>54.166666666666664</v>
      </c>
      <c r="AU160" s="159">
        <f t="shared" si="41"/>
        <v>208.33333333333334</v>
      </c>
      <c r="AV160" s="159">
        <f t="shared" si="42"/>
        <v>0</v>
      </c>
      <c r="AW160" s="159">
        <f t="shared" si="43"/>
        <v>8.3333333333333339</v>
      </c>
      <c r="AX160" s="159">
        <f t="shared" si="43"/>
        <v>55.555555555555557</v>
      </c>
      <c r="AY160" s="164">
        <f t="shared" si="44"/>
        <v>2536.4161024305558</v>
      </c>
    </row>
    <row r="162" spans="9:14" x14ac:dyDescent="0.25">
      <c r="I162" s="167"/>
      <c r="J162" s="167"/>
      <c r="K162" s="167"/>
      <c r="L162" s="167"/>
      <c r="M162" s="167"/>
      <c r="N162" s="167"/>
    </row>
    <row r="163" spans="9:14" x14ac:dyDescent="0.25">
      <c r="I163" s="167"/>
      <c r="J163" s="167"/>
    </row>
    <row r="188" spans="10:11" x14ac:dyDescent="0.25">
      <c r="J188">
        <f>4/6*1200</f>
        <v>800</v>
      </c>
      <c r="K188">
        <f>700/1200</f>
        <v>0.58333333333333337</v>
      </c>
    </row>
    <row r="189" spans="10:11" x14ac:dyDescent="0.25">
      <c r="K189">
        <f>800/1200</f>
        <v>0.66666666666666663</v>
      </c>
    </row>
  </sheetData>
  <autoFilter ref="C4:AY160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146"/>
  <sheetViews>
    <sheetView topLeftCell="B1" zoomScale="80" zoomScaleNormal="80" workbookViewId="0">
      <selection activeCell="E48" sqref="E48"/>
    </sheetView>
  </sheetViews>
  <sheetFormatPr defaultRowHeight="15" x14ac:dyDescent="0.25"/>
  <cols>
    <col min="1" max="1" width="4" customWidth="1"/>
    <col min="2" max="2" width="2.42578125" customWidth="1"/>
    <col min="3" max="3" width="22.42578125" customWidth="1"/>
    <col min="4" max="4" width="14.5703125" customWidth="1"/>
    <col min="5" max="5" width="74.42578125" customWidth="1"/>
    <col min="6" max="6" width="8.7109375" style="7" bestFit="1" customWidth="1"/>
    <col min="7" max="7" width="20.85546875" customWidth="1"/>
    <col min="8" max="8" width="14.28515625" style="7" bestFit="1" customWidth="1"/>
    <col min="9" max="9" width="14.28515625" style="7" customWidth="1"/>
    <col min="10" max="10" width="46.5703125" customWidth="1"/>
  </cols>
  <sheetData>
    <row r="2" spans="1:10" s="141" customFormat="1" ht="28.5" x14ac:dyDescent="0.45">
      <c r="C2" s="184" t="s">
        <v>1136</v>
      </c>
      <c r="D2" s="141">
        <v>1</v>
      </c>
      <c r="E2" s="141">
        <v>2</v>
      </c>
      <c r="F2" s="172" t="s">
        <v>1128</v>
      </c>
      <c r="G2" s="141">
        <v>4</v>
      </c>
      <c r="H2" s="172" t="s">
        <v>1129</v>
      </c>
      <c r="I2" s="172" t="s">
        <v>1130</v>
      </c>
      <c r="J2" s="141">
        <v>7</v>
      </c>
    </row>
    <row r="3" spans="1:10" s="137" customFormat="1" ht="26.25" customHeight="1" x14ac:dyDescent="0.25">
      <c r="C3" s="136" t="s">
        <v>905</v>
      </c>
      <c r="D3" s="138" t="s">
        <v>15</v>
      </c>
      <c r="E3" s="138" t="s">
        <v>16</v>
      </c>
      <c r="F3" s="139" t="s">
        <v>910</v>
      </c>
      <c r="G3" s="138" t="s">
        <v>909</v>
      </c>
      <c r="H3" s="138" t="s">
        <v>308</v>
      </c>
      <c r="I3" s="138" t="s">
        <v>401</v>
      </c>
      <c r="J3" s="138" t="s">
        <v>309</v>
      </c>
    </row>
    <row r="4" spans="1:10" x14ac:dyDescent="0.25">
      <c r="A4">
        <f>COUNTIF($D$4:$D$146,D4)</f>
        <v>1</v>
      </c>
      <c r="B4" s="141" t="s">
        <v>18</v>
      </c>
      <c r="C4" s="8" t="s">
        <v>54</v>
      </c>
      <c r="D4" s="131" t="str">
        <f t="shared" ref="D4:D35" si="0">H4&amp;"-"&amp;I4</f>
        <v>02300-01</v>
      </c>
      <c r="E4" s="1" t="s">
        <v>18</v>
      </c>
      <c r="F4" s="10" t="s">
        <v>217</v>
      </c>
      <c r="G4" s="1" t="s">
        <v>0</v>
      </c>
      <c r="H4" s="1" t="s">
        <v>310</v>
      </c>
      <c r="I4" s="1" t="s">
        <v>402</v>
      </c>
      <c r="J4" s="1" t="s">
        <v>311</v>
      </c>
    </row>
    <row r="5" spans="1:10" x14ac:dyDescent="0.25">
      <c r="A5">
        <f t="shared" ref="A5:A68" si="1">COUNTIF($D$4:$D$146,D5)</f>
        <v>1</v>
      </c>
      <c r="B5" s="141" t="s">
        <v>19</v>
      </c>
      <c r="C5" s="8" t="s">
        <v>52</v>
      </c>
      <c r="D5" s="131" t="str">
        <f t="shared" si="0"/>
        <v>02300-02</v>
      </c>
      <c r="E5" s="1" t="s">
        <v>19</v>
      </c>
      <c r="F5" s="2" t="s">
        <v>217</v>
      </c>
      <c r="G5" s="1" t="s">
        <v>0</v>
      </c>
      <c r="H5" s="1" t="s">
        <v>310</v>
      </c>
      <c r="I5" s="1" t="s">
        <v>217</v>
      </c>
      <c r="J5" s="1" t="s">
        <v>311</v>
      </c>
    </row>
    <row r="6" spans="1:10" x14ac:dyDescent="0.25">
      <c r="A6">
        <f t="shared" si="1"/>
        <v>1</v>
      </c>
      <c r="B6" s="141" t="s">
        <v>20</v>
      </c>
      <c r="C6" s="8" t="s">
        <v>55</v>
      </c>
      <c r="D6" s="131" t="str">
        <f t="shared" si="0"/>
        <v>02300-03</v>
      </c>
      <c r="E6" s="1" t="s">
        <v>20</v>
      </c>
      <c r="F6" s="2" t="s">
        <v>217</v>
      </c>
      <c r="G6" s="1" t="s">
        <v>0</v>
      </c>
      <c r="H6" s="1" t="s">
        <v>310</v>
      </c>
      <c r="I6" s="1" t="s">
        <v>218</v>
      </c>
      <c r="J6" s="1" t="s">
        <v>311</v>
      </c>
    </row>
    <row r="7" spans="1:10" x14ac:dyDescent="0.25">
      <c r="A7">
        <f t="shared" si="1"/>
        <v>1</v>
      </c>
      <c r="B7" s="141" t="s">
        <v>21</v>
      </c>
      <c r="C7" s="8" t="s">
        <v>57</v>
      </c>
      <c r="D7" s="131" t="str">
        <f t="shared" si="0"/>
        <v>02300-04</v>
      </c>
      <c r="E7" s="1" t="s">
        <v>21</v>
      </c>
      <c r="F7" s="2" t="s">
        <v>217</v>
      </c>
      <c r="G7" s="1" t="s">
        <v>0</v>
      </c>
      <c r="H7" s="1" t="s">
        <v>310</v>
      </c>
      <c r="I7" s="1" t="s">
        <v>219</v>
      </c>
      <c r="J7" s="1" t="s">
        <v>311</v>
      </c>
    </row>
    <row r="8" spans="1:10" x14ac:dyDescent="0.25">
      <c r="A8">
        <f t="shared" si="1"/>
        <v>1</v>
      </c>
      <c r="B8" s="141" t="s">
        <v>22</v>
      </c>
      <c r="C8" s="8" t="s">
        <v>59</v>
      </c>
      <c r="D8" s="131" t="str">
        <f t="shared" si="0"/>
        <v>02300-05</v>
      </c>
      <c r="E8" s="1" t="s">
        <v>22</v>
      </c>
      <c r="F8" s="2" t="s">
        <v>217</v>
      </c>
      <c r="G8" s="1" t="s">
        <v>0</v>
      </c>
      <c r="H8" s="1" t="s">
        <v>310</v>
      </c>
      <c r="I8" s="1" t="s">
        <v>220</v>
      </c>
      <c r="J8" s="1" t="s">
        <v>311</v>
      </c>
    </row>
    <row r="9" spans="1:10" x14ac:dyDescent="0.25">
      <c r="A9">
        <f t="shared" si="1"/>
        <v>1</v>
      </c>
      <c r="B9" s="141" t="s">
        <v>23</v>
      </c>
      <c r="C9" s="8" t="s">
        <v>61</v>
      </c>
      <c r="D9" s="131" t="str">
        <f t="shared" si="0"/>
        <v>02300-06</v>
      </c>
      <c r="E9" s="1" t="s">
        <v>23</v>
      </c>
      <c r="F9" s="2" t="s">
        <v>217</v>
      </c>
      <c r="G9" s="1" t="s">
        <v>0</v>
      </c>
      <c r="H9" s="1" t="s">
        <v>310</v>
      </c>
      <c r="I9" s="1" t="s">
        <v>221</v>
      </c>
      <c r="J9" s="1" t="s">
        <v>311</v>
      </c>
    </row>
    <row r="10" spans="1:10" x14ac:dyDescent="0.25">
      <c r="A10">
        <f t="shared" si="1"/>
        <v>1</v>
      </c>
      <c r="B10" s="141" t="s">
        <v>24</v>
      </c>
      <c r="C10" s="8" t="s">
        <v>71</v>
      </c>
      <c r="D10" s="131" t="str">
        <f t="shared" si="0"/>
        <v>02100-01</v>
      </c>
      <c r="E10" s="1" t="s">
        <v>24</v>
      </c>
      <c r="F10" s="2" t="s">
        <v>217</v>
      </c>
      <c r="G10" s="1" t="s">
        <v>0</v>
      </c>
      <c r="H10" s="1" t="s">
        <v>313</v>
      </c>
      <c r="I10" s="1" t="s">
        <v>402</v>
      </c>
      <c r="J10" s="1" t="s">
        <v>314</v>
      </c>
    </row>
    <row r="11" spans="1:10" x14ac:dyDescent="0.25">
      <c r="A11">
        <f t="shared" si="1"/>
        <v>1</v>
      </c>
      <c r="B11" s="141" t="s">
        <v>25</v>
      </c>
      <c r="C11" s="8" t="s">
        <v>73</v>
      </c>
      <c r="D11" s="131" t="str">
        <f t="shared" si="0"/>
        <v>02300-07</v>
      </c>
      <c r="E11" s="1" t="s">
        <v>25</v>
      </c>
      <c r="F11" s="2" t="s">
        <v>217</v>
      </c>
      <c r="G11" s="1" t="s">
        <v>0</v>
      </c>
      <c r="H11" s="1" t="s">
        <v>310</v>
      </c>
      <c r="I11" s="1" t="s">
        <v>222</v>
      </c>
      <c r="J11" s="1" t="s">
        <v>311</v>
      </c>
    </row>
    <row r="12" spans="1:10" x14ac:dyDescent="0.25">
      <c r="A12">
        <f t="shared" si="1"/>
        <v>1</v>
      </c>
      <c r="B12" s="141" t="s">
        <v>26</v>
      </c>
      <c r="C12" s="8" t="s">
        <v>63</v>
      </c>
      <c r="D12" s="131" t="str">
        <f t="shared" si="0"/>
        <v>02300-08</v>
      </c>
      <c r="E12" s="1" t="s">
        <v>26</v>
      </c>
      <c r="F12" s="2" t="s">
        <v>217</v>
      </c>
      <c r="G12" s="1" t="s">
        <v>0</v>
      </c>
      <c r="H12" s="1" t="s">
        <v>310</v>
      </c>
      <c r="I12" s="1" t="s">
        <v>223</v>
      </c>
      <c r="J12" s="1" t="s">
        <v>311</v>
      </c>
    </row>
    <row r="13" spans="1:10" x14ac:dyDescent="0.25">
      <c r="A13">
        <f t="shared" si="1"/>
        <v>1</v>
      </c>
      <c r="B13" s="141" t="s">
        <v>27</v>
      </c>
      <c r="C13" s="8" t="s">
        <v>65</v>
      </c>
      <c r="D13" s="131" t="str">
        <f t="shared" si="0"/>
        <v>02300-09</v>
      </c>
      <c r="E13" s="1" t="s">
        <v>27</v>
      </c>
      <c r="F13" s="2" t="s">
        <v>217</v>
      </c>
      <c r="G13" s="1" t="s">
        <v>0</v>
      </c>
      <c r="H13" s="1" t="s">
        <v>310</v>
      </c>
      <c r="I13" s="1" t="s">
        <v>224</v>
      </c>
      <c r="J13" s="1" t="s">
        <v>311</v>
      </c>
    </row>
    <row r="14" spans="1:10" x14ac:dyDescent="0.25">
      <c r="A14">
        <f t="shared" si="1"/>
        <v>1</v>
      </c>
      <c r="B14" s="141" t="s">
        <v>28</v>
      </c>
      <c r="C14" s="8" t="s">
        <v>66</v>
      </c>
      <c r="D14" s="131" t="str">
        <f t="shared" si="0"/>
        <v>02300-10</v>
      </c>
      <c r="E14" s="1" t="s">
        <v>28</v>
      </c>
      <c r="F14" s="2" t="s">
        <v>217</v>
      </c>
      <c r="G14" s="1" t="s">
        <v>0</v>
      </c>
      <c r="H14" s="1" t="s">
        <v>310</v>
      </c>
      <c r="I14" s="1" t="s">
        <v>225</v>
      </c>
      <c r="J14" s="1" t="s">
        <v>311</v>
      </c>
    </row>
    <row r="15" spans="1:10" x14ac:dyDescent="0.25">
      <c r="A15">
        <f t="shared" si="1"/>
        <v>1</v>
      </c>
      <c r="B15" s="141" t="s">
        <v>29</v>
      </c>
      <c r="C15" s="8" t="s">
        <v>68</v>
      </c>
      <c r="D15" s="131" t="str">
        <f t="shared" si="0"/>
        <v>02300-11</v>
      </c>
      <c r="E15" s="1" t="s">
        <v>29</v>
      </c>
      <c r="F15" s="2" t="s">
        <v>217</v>
      </c>
      <c r="G15" s="1" t="s">
        <v>0</v>
      </c>
      <c r="H15" s="1" t="s">
        <v>310</v>
      </c>
      <c r="I15" s="1" t="s">
        <v>264</v>
      </c>
      <c r="J15" s="1" t="s">
        <v>311</v>
      </c>
    </row>
    <row r="16" spans="1:10" x14ac:dyDescent="0.25">
      <c r="A16">
        <f t="shared" si="1"/>
        <v>1</v>
      </c>
      <c r="B16" s="141" t="s">
        <v>30</v>
      </c>
      <c r="C16" s="8" t="s">
        <v>70</v>
      </c>
      <c r="D16" s="131" t="str">
        <f t="shared" si="0"/>
        <v>02300-12</v>
      </c>
      <c r="E16" s="1" t="s">
        <v>30</v>
      </c>
      <c r="F16" s="2" t="s">
        <v>217</v>
      </c>
      <c r="G16" s="1" t="s">
        <v>0</v>
      </c>
      <c r="H16" s="1" t="s">
        <v>310</v>
      </c>
      <c r="I16" s="1" t="s">
        <v>226</v>
      </c>
      <c r="J16" s="1" t="s">
        <v>311</v>
      </c>
    </row>
    <row r="17" spans="1:10" x14ac:dyDescent="0.25">
      <c r="A17">
        <f t="shared" si="1"/>
        <v>1</v>
      </c>
      <c r="B17" s="141" t="s">
        <v>31</v>
      </c>
      <c r="C17" s="8" t="s">
        <v>229</v>
      </c>
      <c r="D17" s="131" t="str">
        <f t="shared" si="0"/>
        <v>02300-13</v>
      </c>
      <c r="E17" s="1" t="s">
        <v>31</v>
      </c>
      <c r="F17" s="2" t="s">
        <v>217</v>
      </c>
      <c r="G17" s="1" t="s">
        <v>0</v>
      </c>
      <c r="H17" s="1" t="s">
        <v>310</v>
      </c>
      <c r="I17" s="1" t="s">
        <v>265</v>
      </c>
      <c r="J17" s="1" t="s">
        <v>311</v>
      </c>
    </row>
    <row r="18" spans="1:10" x14ac:dyDescent="0.25">
      <c r="A18">
        <f t="shared" si="1"/>
        <v>1</v>
      </c>
      <c r="B18" s="141" t="s">
        <v>32</v>
      </c>
      <c r="C18" s="8" t="s">
        <v>230</v>
      </c>
      <c r="D18" s="131" t="str">
        <f t="shared" si="0"/>
        <v>02300-14</v>
      </c>
      <c r="E18" s="1" t="s">
        <v>32</v>
      </c>
      <c r="F18" s="2" t="s">
        <v>217</v>
      </c>
      <c r="G18" s="1" t="s">
        <v>0</v>
      </c>
      <c r="H18" s="1" t="s">
        <v>310</v>
      </c>
      <c r="I18" s="1" t="s">
        <v>227</v>
      </c>
      <c r="J18" s="1" t="s">
        <v>311</v>
      </c>
    </row>
    <row r="19" spans="1:10" x14ac:dyDescent="0.25">
      <c r="A19">
        <f t="shared" si="1"/>
        <v>1</v>
      </c>
      <c r="B19" s="141" t="s">
        <v>33</v>
      </c>
      <c r="C19" s="8" t="s">
        <v>231</v>
      </c>
      <c r="D19" s="131" t="str">
        <f t="shared" si="0"/>
        <v>02300-15</v>
      </c>
      <c r="E19" s="1" t="s">
        <v>33</v>
      </c>
      <c r="F19" s="2" t="s">
        <v>217</v>
      </c>
      <c r="G19" s="1" t="s">
        <v>0</v>
      </c>
      <c r="H19" s="1" t="s">
        <v>310</v>
      </c>
      <c r="I19" s="1" t="s">
        <v>278</v>
      </c>
      <c r="J19" s="1" t="s">
        <v>311</v>
      </c>
    </row>
    <row r="20" spans="1:10" x14ac:dyDescent="0.25">
      <c r="A20">
        <f t="shared" si="1"/>
        <v>1</v>
      </c>
      <c r="B20" s="141" t="s">
        <v>34</v>
      </c>
      <c r="C20" s="8" t="s">
        <v>232</v>
      </c>
      <c r="D20" s="131" t="str">
        <f t="shared" si="0"/>
        <v>02300-16</v>
      </c>
      <c r="E20" s="1" t="s">
        <v>34</v>
      </c>
      <c r="F20" s="2" t="s">
        <v>217</v>
      </c>
      <c r="G20" s="1" t="s">
        <v>0</v>
      </c>
      <c r="H20" s="1" t="s">
        <v>310</v>
      </c>
      <c r="I20" s="1" t="s">
        <v>279</v>
      </c>
      <c r="J20" s="1" t="s">
        <v>311</v>
      </c>
    </row>
    <row r="21" spans="1:10" x14ac:dyDescent="0.25">
      <c r="A21">
        <f t="shared" si="1"/>
        <v>1</v>
      </c>
      <c r="B21" s="141" t="s">
        <v>35</v>
      </c>
      <c r="C21" s="8" t="s">
        <v>233</v>
      </c>
      <c r="D21" s="131" t="str">
        <f t="shared" si="0"/>
        <v>02300-17</v>
      </c>
      <c r="E21" s="1" t="s">
        <v>35</v>
      </c>
      <c r="F21" s="2" t="s">
        <v>217</v>
      </c>
      <c r="G21" s="1" t="s">
        <v>0</v>
      </c>
      <c r="H21" s="1" t="s">
        <v>310</v>
      </c>
      <c r="I21" s="1" t="s">
        <v>403</v>
      </c>
      <c r="J21" s="1" t="s">
        <v>311</v>
      </c>
    </row>
    <row r="22" spans="1:10" x14ac:dyDescent="0.25">
      <c r="A22">
        <f t="shared" si="1"/>
        <v>1</v>
      </c>
      <c r="B22" s="141" t="s">
        <v>36</v>
      </c>
      <c r="C22" s="8" t="s">
        <v>234</v>
      </c>
      <c r="D22" s="131" t="str">
        <f t="shared" si="0"/>
        <v>02300-18</v>
      </c>
      <c r="E22" s="1" t="s">
        <v>36</v>
      </c>
      <c r="F22" s="2" t="s">
        <v>217</v>
      </c>
      <c r="G22" s="1" t="s">
        <v>0</v>
      </c>
      <c r="H22" s="1" t="s">
        <v>310</v>
      </c>
      <c r="I22" s="1" t="s">
        <v>404</v>
      </c>
      <c r="J22" s="1" t="s">
        <v>311</v>
      </c>
    </row>
    <row r="23" spans="1:10" x14ac:dyDescent="0.25">
      <c r="A23">
        <f t="shared" si="1"/>
        <v>1</v>
      </c>
      <c r="B23" s="141" t="s">
        <v>37</v>
      </c>
      <c r="C23" s="8" t="s">
        <v>235</v>
      </c>
      <c r="D23" s="131" t="str">
        <f t="shared" si="0"/>
        <v>02300-19</v>
      </c>
      <c r="E23" s="1" t="s">
        <v>37</v>
      </c>
      <c r="F23" s="2" t="s">
        <v>217</v>
      </c>
      <c r="G23" s="1" t="s">
        <v>0</v>
      </c>
      <c r="H23" s="1" t="s">
        <v>310</v>
      </c>
      <c r="I23" s="1" t="s">
        <v>405</v>
      </c>
      <c r="J23" s="1" t="s">
        <v>311</v>
      </c>
    </row>
    <row r="24" spans="1:10" x14ac:dyDescent="0.25">
      <c r="A24">
        <f t="shared" si="1"/>
        <v>1</v>
      </c>
      <c r="B24" s="141" t="s">
        <v>38</v>
      </c>
      <c r="C24" s="8" t="s">
        <v>236</v>
      </c>
      <c r="D24" s="131" t="str">
        <f t="shared" si="0"/>
        <v>02300-20</v>
      </c>
      <c r="E24" s="1" t="s">
        <v>38</v>
      </c>
      <c r="F24" s="2" t="s">
        <v>217</v>
      </c>
      <c r="G24" s="1" t="s">
        <v>0</v>
      </c>
      <c r="H24" s="1" t="s">
        <v>310</v>
      </c>
      <c r="I24" s="1" t="s">
        <v>406</v>
      </c>
      <c r="J24" s="1" t="s">
        <v>311</v>
      </c>
    </row>
    <row r="25" spans="1:10" x14ac:dyDescent="0.25">
      <c r="A25">
        <f t="shared" si="1"/>
        <v>1</v>
      </c>
      <c r="B25" s="141" t="s">
        <v>39</v>
      </c>
      <c r="C25" s="8" t="s">
        <v>237</v>
      </c>
      <c r="D25" s="131" t="str">
        <f t="shared" si="0"/>
        <v>02100-02</v>
      </c>
      <c r="E25" s="1" t="s">
        <v>39</v>
      </c>
      <c r="F25" s="2" t="s">
        <v>217</v>
      </c>
      <c r="G25" s="1" t="s">
        <v>0</v>
      </c>
      <c r="H25" s="1" t="s">
        <v>313</v>
      </c>
      <c r="I25" s="1" t="s">
        <v>217</v>
      </c>
      <c r="J25" s="1" t="s">
        <v>314</v>
      </c>
    </row>
    <row r="26" spans="1:10" x14ac:dyDescent="0.25">
      <c r="A26">
        <f t="shared" si="1"/>
        <v>1</v>
      </c>
      <c r="B26" s="141" t="s">
        <v>407</v>
      </c>
      <c r="C26" s="8" t="s">
        <v>238</v>
      </c>
      <c r="D26" s="131" t="str">
        <f t="shared" si="0"/>
        <v>02700-01</v>
      </c>
      <c r="E26" s="1" t="s">
        <v>407</v>
      </c>
      <c r="F26" s="2" t="s">
        <v>217</v>
      </c>
      <c r="G26" s="1" t="s">
        <v>0</v>
      </c>
      <c r="H26" s="1" t="s">
        <v>312</v>
      </c>
      <c r="I26" s="1" t="s">
        <v>402</v>
      </c>
      <c r="J26" s="1" t="s">
        <v>315</v>
      </c>
    </row>
    <row r="27" spans="1:10" x14ac:dyDescent="0.25">
      <c r="A27">
        <f t="shared" si="1"/>
        <v>1</v>
      </c>
      <c r="B27" s="141" t="s">
        <v>40</v>
      </c>
      <c r="C27" s="8" t="s">
        <v>239</v>
      </c>
      <c r="D27" s="131" t="str">
        <f t="shared" si="0"/>
        <v>02700-02</v>
      </c>
      <c r="E27" s="1" t="s">
        <v>40</v>
      </c>
      <c r="F27" s="2" t="s">
        <v>217</v>
      </c>
      <c r="G27" s="1" t="s">
        <v>0</v>
      </c>
      <c r="H27" s="1" t="s">
        <v>312</v>
      </c>
      <c r="I27" s="1" t="s">
        <v>217</v>
      </c>
      <c r="J27" s="1" t="s">
        <v>315</v>
      </c>
    </row>
    <row r="28" spans="1:10" x14ac:dyDescent="0.25">
      <c r="A28">
        <f t="shared" si="1"/>
        <v>1</v>
      </c>
      <c r="B28" s="141" t="s">
        <v>41</v>
      </c>
      <c r="C28" s="8" t="s">
        <v>240</v>
      </c>
      <c r="D28" s="131" t="str">
        <f t="shared" si="0"/>
        <v>02700-03</v>
      </c>
      <c r="E28" s="1" t="s">
        <v>41</v>
      </c>
      <c r="F28" s="2" t="s">
        <v>217</v>
      </c>
      <c r="G28" s="1" t="s">
        <v>0</v>
      </c>
      <c r="H28" s="1" t="s">
        <v>312</v>
      </c>
      <c r="I28" s="1" t="s">
        <v>218</v>
      </c>
      <c r="J28" s="1" t="s">
        <v>315</v>
      </c>
    </row>
    <row r="29" spans="1:10" x14ac:dyDescent="0.25">
      <c r="A29">
        <f t="shared" si="1"/>
        <v>1</v>
      </c>
      <c r="B29" s="141" t="s">
        <v>42</v>
      </c>
      <c r="C29" s="8" t="s">
        <v>241</v>
      </c>
      <c r="D29" s="131" t="str">
        <f t="shared" si="0"/>
        <v>02700-04</v>
      </c>
      <c r="E29" s="1" t="s">
        <v>42</v>
      </c>
      <c r="F29" s="2" t="s">
        <v>217</v>
      </c>
      <c r="G29" s="1" t="s">
        <v>0</v>
      </c>
      <c r="H29" s="1" t="s">
        <v>312</v>
      </c>
      <c r="I29" s="1" t="s">
        <v>219</v>
      </c>
      <c r="J29" s="1" t="s">
        <v>315</v>
      </c>
    </row>
    <row r="30" spans="1:10" x14ac:dyDescent="0.25">
      <c r="A30">
        <f t="shared" si="1"/>
        <v>1</v>
      </c>
      <c r="B30" s="141" t="s">
        <v>43</v>
      </c>
      <c r="C30" s="8" t="s">
        <v>242</v>
      </c>
      <c r="D30" s="131" t="str">
        <f t="shared" si="0"/>
        <v>02700-05</v>
      </c>
      <c r="E30" s="1" t="s">
        <v>43</v>
      </c>
      <c r="F30" s="2" t="s">
        <v>217</v>
      </c>
      <c r="G30" s="1" t="s">
        <v>0</v>
      </c>
      <c r="H30" s="1" t="s">
        <v>312</v>
      </c>
      <c r="I30" s="1" t="s">
        <v>220</v>
      </c>
      <c r="J30" s="1" t="s">
        <v>315</v>
      </c>
    </row>
    <row r="31" spans="1:10" x14ac:dyDescent="0.25">
      <c r="A31">
        <f t="shared" si="1"/>
        <v>1</v>
      </c>
      <c r="B31" s="141" t="s">
        <v>44</v>
      </c>
      <c r="C31" s="8" t="s">
        <v>243</v>
      </c>
      <c r="D31" s="131" t="str">
        <f t="shared" si="0"/>
        <v>02700-06</v>
      </c>
      <c r="E31" s="1" t="s">
        <v>44</v>
      </c>
      <c r="F31" s="2" t="s">
        <v>217</v>
      </c>
      <c r="G31" s="1" t="s">
        <v>0</v>
      </c>
      <c r="H31" s="1" t="s">
        <v>312</v>
      </c>
      <c r="I31" s="1" t="s">
        <v>221</v>
      </c>
      <c r="J31" s="1" t="s">
        <v>315</v>
      </c>
    </row>
    <row r="32" spans="1:10" x14ac:dyDescent="0.25">
      <c r="A32">
        <f t="shared" si="1"/>
        <v>1</v>
      </c>
      <c r="B32" s="141" t="s">
        <v>45</v>
      </c>
      <c r="C32" s="8" t="s">
        <v>244</v>
      </c>
      <c r="D32" s="131" t="str">
        <f t="shared" si="0"/>
        <v>02700-07</v>
      </c>
      <c r="E32" s="1" t="s">
        <v>45</v>
      </c>
      <c r="F32" s="2" t="s">
        <v>217</v>
      </c>
      <c r="G32" s="1" t="s">
        <v>0</v>
      </c>
      <c r="H32" s="1" t="s">
        <v>312</v>
      </c>
      <c r="I32" s="1" t="s">
        <v>222</v>
      </c>
      <c r="J32" s="1" t="s">
        <v>315</v>
      </c>
    </row>
    <row r="33" spans="1:10" x14ac:dyDescent="0.25">
      <c r="A33">
        <f t="shared" si="1"/>
        <v>1</v>
      </c>
      <c r="B33" s="141" t="s">
        <v>46</v>
      </c>
      <c r="C33" s="8" t="s">
        <v>245</v>
      </c>
      <c r="D33" s="131" t="str">
        <f t="shared" si="0"/>
        <v>02700-08</v>
      </c>
      <c r="E33" s="1" t="s">
        <v>46</v>
      </c>
      <c r="F33" s="2" t="s">
        <v>217</v>
      </c>
      <c r="G33" s="1" t="s">
        <v>0</v>
      </c>
      <c r="H33" s="1" t="s">
        <v>312</v>
      </c>
      <c r="I33" s="1" t="s">
        <v>223</v>
      </c>
      <c r="J33" s="1" t="s">
        <v>315</v>
      </c>
    </row>
    <row r="34" spans="1:10" x14ac:dyDescent="0.25">
      <c r="A34">
        <f t="shared" si="1"/>
        <v>1</v>
      </c>
      <c r="B34" s="141" t="s">
        <v>47</v>
      </c>
      <c r="C34" s="8" t="s">
        <v>246</v>
      </c>
      <c r="D34" s="131" t="str">
        <f t="shared" si="0"/>
        <v>02700-09</v>
      </c>
      <c r="E34" s="1" t="s">
        <v>47</v>
      </c>
      <c r="F34" s="2" t="s">
        <v>217</v>
      </c>
      <c r="G34" s="1" t="s">
        <v>0</v>
      </c>
      <c r="H34" s="1" t="s">
        <v>312</v>
      </c>
      <c r="I34" s="1" t="s">
        <v>224</v>
      </c>
      <c r="J34" s="1" t="s">
        <v>315</v>
      </c>
    </row>
    <row r="35" spans="1:10" x14ac:dyDescent="0.25">
      <c r="A35">
        <f t="shared" si="1"/>
        <v>1</v>
      </c>
      <c r="B35" s="141" t="s">
        <v>48</v>
      </c>
      <c r="C35" s="8" t="s">
        <v>247</v>
      </c>
      <c r="D35" s="131" t="str">
        <f t="shared" si="0"/>
        <v>09900-04</v>
      </c>
      <c r="E35" s="1" t="s">
        <v>48</v>
      </c>
      <c r="F35" s="2" t="s">
        <v>217</v>
      </c>
      <c r="G35" s="1" t="s">
        <v>0</v>
      </c>
      <c r="H35" s="2" t="s">
        <v>366</v>
      </c>
      <c r="I35" s="2" t="s">
        <v>219</v>
      </c>
      <c r="J35" s="1" t="s">
        <v>367</v>
      </c>
    </row>
    <row r="36" spans="1:10" x14ac:dyDescent="0.25">
      <c r="A36">
        <f t="shared" si="1"/>
        <v>1</v>
      </c>
      <c r="B36" s="141" t="s">
        <v>49</v>
      </c>
      <c r="C36" s="8" t="s">
        <v>248</v>
      </c>
      <c r="D36" s="131" t="str">
        <f t="shared" ref="D36:D67" si="2">H36&amp;"-"&amp;I36</f>
        <v>02700-10</v>
      </c>
      <c r="E36" s="1" t="s">
        <v>49</v>
      </c>
      <c r="F36" s="2" t="s">
        <v>217</v>
      </c>
      <c r="G36" s="1" t="s">
        <v>0</v>
      </c>
      <c r="H36" s="1" t="s">
        <v>312</v>
      </c>
      <c r="I36" s="2">
        <v>10</v>
      </c>
      <c r="J36" s="1" t="s">
        <v>315</v>
      </c>
    </row>
    <row r="37" spans="1:10" x14ac:dyDescent="0.25">
      <c r="A37">
        <f t="shared" si="1"/>
        <v>1</v>
      </c>
      <c r="B37" s="141" t="s">
        <v>50</v>
      </c>
      <c r="C37" s="8" t="s">
        <v>249</v>
      </c>
      <c r="D37" s="131" t="str">
        <f t="shared" si="2"/>
        <v>10100-02</v>
      </c>
      <c r="E37" s="1" t="s">
        <v>50</v>
      </c>
      <c r="F37" s="2" t="s">
        <v>217</v>
      </c>
      <c r="G37" s="1" t="s">
        <v>0</v>
      </c>
      <c r="H37" s="1" t="s">
        <v>370</v>
      </c>
      <c r="I37" s="2" t="s">
        <v>217</v>
      </c>
      <c r="J37" s="1" t="s">
        <v>373</v>
      </c>
    </row>
    <row r="38" spans="1:10" x14ac:dyDescent="0.25">
      <c r="A38">
        <f t="shared" si="1"/>
        <v>1</v>
      </c>
      <c r="B38" s="141" t="s">
        <v>51</v>
      </c>
      <c r="C38" s="8" t="s">
        <v>250</v>
      </c>
      <c r="D38" s="131" t="str">
        <f t="shared" si="2"/>
        <v>05650-01</v>
      </c>
      <c r="E38" s="1" t="s">
        <v>51</v>
      </c>
      <c r="F38" s="2" t="s">
        <v>217</v>
      </c>
      <c r="G38" s="1" t="s">
        <v>0</v>
      </c>
      <c r="H38" s="2" t="s">
        <v>411</v>
      </c>
      <c r="I38" s="1" t="s">
        <v>402</v>
      </c>
      <c r="J38" s="1" t="s">
        <v>412</v>
      </c>
    </row>
    <row r="39" spans="1:10" x14ac:dyDescent="0.25">
      <c r="A39">
        <f t="shared" si="1"/>
        <v>1</v>
      </c>
      <c r="B39" s="141" t="s">
        <v>1</v>
      </c>
      <c r="C39" s="8" t="s">
        <v>251</v>
      </c>
      <c r="D39" s="131" t="str">
        <f t="shared" si="2"/>
        <v>02200-01</v>
      </c>
      <c r="E39" s="3" t="s">
        <v>1</v>
      </c>
      <c r="F39" s="2" t="s">
        <v>217</v>
      </c>
      <c r="G39" s="3" t="s">
        <v>0</v>
      </c>
      <c r="H39" s="1" t="s">
        <v>316</v>
      </c>
      <c r="I39" s="1" t="s">
        <v>402</v>
      </c>
      <c r="J39" s="1" t="s">
        <v>317</v>
      </c>
    </row>
    <row r="40" spans="1:10" x14ac:dyDescent="0.25">
      <c r="A40">
        <f t="shared" si="1"/>
        <v>1</v>
      </c>
      <c r="B40" s="141" t="s">
        <v>53</v>
      </c>
      <c r="C40" s="8" t="s">
        <v>252</v>
      </c>
      <c r="D40" s="131" t="str">
        <f t="shared" si="2"/>
        <v>02200-02</v>
      </c>
      <c r="E40" s="1" t="s">
        <v>53</v>
      </c>
      <c r="F40" s="2" t="s">
        <v>217</v>
      </c>
      <c r="G40" s="1" t="s">
        <v>0</v>
      </c>
      <c r="H40" s="1" t="s">
        <v>316</v>
      </c>
      <c r="I40" s="1" t="s">
        <v>217</v>
      </c>
      <c r="J40" s="1" t="s">
        <v>317</v>
      </c>
    </row>
    <row r="41" spans="1:10" x14ac:dyDescent="0.25">
      <c r="A41">
        <f t="shared" si="1"/>
        <v>1</v>
      </c>
      <c r="B41" s="141" t="s">
        <v>56</v>
      </c>
      <c r="C41" s="8" t="s">
        <v>253</v>
      </c>
      <c r="D41" s="131" t="str">
        <f t="shared" si="2"/>
        <v>02500-01</v>
      </c>
      <c r="E41" s="3" t="s">
        <v>56</v>
      </c>
      <c r="F41" s="2" t="s">
        <v>217</v>
      </c>
      <c r="G41" s="3" t="s">
        <v>0</v>
      </c>
      <c r="H41" s="1" t="s">
        <v>318</v>
      </c>
      <c r="I41" s="1" t="s">
        <v>402</v>
      </c>
      <c r="J41" s="1" t="s">
        <v>319</v>
      </c>
    </row>
    <row r="42" spans="1:10" x14ac:dyDescent="0.25">
      <c r="A42">
        <f t="shared" si="1"/>
        <v>1</v>
      </c>
      <c r="B42" s="141" t="s">
        <v>58</v>
      </c>
      <c r="C42" s="8" t="s">
        <v>254</v>
      </c>
      <c r="D42" s="131" t="str">
        <f t="shared" si="2"/>
        <v>02500-02</v>
      </c>
      <c r="E42" s="3" t="s">
        <v>58</v>
      </c>
      <c r="F42" s="2" t="s">
        <v>217</v>
      </c>
      <c r="G42" s="3" t="s">
        <v>0</v>
      </c>
      <c r="H42" s="1" t="s">
        <v>318</v>
      </c>
      <c r="I42" s="1" t="s">
        <v>217</v>
      </c>
      <c r="J42" s="1" t="s">
        <v>319</v>
      </c>
    </row>
    <row r="43" spans="1:10" x14ac:dyDescent="0.25">
      <c r="A43">
        <f t="shared" si="1"/>
        <v>1</v>
      </c>
      <c r="B43" s="141" t="s">
        <v>60</v>
      </c>
      <c r="C43" s="8" t="s">
        <v>255</v>
      </c>
      <c r="D43" s="131" t="str">
        <f t="shared" si="2"/>
        <v>02500-03</v>
      </c>
      <c r="E43" s="3" t="s">
        <v>60</v>
      </c>
      <c r="F43" s="2" t="s">
        <v>217</v>
      </c>
      <c r="G43" s="3" t="s">
        <v>0</v>
      </c>
      <c r="H43" s="1" t="s">
        <v>318</v>
      </c>
      <c r="I43" s="1" t="s">
        <v>218</v>
      </c>
      <c r="J43" s="1" t="s">
        <v>319</v>
      </c>
    </row>
    <row r="44" spans="1:10" x14ac:dyDescent="0.25">
      <c r="A44">
        <f t="shared" si="1"/>
        <v>1</v>
      </c>
      <c r="B44" s="141" t="s">
        <v>62</v>
      </c>
      <c r="C44" s="8" t="s">
        <v>256</v>
      </c>
      <c r="D44" s="131" t="str">
        <f t="shared" si="2"/>
        <v>02500-04</v>
      </c>
      <c r="E44" s="3" t="s">
        <v>62</v>
      </c>
      <c r="F44" s="2" t="s">
        <v>217</v>
      </c>
      <c r="G44" s="3" t="s">
        <v>0</v>
      </c>
      <c r="H44" s="1" t="s">
        <v>318</v>
      </c>
      <c r="I44" s="1" t="s">
        <v>219</v>
      </c>
      <c r="J44" s="1" t="s">
        <v>319</v>
      </c>
    </row>
    <row r="45" spans="1:10" x14ac:dyDescent="0.25">
      <c r="A45">
        <f t="shared" si="1"/>
        <v>1</v>
      </c>
      <c r="B45" s="141" t="s">
        <v>72</v>
      </c>
      <c r="C45" s="8" t="s">
        <v>257</v>
      </c>
      <c r="D45" s="131" t="str">
        <f t="shared" si="2"/>
        <v>02500-05</v>
      </c>
      <c r="E45" s="3" t="s">
        <v>72</v>
      </c>
      <c r="F45" s="2" t="s">
        <v>217</v>
      </c>
      <c r="G45" s="3" t="s">
        <v>0</v>
      </c>
      <c r="H45" s="1" t="s">
        <v>318</v>
      </c>
      <c r="I45" s="1" t="s">
        <v>220</v>
      </c>
      <c r="J45" s="1" t="s">
        <v>319</v>
      </c>
    </row>
    <row r="46" spans="1:10" x14ac:dyDescent="0.25">
      <c r="A46">
        <f t="shared" si="1"/>
        <v>1</v>
      </c>
      <c r="B46" s="141" t="s">
        <v>74</v>
      </c>
      <c r="C46" s="8" t="s">
        <v>258</v>
      </c>
      <c r="D46" s="131" t="str">
        <f t="shared" si="2"/>
        <v>02500-06</v>
      </c>
      <c r="E46" s="3" t="s">
        <v>74</v>
      </c>
      <c r="F46" s="2" t="s">
        <v>217</v>
      </c>
      <c r="G46" s="3" t="s">
        <v>0</v>
      </c>
      <c r="H46" s="1" t="s">
        <v>318</v>
      </c>
      <c r="I46" s="1" t="s">
        <v>221</v>
      </c>
      <c r="J46" s="1" t="s">
        <v>319</v>
      </c>
    </row>
    <row r="47" spans="1:10" x14ac:dyDescent="0.25">
      <c r="A47">
        <f t="shared" si="1"/>
        <v>1</v>
      </c>
      <c r="B47" s="141" t="s">
        <v>64</v>
      </c>
      <c r="C47" s="8" t="s">
        <v>259</v>
      </c>
      <c r="D47" s="131" t="str">
        <f t="shared" si="2"/>
        <v>02200-03</v>
      </c>
      <c r="E47" s="3" t="s">
        <v>64</v>
      </c>
      <c r="F47" s="2" t="s">
        <v>217</v>
      </c>
      <c r="G47" s="3" t="s">
        <v>0</v>
      </c>
      <c r="H47" s="1" t="s">
        <v>316</v>
      </c>
      <c r="I47" s="1" t="s">
        <v>218</v>
      </c>
      <c r="J47" s="1" t="s">
        <v>317</v>
      </c>
    </row>
    <row r="48" spans="1:10" x14ac:dyDescent="0.25">
      <c r="A48">
        <f t="shared" si="1"/>
        <v>1</v>
      </c>
      <c r="B48" s="141" t="s">
        <v>67</v>
      </c>
      <c r="C48" s="8" t="s">
        <v>260</v>
      </c>
      <c r="D48" s="131" t="str">
        <f t="shared" si="2"/>
        <v>02200-04</v>
      </c>
      <c r="E48" s="3" t="s">
        <v>67</v>
      </c>
      <c r="F48" s="2" t="s">
        <v>217</v>
      </c>
      <c r="G48" s="3" t="s">
        <v>0</v>
      </c>
      <c r="H48" s="1" t="s">
        <v>316</v>
      </c>
      <c r="I48" s="1" t="s">
        <v>219</v>
      </c>
      <c r="J48" s="1" t="s">
        <v>317</v>
      </c>
    </row>
    <row r="49" spans="1:10" x14ac:dyDescent="0.25">
      <c r="A49">
        <f t="shared" si="1"/>
        <v>1</v>
      </c>
      <c r="B49" s="141" t="s">
        <v>69</v>
      </c>
      <c r="C49" s="8" t="s">
        <v>261</v>
      </c>
      <c r="D49" s="131" t="str">
        <f t="shared" si="2"/>
        <v>02200-05</v>
      </c>
      <c r="E49" s="3" t="s">
        <v>69</v>
      </c>
      <c r="F49" s="2" t="s">
        <v>217</v>
      </c>
      <c r="G49" s="3" t="s">
        <v>0</v>
      </c>
      <c r="H49" s="1" t="s">
        <v>316</v>
      </c>
      <c r="I49" s="1" t="s">
        <v>220</v>
      </c>
      <c r="J49" s="1" t="s">
        <v>317</v>
      </c>
    </row>
    <row r="50" spans="1:10" x14ac:dyDescent="0.25">
      <c r="A50">
        <f t="shared" si="1"/>
        <v>1</v>
      </c>
      <c r="B50" s="141" t="s">
        <v>76</v>
      </c>
      <c r="C50" s="2" t="s">
        <v>75</v>
      </c>
      <c r="D50" s="131" t="str">
        <f t="shared" si="2"/>
        <v>03300-01</v>
      </c>
      <c r="E50" s="3" t="s">
        <v>76</v>
      </c>
      <c r="F50" s="2" t="s">
        <v>218</v>
      </c>
      <c r="G50" s="1" t="s">
        <v>2</v>
      </c>
      <c r="H50" s="1" t="s">
        <v>320</v>
      </c>
      <c r="I50" s="1" t="s">
        <v>402</v>
      </c>
      <c r="J50" s="1" t="s">
        <v>321</v>
      </c>
    </row>
    <row r="51" spans="1:10" x14ac:dyDescent="0.25">
      <c r="A51">
        <f t="shared" si="1"/>
        <v>1</v>
      </c>
      <c r="B51" s="141" t="s">
        <v>78</v>
      </c>
      <c r="C51" s="2" t="s">
        <v>77</v>
      </c>
      <c r="D51" s="131" t="str">
        <f t="shared" si="2"/>
        <v>03300-02</v>
      </c>
      <c r="E51" s="3" t="s">
        <v>78</v>
      </c>
      <c r="F51" s="2" t="s">
        <v>218</v>
      </c>
      <c r="G51" s="1" t="s">
        <v>2</v>
      </c>
      <c r="H51" s="1" t="s">
        <v>320</v>
      </c>
      <c r="I51" s="1" t="s">
        <v>217</v>
      </c>
      <c r="J51" s="1" t="s">
        <v>321</v>
      </c>
    </row>
    <row r="52" spans="1:10" x14ac:dyDescent="0.25">
      <c r="A52">
        <f t="shared" si="1"/>
        <v>1</v>
      </c>
      <c r="B52" s="141" t="s">
        <v>80</v>
      </c>
      <c r="C52" s="2" t="s">
        <v>79</v>
      </c>
      <c r="D52" s="131" t="str">
        <f t="shared" si="2"/>
        <v>03300-03</v>
      </c>
      <c r="E52" s="3" t="s">
        <v>80</v>
      </c>
      <c r="F52" s="2" t="s">
        <v>218</v>
      </c>
      <c r="G52" s="1" t="s">
        <v>2</v>
      </c>
      <c r="H52" s="1" t="s">
        <v>320</v>
      </c>
      <c r="I52" s="1" t="s">
        <v>218</v>
      </c>
      <c r="J52" s="1" t="s">
        <v>321</v>
      </c>
    </row>
    <row r="53" spans="1:10" x14ac:dyDescent="0.25">
      <c r="A53">
        <f t="shared" si="1"/>
        <v>1</v>
      </c>
      <c r="B53" s="141" t="s">
        <v>82</v>
      </c>
      <c r="C53" s="2" t="s">
        <v>81</v>
      </c>
      <c r="D53" s="131" t="str">
        <f t="shared" si="2"/>
        <v>03300-04</v>
      </c>
      <c r="E53" s="3" t="s">
        <v>82</v>
      </c>
      <c r="F53" s="2" t="s">
        <v>218</v>
      </c>
      <c r="G53" s="1" t="s">
        <v>2</v>
      </c>
      <c r="H53" s="1" t="s">
        <v>320</v>
      </c>
      <c r="I53" s="1" t="s">
        <v>219</v>
      </c>
      <c r="J53" s="1" t="s">
        <v>321</v>
      </c>
    </row>
    <row r="54" spans="1:10" x14ac:dyDescent="0.25">
      <c r="A54">
        <f t="shared" si="1"/>
        <v>1</v>
      </c>
      <c r="B54" s="141" t="s">
        <v>84</v>
      </c>
      <c r="C54" s="2" t="s">
        <v>83</v>
      </c>
      <c r="D54" s="131" t="str">
        <f t="shared" si="2"/>
        <v>03300-05</v>
      </c>
      <c r="E54" s="3" t="s">
        <v>84</v>
      </c>
      <c r="F54" s="2" t="s">
        <v>218</v>
      </c>
      <c r="G54" s="1" t="s">
        <v>2</v>
      </c>
      <c r="H54" s="1" t="s">
        <v>320</v>
      </c>
      <c r="I54" s="1" t="s">
        <v>220</v>
      </c>
      <c r="J54" s="1" t="s">
        <v>321</v>
      </c>
    </row>
    <row r="55" spans="1:10" x14ac:dyDescent="0.25">
      <c r="A55">
        <f t="shared" si="1"/>
        <v>1</v>
      </c>
      <c r="B55" s="141" t="s">
        <v>86</v>
      </c>
      <c r="C55" s="2" t="s">
        <v>85</v>
      </c>
      <c r="D55" s="131" t="str">
        <f t="shared" si="2"/>
        <v>03300-06</v>
      </c>
      <c r="E55" s="3" t="s">
        <v>86</v>
      </c>
      <c r="F55" s="2" t="s">
        <v>218</v>
      </c>
      <c r="G55" s="1" t="s">
        <v>2</v>
      </c>
      <c r="H55" s="1" t="s">
        <v>320</v>
      </c>
      <c r="I55" s="1" t="s">
        <v>221</v>
      </c>
      <c r="J55" s="1" t="s">
        <v>321</v>
      </c>
    </row>
    <row r="56" spans="1:10" x14ac:dyDescent="0.25">
      <c r="A56">
        <f t="shared" si="1"/>
        <v>1</v>
      </c>
      <c r="B56" s="141" t="s">
        <v>88</v>
      </c>
      <c r="C56" s="2" t="s">
        <v>87</v>
      </c>
      <c r="D56" s="131" t="str">
        <f t="shared" si="2"/>
        <v>03300-07</v>
      </c>
      <c r="E56" s="3" t="s">
        <v>88</v>
      </c>
      <c r="F56" s="2" t="s">
        <v>218</v>
      </c>
      <c r="G56" s="1" t="s">
        <v>2</v>
      </c>
      <c r="H56" s="1" t="s">
        <v>320</v>
      </c>
      <c r="I56" s="1" t="s">
        <v>222</v>
      </c>
      <c r="J56" s="1" t="s">
        <v>321</v>
      </c>
    </row>
    <row r="57" spans="1:10" x14ac:dyDescent="0.25">
      <c r="A57">
        <f t="shared" si="1"/>
        <v>1</v>
      </c>
      <c r="B57" s="141" t="s">
        <v>90</v>
      </c>
      <c r="C57" s="2" t="s">
        <v>89</v>
      </c>
      <c r="D57" s="131" t="str">
        <f t="shared" si="2"/>
        <v>03300-08</v>
      </c>
      <c r="E57" s="3" t="s">
        <v>90</v>
      </c>
      <c r="F57" s="2" t="s">
        <v>218</v>
      </c>
      <c r="G57" s="1" t="s">
        <v>2</v>
      </c>
      <c r="H57" s="1" t="s">
        <v>320</v>
      </c>
      <c r="I57" s="1" t="s">
        <v>223</v>
      </c>
      <c r="J57" s="1" t="s">
        <v>321</v>
      </c>
    </row>
    <row r="58" spans="1:10" x14ac:dyDescent="0.25">
      <c r="A58">
        <f t="shared" si="1"/>
        <v>1</v>
      </c>
      <c r="B58" s="141" t="s">
        <v>92</v>
      </c>
      <c r="C58" s="2" t="s">
        <v>91</v>
      </c>
      <c r="D58" s="131" t="str">
        <f t="shared" si="2"/>
        <v>03300-09</v>
      </c>
      <c r="E58" s="3" t="s">
        <v>92</v>
      </c>
      <c r="F58" s="2" t="s">
        <v>218</v>
      </c>
      <c r="G58" s="1" t="s">
        <v>2</v>
      </c>
      <c r="H58" s="1" t="s">
        <v>320</v>
      </c>
      <c r="I58" s="1" t="s">
        <v>224</v>
      </c>
      <c r="J58" s="1" t="s">
        <v>321</v>
      </c>
    </row>
    <row r="59" spans="1:10" x14ac:dyDescent="0.25">
      <c r="A59">
        <f t="shared" si="1"/>
        <v>1</v>
      </c>
      <c r="B59" s="141" t="s">
        <v>94</v>
      </c>
      <c r="C59" s="2" t="s">
        <v>93</v>
      </c>
      <c r="D59" s="131" t="str">
        <f t="shared" si="2"/>
        <v>03300-10</v>
      </c>
      <c r="E59" s="3" t="s">
        <v>94</v>
      </c>
      <c r="F59" s="2" t="s">
        <v>218</v>
      </c>
      <c r="G59" s="1" t="s">
        <v>2</v>
      </c>
      <c r="H59" s="1" t="s">
        <v>320</v>
      </c>
      <c r="I59" s="1" t="s">
        <v>225</v>
      </c>
      <c r="J59" s="1" t="s">
        <v>321</v>
      </c>
    </row>
    <row r="60" spans="1:10" x14ac:dyDescent="0.25">
      <c r="A60">
        <f t="shared" si="1"/>
        <v>1</v>
      </c>
      <c r="B60" s="141" t="s">
        <v>96</v>
      </c>
      <c r="C60" s="2" t="s">
        <v>95</v>
      </c>
      <c r="D60" s="131" t="str">
        <f t="shared" si="2"/>
        <v>03300-11</v>
      </c>
      <c r="E60" s="3" t="s">
        <v>96</v>
      </c>
      <c r="F60" s="2" t="s">
        <v>218</v>
      </c>
      <c r="G60" s="1" t="s">
        <v>2</v>
      </c>
      <c r="H60" s="1" t="s">
        <v>320</v>
      </c>
      <c r="I60" s="1" t="s">
        <v>264</v>
      </c>
      <c r="J60" s="1" t="s">
        <v>321</v>
      </c>
    </row>
    <row r="61" spans="1:10" x14ac:dyDescent="0.25">
      <c r="A61">
        <f t="shared" si="1"/>
        <v>1</v>
      </c>
      <c r="B61" s="141" t="s">
        <v>98</v>
      </c>
      <c r="C61" s="2" t="s">
        <v>97</v>
      </c>
      <c r="D61" s="131" t="str">
        <f t="shared" si="2"/>
        <v>03300-12</v>
      </c>
      <c r="E61" s="3" t="s">
        <v>98</v>
      </c>
      <c r="F61" s="2" t="s">
        <v>218</v>
      </c>
      <c r="G61" s="1" t="s">
        <v>2</v>
      </c>
      <c r="H61" s="1" t="s">
        <v>320</v>
      </c>
      <c r="I61" s="1" t="s">
        <v>226</v>
      </c>
      <c r="J61" s="1" t="s">
        <v>321</v>
      </c>
    </row>
    <row r="62" spans="1:10" x14ac:dyDescent="0.25">
      <c r="A62">
        <f t="shared" si="1"/>
        <v>1</v>
      </c>
      <c r="B62" s="141" t="s">
        <v>100</v>
      </c>
      <c r="C62" s="2" t="s">
        <v>99</v>
      </c>
      <c r="D62" s="131" t="str">
        <f t="shared" si="2"/>
        <v>03400-01</v>
      </c>
      <c r="E62" s="3" t="s">
        <v>100</v>
      </c>
      <c r="F62" s="2" t="s">
        <v>218</v>
      </c>
      <c r="G62" s="1" t="s">
        <v>2</v>
      </c>
      <c r="H62" s="1" t="s">
        <v>322</v>
      </c>
      <c r="I62" s="1" t="s">
        <v>402</v>
      </c>
      <c r="J62" s="1" t="s">
        <v>323</v>
      </c>
    </row>
    <row r="63" spans="1:10" x14ac:dyDescent="0.25">
      <c r="A63">
        <f t="shared" si="1"/>
        <v>1</v>
      </c>
      <c r="B63" s="141" t="s">
        <v>435</v>
      </c>
      <c r="C63" s="2" t="s">
        <v>101</v>
      </c>
      <c r="D63" s="131" t="str">
        <f t="shared" si="2"/>
        <v>03400-02</v>
      </c>
      <c r="E63" s="3" t="s">
        <v>435</v>
      </c>
      <c r="F63" s="2" t="s">
        <v>218</v>
      </c>
      <c r="G63" s="1" t="s">
        <v>2</v>
      </c>
      <c r="H63" s="1" t="s">
        <v>322</v>
      </c>
      <c r="I63" s="1" t="s">
        <v>217</v>
      </c>
      <c r="J63" s="1" t="s">
        <v>323</v>
      </c>
    </row>
    <row r="64" spans="1:10" x14ac:dyDescent="0.25">
      <c r="A64">
        <f t="shared" si="1"/>
        <v>1</v>
      </c>
      <c r="B64" s="141" t="s">
        <v>103</v>
      </c>
      <c r="C64" s="2" t="s">
        <v>102</v>
      </c>
      <c r="D64" s="131" t="str">
        <f t="shared" si="2"/>
        <v>03300-13</v>
      </c>
      <c r="E64" s="5" t="s">
        <v>103</v>
      </c>
      <c r="F64" s="2" t="s">
        <v>218</v>
      </c>
      <c r="G64" s="1" t="s">
        <v>2</v>
      </c>
      <c r="H64" s="1" t="s">
        <v>320</v>
      </c>
      <c r="I64" s="1" t="s">
        <v>265</v>
      </c>
      <c r="J64" s="1" t="s">
        <v>321</v>
      </c>
    </row>
    <row r="65" spans="1:10" x14ac:dyDescent="0.25">
      <c r="A65">
        <f t="shared" si="1"/>
        <v>1</v>
      </c>
      <c r="B65" s="141" t="s">
        <v>408</v>
      </c>
      <c r="C65" s="4" t="s">
        <v>228</v>
      </c>
      <c r="D65" s="131" t="str">
        <f t="shared" si="2"/>
        <v>03300-14</v>
      </c>
      <c r="E65" s="3" t="s">
        <v>408</v>
      </c>
      <c r="F65" s="2" t="s">
        <v>218</v>
      </c>
      <c r="G65" s="1" t="s">
        <v>2</v>
      </c>
      <c r="H65" s="1" t="s">
        <v>320</v>
      </c>
      <c r="I65" s="1" t="s">
        <v>227</v>
      </c>
      <c r="J65" s="1" t="s">
        <v>321</v>
      </c>
    </row>
    <row r="66" spans="1:10" x14ac:dyDescent="0.25">
      <c r="A66">
        <f t="shared" si="1"/>
        <v>1</v>
      </c>
      <c r="B66" s="141" t="s">
        <v>4</v>
      </c>
      <c r="C66" s="2" t="s">
        <v>104</v>
      </c>
      <c r="D66" s="131" t="str">
        <f t="shared" si="2"/>
        <v>04200-01</v>
      </c>
      <c r="E66" s="3" t="s">
        <v>4</v>
      </c>
      <c r="F66" s="2" t="s">
        <v>219</v>
      </c>
      <c r="G66" s="1" t="s">
        <v>3</v>
      </c>
      <c r="H66" s="1" t="s">
        <v>324</v>
      </c>
      <c r="I66" s="1" t="s">
        <v>402</v>
      </c>
      <c r="J66" s="1" t="s">
        <v>326</v>
      </c>
    </row>
    <row r="67" spans="1:10" x14ac:dyDescent="0.25">
      <c r="A67">
        <f t="shared" si="1"/>
        <v>1</v>
      </c>
      <c r="B67" s="141" t="s">
        <v>106</v>
      </c>
      <c r="C67" s="2" t="s">
        <v>105</v>
      </c>
      <c r="D67" s="131" t="str">
        <f t="shared" si="2"/>
        <v>04200-02</v>
      </c>
      <c r="E67" s="3" t="s">
        <v>106</v>
      </c>
      <c r="F67" s="2" t="s">
        <v>219</v>
      </c>
      <c r="G67" s="1" t="s">
        <v>3</v>
      </c>
      <c r="H67" s="1" t="s">
        <v>324</v>
      </c>
      <c r="I67" s="1" t="s">
        <v>217</v>
      </c>
      <c r="J67" s="1" t="s">
        <v>326</v>
      </c>
    </row>
    <row r="68" spans="1:10" x14ac:dyDescent="0.25">
      <c r="A68">
        <f t="shared" si="1"/>
        <v>1</v>
      </c>
      <c r="B68" s="141" t="s">
        <v>108</v>
      </c>
      <c r="C68" s="2" t="s">
        <v>107</v>
      </c>
      <c r="D68" s="131" t="str">
        <f t="shared" ref="D68:D99" si="3">H68&amp;"-"&amp;I68</f>
        <v>04400-01</v>
      </c>
      <c r="E68" s="3" t="s">
        <v>108</v>
      </c>
      <c r="F68" s="2" t="s">
        <v>219</v>
      </c>
      <c r="G68" s="1" t="s">
        <v>3</v>
      </c>
      <c r="H68" s="1" t="s">
        <v>325</v>
      </c>
      <c r="I68" s="1" t="s">
        <v>402</v>
      </c>
      <c r="J68" s="1" t="s">
        <v>327</v>
      </c>
    </row>
    <row r="69" spans="1:10" x14ac:dyDescent="0.25">
      <c r="A69">
        <f t="shared" ref="A69:A132" si="4">COUNTIF($D$4:$D$146,D69)</f>
        <v>1</v>
      </c>
      <c r="B69" s="141" t="s">
        <v>110</v>
      </c>
      <c r="C69" s="2" t="s">
        <v>109</v>
      </c>
      <c r="D69" s="131" t="str">
        <f t="shared" si="3"/>
        <v>05500-01</v>
      </c>
      <c r="E69" s="3" t="s">
        <v>110</v>
      </c>
      <c r="F69" s="2" t="s">
        <v>220</v>
      </c>
      <c r="G69" s="1" t="s">
        <v>5</v>
      </c>
      <c r="H69" s="1" t="s">
        <v>328</v>
      </c>
      <c r="I69" s="1" t="s">
        <v>402</v>
      </c>
      <c r="J69" s="1" t="s">
        <v>329</v>
      </c>
    </row>
    <row r="70" spans="1:10" x14ac:dyDescent="0.25">
      <c r="A70">
        <f t="shared" si="4"/>
        <v>1</v>
      </c>
      <c r="B70" s="141" t="s">
        <v>113</v>
      </c>
      <c r="C70" s="2" t="s">
        <v>112</v>
      </c>
      <c r="D70" s="131" t="str">
        <f t="shared" si="3"/>
        <v>05100-01</v>
      </c>
      <c r="E70" s="3" t="s">
        <v>113</v>
      </c>
      <c r="F70" s="2" t="s">
        <v>220</v>
      </c>
      <c r="G70" s="1" t="s">
        <v>5</v>
      </c>
      <c r="H70" s="1" t="s">
        <v>332</v>
      </c>
      <c r="I70" s="1" t="s">
        <v>402</v>
      </c>
      <c r="J70" s="1" t="s">
        <v>333</v>
      </c>
    </row>
    <row r="71" spans="1:10" x14ac:dyDescent="0.25">
      <c r="A71">
        <f t="shared" si="4"/>
        <v>1</v>
      </c>
      <c r="B71" s="141" t="s">
        <v>115</v>
      </c>
      <c r="C71" s="2" t="s">
        <v>114</v>
      </c>
      <c r="D71" s="131" t="str">
        <f t="shared" si="3"/>
        <v>05100-02</v>
      </c>
      <c r="E71" s="3" t="s">
        <v>115</v>
      </c>
      <c r="F71" s="2" t="s">
        <v>220</v>
      </c>
      <c r="G71" s="1" t="s">
        <v>5</v>
      </c>
      <c r="H71" s="1" t="s">
        <v>332</v>
      </c>
      <c r="I71" s="1" t="s">
        <v>217</v>
      </c>
      <c r="J71" s="1" t="s">
        <v>333</v>
      </c>
    </row>
    <row r="72" spans="1:10" x14ac:dyDescent="0.25">
      <c r="A72">
        <f t="shared" si="4"/>
        <v>1</v>
      </c>
      <c r="B72" s="141" t="s">
        <v>306</v>
      </c>
      <c r="C72" s="2" t="s">
        <v>305</v>
      </c>
      <c r="D72" s="131" t="str">
        <f t="shared" si="3"/>
        <v>05700-01</v>
      </c>
      <c r="E72" s="3" t="s">
        <v>306</v>
      </c>
      <c r="F72" s="2" t="s">
        <v>220</v>
      </c>
      <c r="G72" s="1" t="s">
        <v>5</v>
      </c>
      <c r="H72" s="1" t="s">
        <v>334</v>
      </c>
      <c r="I72" s="1" t="s">
        <v>402</v>
      </c>
      <c r="J72" s="1" t="s">
        <v>335</v>
      </c>
    </row>
    <row r="73" spans="1:10" x14ac:dyDescent="0.25">
      <c r="A73">
        <f t="shared" si="4"/>
        <v>1</v>
      </c>
      <c r="B73" s="141" t="s">
        <v>117</v>
      </c>
      <c r="C73" s="2" t="s">
        <v>116</v>
      </c>
      <c r="D73" s="131" t="str">
        <f t="shared" si="3"/>
        <v>06400-01</v>
      </c>
      <c r="E73" s="3" t="s">
        <v>117</v>
      </c>
      <c r="F73" s="2" t="s">
        <v>221</v>
      </c>
      <c r="G73" s="1" t="s">
        <v>6</v>
      </c>
      <c r="H73" s="1" t="s">
        <v>336</v>
      </c>
      <c r="I73" s="1" t="s">
        <v>402</v>
      </c>
      <c r="J73" s="1" t="s">
        <v>337</v>
      </c>
    </row>
    <row r="74" spans="1:10" x14ac:dyDescent="0.25">
      <c r="A74">
        <f t="shared" si="4"/>
        <v>1</v>
      </c>
      <c r="B74" s="141" t="s">
        <v>119</v>
      </c>
      <c r="C74" s="2" t="s">
        <v>118</v>
      </c>
      <c r="D74" s="131" t="str">
        <f t="shared" si="3"/>
        <v>06400-02</v>
      </c>
      <c r="E74" s="3" t="s">
        <v>119</v>
      </c>
      <c r="F74" s="2" t="s">
        <v>221</v>
      </c>
      <c r="G74" s="1" t="s">
        <v>6</v>
      </c>
      <c r="H74" s="1" t="s">
        <v>336</v>
      </c>
      <c r="I74" s="1" t="s">
        <v>217</v>
      </c>
      <c r="J74" s="1" t="s">
        <v>337</v>
      </c>
    </row>
    <row r="75" spans="1:10" x14ac:dyDescent="0.25">
      <c r="A75">
        <f t="shared" si="4"/>
        <v>1</v>
      </c>
      <c r="B75" s="141" t="s">
        <v>121</v>
      </c>
      <c r="C75" s="2" t="s">
        <v>120</v>
      </c>
      <c r="D75" s="131" t="str">
        <f t="shared" si="3"/>
        <v>06400-03</v>
      </c>
      <c r="E75" s="3" t="s">
        <v>121</v>
      </c>
      <c r="F75" s="2" t="s">
        <v>221</v>
      </c>
      <c r="G75" s="1" t="s">
        <v>6</v>
      </c>
      <c r="H75" s="1" t="s">
        <v>336</v>
      </c>
      <c r="I75" s="1" t="s">
        <v>218</v>
      </c>
      <c r="J75" s="1" t="s">
        <v>337</v>
      </c>
    </row>
    <row r="76" spans="1:10" x14ac:dyDescent="0.25">
      <c r="A76">
        <f t="shared" si="4"/>
        <v>1</v>
      </c>
      <c r="B76" s="141" t="s">
        <v>123</v>
      </c>
      <c r="C76" s="2" t="s">
        <v>122</v>
      </c>
      <c r="D76" s="131" t="str">
        <f t="shared" si="3"/>
        <v>07100-01</v>
      </c>
      <c r="E76" s="3" t="s">
        <v>123</v>
      </c>
      <c r="F76" s="2" t="s">
        <v>222</v>
      </c>
      <c r="G76" s="1" t="s">
        <v>7</v>
      </c>
      <c r="H76" s="1" t="s">
        <v>338</v>
      </c>
      <c r="I76" s="1" t="s">
        <v>402</v>
      </c>
      <c r="J76" s="1" t="s">
        <v>339</v>
      </c>
    </row>
    <row r="77" spans="1:10" x14ac:dyDescent="0.25">
      <c r="A77">
        <f t="shared" si="4"/>
        <v>1</v>
      </c>
      <c r="B77" s="141" t="s">
        <v>125</v>
      </c>
      <c r="C77" s="2" t="s">
        <v>124</v>
      </c>
      <c r="D77" s="131" t="str">
        <f t="shared" si="3"/>
        <v>07100-02</v>
      </c>
      <c r="E77" s="3" t="s">
        <v>125</v>
      </c>
      <c r="F77" s="2" t="s">
        <v>222</v>
      </c>
      <c r="G77" s="1" t="s">
        <v>7</v>
      </c>
      <c r="H77" s="1" t="s">
        <v>338</v>
      </c>
      <c r="I77" s="1" t="s">
        <v>217</v>
      </c>
      <c r="J77" s="1" t="s">
        <v>339</v>
      </c>
    </row>
    <row r="78" spans="1:10" x14ac:dyDescent="0.25">
      <c r="A78">
        <f t="shared" si="4"/>
        <v>1</v>
      </c>
      <c r="B78" s="141" t="s">
        <v>127</v>
      </c>
      <c r="C78" s="2" t="s">
        <v>126</v>
      </c>
      <c r="D78" s="131" t="str">
        <f t="shared" si="3"/>
        <v>07100-03</v>
      </c>
      <c r="E78" s="3" t="s">
        <v>127</v>
      </c>
      <c r="F78" s="2" t="s">
        <v>222</v>
      </c>
      <c r="G78" s="1" t="s">
        <v>7</v>
      </c>
      <c r="H78" s="1" t="s">
        <v>338</v>
      </c>
      <c r="I78" s="1" t="s">
        <v>218</v>
      </c>
      <c r="J78" s="1" t="s">
        <v>339</v>
      </c>
    </row>
    <row r="79" spans="1:10" x14ac:dyDescent="0.25">
      <c r="A79">
        <f t="shared" si="4"/>
        <v>1</v>
      </c>
      <c r="B79" s="141" t="s">
        <v>129</v>
      </c>
      <c r="C79" s="2" t="s">
        <v>128</v>
      </c>
      <c r="D79" s="131" t="str">
        <f t="shared" si="3"/>
        <v>07100-04</v>
      </c>
      <c r="E79" s="3" t="s">
        <v>129</v>
      </c>
      <c r="F79" s="2" t="s">
        <v>222</v>
      </c>
      <c r="G79" s="1" t="s">
        <v>7</v>
      </c>
      <c r="H79" s="1" t="s">
        <v>338</v>
      </c>
      <c r="I79" s="1" t="s">
        <v>219</v>
      </c>
      <c r="J79" s="1" t="s">
        <v>339</v>
      </c>
    </row>
    <row r="80" spans="1:10" x14ac:dyDescent="0.25">
      <c r="A80">
        <f t="shared" si="4"/>
        <v>1</v>
      </c>
      <c r="B80" s="141" t="s">
        <v>131</v>
      </c>
      <c r="C80" s="2" t="s">
        <v>130</v>
      </c>
      <c r="D80" s="131" t="str">
        <f t="shared" si="3"/>
        <v>07200-01</v>
      </c>
      <c r="E80" s="3" t="s">
        <v>131</v>
      </c>
      <c r="F80" s="2" t="s">
        <v>222</v>
      </c>
      <c r="G80" s="1" t="s">
        <v>7</v>
      </c>
      <c r="H80" s="1" t="s">
        <v>340</v>
      </c>
      <c r="I80" s="1" t="s">
        <v>402</v>
      </c>
      <c r="J80" s="1" t="s">
        <v>341</v>
      </c>
    </row>
    <row r="81" spans="1:10" x14ac:dyDescent="0.25">
      <c r="A81">
        <f t="shared" si="4"/>
        <v>1</v>
      </c>
      <c r="B81" s="141" t="s">
        <v>133</v>
      </c>
      <c r="C81" s="2" t="s">
        <v>132</v>
      </c>
      <c r="D81" s="131" t="str">
        <f t="shared" si="3"/>
        <v>07400-01</v>
      </c>
      <c r="E81" s="3" t="s">
        <v>133</v>
      </c>
      <c r="F81" s="2" t="s">
        <v>222</v>
      </c>
      <c r="G81" s="1" t="s">
        <v>7</v>
      </c>
      <c r="H81" s="1" t="s">
        <v>342</v>
      </c>
      <c r="I81" s="1" t="s">
        <v>402</v>
      </c>
      <c r="J81" s="1" t="s">
        <v>343</v>
      </c>
    </row>
    <row r="82" spans="1:10" x14ac:dyDescent="0.25">
      <c r="A82">
        <f t="shared" si="4"/>
        <v>1</v>
      </c>
      <c r="B82" s="141" t="s">
        <v>135</v>
      </c>
      <c r="C82" s="2" t="s">
        <v>134</v>
      </c>
      <c r="D82" s="131" t="str">
        <f t="shared" si="3"/>
        <v>07200-03</v>
      </c>
      <c r="E82" s="3" t="s">
        <v>135</v>
      </c>
      <c r="F82" s="2" t="s">
        <v>222</v>
      </c>
      <c r="G82" s="1" t="s">
        <v>7</v>
      </c>
      <c r="H82" s="1" t="s">
        <v>340</v>
      </c>
      <c r="I82" s="1" t="s">
        <v>218</v>
      </c>
      <c r="J82" s="1" t="s">
        <v>341</v>
      </c>
    </row>
    <row r="83" spans="1:10" x14ac:dyDescent="0.25">
      <c r="A83">
        <f t="shared" si="4"/>
        <v>1</v>
      </c>
      <c r="B83" s="141" t="s">
        <v>137</v>
      </c>
      <c r="C83" s="2" t="s">
        <v>136</v>
      </c>
      <c r="D83" s="131" t="str">
        <f t="shared" si="3"/>
        <v>08200-01</v>
      </c>
      <c r="E83" s="3" t="s">
        <v>137</v>
      </c>
      <c r="F83" s="2" t="s">
        <v>223</v>
      </c>
      <c r="G83" s="1" t="s">
        <v>8</v>
      </c>
      <c r="H83" s="1" t="s">
        <v>344</v>
      </c>
      <c r="I83" s="1" t="s">
        <v>402</v>
      </c>
      <c r="J83" s="1" t="s">
        <v>345</v>
      </c>
    </row>
    <row r="84" spans="1:10" x14ac:dyDescent="0.25">
      <c r="A84">
        <f t="shared" si="4"/>
        <v>1</v>
      </c>
      <c r="B84" s="141" t="s">
        <v>139</v>
      </c>
      <c r="C84" s="2" t="s">
        <v>138</v>
      </c>
      <c r="D84" s="131" t="str">
        <f t="shared" si="3"/>
        <v>08300-01</v>
      </c>
      <c r="E84" s="3" t="s">
        <v>139</v>
      </c>
      <c r="F84" s="2" t="s">
        <v>223</v>
      </c>
      <c r="G84" s="1" t="s">
        <v>8</v>
      </c>
      <c r="H84" s="1" t="s">
        <v>346</v>
      </c>
      <c r="I84" s="1" t="s">
        <v>402</v>
      </c>
      <c r="J84" s="1" t="s">
        <v>347</v>
      </c>
    </row>
    <row r="85" spans="1:10" x14ac:dyDescent="0.25">
      <c r="A85">
        <f t="shared" si="4"/>
        <v>1</v>
      </c>
      <c r="B85" s="141" t="s">
        <v>111</v>
      </c>
      <c r="C85" s="2" t="s">
        <v>140</v>
      </c>
      <c r="D85" s="131" t="str">
        <f t="shared" si="3"/>
        <v>08100-02</v>
      </c>
      <c r="E85" s="3" t="s">
        <v>111</v>
      </c>
      <c r="F85" s="2" t="s">
        <v>223</v>
      </c>
      <c r="G85" s="1" t="s">
        <v>8</v>
      </c>
      <c r="H85" s="1" t="s">
        <v>330</v>
      </c>
      <c r="I85" s="1" t="s">
        <v>217</v>
      </c>
      <c r="J85" s="1" t="s">
        <v>331</v>
      </c>
    </row>
    <row r="86" spans="1:10" x14ac:dyDescent="0.25">
      <c r="A86">
        <f t="shared" si="4"/>
        <v>1</v>
      </c>
      <c r="B86" s="141" t="s">
        <v>142</v>
      </c>
      <c r="C86" s="2" t="s">
        <v>141</v>
      </c>
      <c r="D86" s="131" t="str">
        <f t="shared" si="3"/>
        <v>08800-01</v>
      </c>
      <c r="E86" s="3" t="s">
        <v>142</v>
      </c>
      <c r="F86" s="2" t="s">
        <v>223</v>
      </c>
      <c r="G86" s="1" t="s">
        <v>8</v>
      </c>
      <c r="H86" s="1" t="s">
        <v>348</v>
      </c>
      <c r="I86" s="1" t="s">
        <v>402</v>
      </c>
      <c r="J86" s="1" t="s">
        <v>349</v>
      </c>
    </row>
    <row r="87" spans="1:10" x14ac:dyDescent="0.25">
      <c r="A87">
        <f t="shared" si="4"/>
        <v>1</v>
      </c>
      <c r="B87" s="141" t="s">
        <v>634</v>
      </c>
      <c r="C87" s="2" t="s">
        <v>143</v>
      </c>
      <c r="D87" s="131" t="str">
        <f t="shared" si="3"/>
        <v>08300-02</v>
      </c>
      <c r="E87" s="3" t="s">
        <v>634</v>
      </c>
      <c r="F87" s="2" t="s">
        <v>223</v>
      </c>
      <c r="G87" s="1" t="s">
        <v>8</v>
      </c>
      <c r="H87" s="1" t="s">
        <v>346</v>
      </c>
      <c r="I87" s="1" t="s">
        <v>217</v>
      </c>
      <c r="J87" s="1" t="s">
        <v>347</v>
      </c>
    </row>
    <row r="88" spans="1:10" x14ac:dyDescent="0.25">
      <c r="A88">
        <f t="shared" si="4"/>
        <v>1</v>
      </c>
      <c r="B88" s="141" t="s">
        <v>145</v>
      </c>
      <c r="C88" s="2" t="s">
        <v>144</v>
      </c>
      <c r="D88" s="131" t="str">
        <f t="shared" si="3"/>
        <v>08900-01</v>
      </c>
      <c r="E88" s="3" t="s">
        <v>145</v>
      </c>
      <c r="F88" s="2" t="s">
        <v>223</v>
      </c>
      <c r="G88" s="1" t="s">
        <v>8</v>
      </c>
      <c r="H88" s="1" t="s">
        <v>350</v>
      </c>
      <c r="I88" s="1" t="s">
        <v>402</v>
      </c>
      <c r="J88" s="1" t="s">
        <v>351</v>
      </c>
    </row>
    <row r="89" spans="1:10" x14ac:dyDescent="0.25">
      <c r="A89">
        <f t="shared" si="4"/>
        <v>1</v>
      </c>
      <c r="B89" s="141" t="s">
        <v>147</v>
      </c>
      <c r="C89" s="2" t="s">
        <v>146</v>
      </c>
      <c r="D89" s="131" t="str">
        <f t="shared" si="3"/>
        <v>08500-01</v>
      </c>
      <c r="E89" s="3" t="s">
        <v>147</v>
      </c>
      <c r="F89" s="2" t="s">
        <v>223</v>
      </c>
      <c r="G89" s="1" t="s">
        <v>8</v>
      </c>
      <c r="H89" s="1" t="s">
        <v>352</v>
      </c>
      <c r="I89" s="1" t="s">
        <v>402</v>
      </c>
      <c r="J89" s="1" t="s">
        <v>353</v>
      </c>
    </row>
    <row r="90" spans="1:10" x14ac:dyDescent="0.25">
      <c r="A90">
        <f t="shared" si="4"/>
        <v>1</v>
      </c>
      <c r="B90" s="141" t="s">
        <v>149</v>
      </c>
      <c r="C90" s="2" t="s">
        <v>148</v>
      </c>
      <c r="D90" s="131" t="str">
        <f t="shared" si="3"/>
        <v>08500-02</v>
      </c>
      <c r="E90" s="3" t="s">
        <v>149</v>
      </c>
      <c r="F90" s="2" t="s">
        <v>223</v>
      </c>
      <c r="G90" s="1" t="s">
        <v>8</v>
      </c>
      <c r="H90" s="1" t="s">
        <v>352</v>
      </c>
      <c r="I90" s="1" t="s">
        <v>217</v>
      </c>
      <c r="J90" s="1" t="s">
        <v>353</v>
      </c>
    </row>
    <row r="91" spans="1:10" x14ac:dyDescent="0.25">
      <c r="A91">
        <f t="shared" si="4"/>
        <v>1</v>
      </c>
      <c r="B91" s="141" t="s">
        <v>151</v>
      </c>
      <c r="C91" s="2" t="s">
        <v>150</v>
      </c>
      <c r="D91" s="131" t="str">
        <f t="shared" si="3"/>
        <v>08500-03</v>
      </c>
      <c r="E91" s="3" t="s">
        <v>151</v>
      </c>
      <c r="F91" s="2" t="s">
        <v>223</v>
      </c>
      <c r="G91" s="1" t="s">
        <v>8</v>
      </c>
      <c r="H91" s="1" t="s">
        <v>352</v>
      </c>
      <c r="I91" s="1" t="s">
        <v>218</v>
      </c>
      <c r="J91" s="1" t="s">
        <v>353</v>
      </c>
    </row>
    <row r="92" spans="1:10" x14ac:dyDescent="0.25">
      <c r="A92">
        <f t="shared" si="4"/>
        <v>1</v>
      </c>
      <c r="B92" s="141" t="s">
        <v>153</v>
      </c>
      <c r="C92" s="2" t="s">
        <v>152</v>
      </c>
      <c r="D92" s="131" t="str">
        <f t="shared" si="3"/>
        <v>08500-04</v>
      </c>
      <c r="E92" s="3" t="s">
        <v>153</v>
      </c>
      <c r="F92" s="2" t="s">
        <v>223</v>
      </c>
      <c r="G92" s="1" t="s">
        <v>8</v>
      </c>
      <c r="H92" s="1" t="s">
        <v>352</v>
      </c>
      <c r="I92" s="1" t="s">
        <v>219</v>
      </c>
      <c r="J92" s="1" t="s">
        <v>353</v>
      </c>
    </row>
    <row r="93" spans="1:10" x14ac:dyDescent="0.25">
      <c r="A93">
        <f t="shared" si="4"/>
        <v>1</v>
      </c>
      <c r="B93" s="141" t="s">
        <v>636</v>
      </c>
      <c r="C93" s="2" t="s">
        <v>154</v>
      </c>
      <c r="D93" s="131" t="str">
        <f t="shared" si="3"/>
        <v>08600-01</v>
      </c>
      <c r="E93" s="3" t="s">
        <v>636</v>
      </c>
      <c r="F93" s="2" t="s">
        <v>223</v>
      </c>
      <c r="G93" s="1" t="s">
        <v>8</v>
      </c>
      <c r="H93" s="1" t="s">
        <v>354</v>
      </c>
      <c r="I93" s="1" t="s">
        <v>402</v>
      </c>
      <c r="J93" s="1" t="s">
        <v>355</v>
      </c>
    </row>
    <row r="94" spans="1:10" x14ac:dyDescent="0.25">
      <c r="A94">
        <f t="shared" si="4"/>
        <v>1</v>
      </c>
      <c r="B94" s="141" t="s">
        <v>156</v>
      </c>
      <c r="C94" s="2" t="s">
        <v>155</v>
      </c>
      <c r="D94" s="131" t="str">
        <f t="shared" si="3"/>
        <v>08050-01</v>
      </c>
      <c r="E94" s="3" t="s">
        <v>156</v>
      </c>
      <c r="F94" s="2" t="s">
        <v>223</v>
      </c>
      <c r="G94" s="1" t="s">
        <v>8</v>
      </c>
      <c r="H94" s="1" t="s">
        <v>356</v>
      </c>
      <c r="I94" s="1" t="s">
        <v>402</v>
      </c>
      <c r="J94" s="1" t="s">
        <v>357</v>
      </c>
    </row>
    <row r="95" spans="1:10" x14ac:dyDescent="0.25">
      <c r="A95">
        <f t="shared" si="4"/>
        <v>1</v>
      </c>
      <c r="B95" s="141" t="s">
        <v>158</v>
      </c>
      <c r="C95" s="4" t="s">
        <v>157</v>
      </c>
      <c r="D95" s="131" t="str">
        <f t="shared" si="3"/>
        <v>09600-01</v>
      </c>
      <c r="E95" s="3" t="s">
        <v>158</v>
      </c>
      <c r="F95" s="2" t="s">
        <v>224</v>
      </c>
      <c r="G95" s="1" t="s">
        <v>9</v>
      </c>
      <c r="H95" s="1" t="s">
        <v>358</v>
      </c>
      <c r="I95" s="1" t="s">
        <v>402</v>
      </c>
      <c r="J95" s="1" t="s">
        <v>361</v>
      </c>
    </row>
    <row r="96" spans="1:10" x14ac:dyDescent="0.25">
      <c r="A96">
        <f t="shared" si="4"/>
        <v>1</v>
      </c>
      <c r="B96" s="141" t="s">
        <v>160</v>
      </c>
      <c r="C96" s="6" t="s">
        <v>159</v>
      </c>
      <c r="D96" s="131" t="str">
        <f t="shared" si="3"/>
        <v>09600-02</v>
      </c>
      <c r="E96" s="3" t="s">
        <v>160</v>
      </c>
      <c r="F96" s="2" t="s">
        <v>224</v>
      </c>
      <c r="G96" s="1" t="s">
        <v>9</v>
      </c>
      <c r="H96" s="1" t="s">
        <v>358</v>
      </c>
      <c r="I96" s="1" t="s">
        <v>217</v>
      </c>
      <c r="J96" s="1" t="s">
        <v>361</v>
      </c>
    </row>
    <row r="97" spans="1:10" x14ac:dyDescent="0.25">
      <c r="A97">
        <f t="shared" si="4"/>
        <v>1</v>
      </c>
      <c r="B97" s="141" t="s">
        <v>162</v>
      </c>
      <c r="C97" s="4" t="s">
        <v>161</v>
      </c>
      <c r="D97" s="131" t="str">
        <f t="shared" si="3"/>
        <v>09600-03</v>
      </c>
      <c r="E97" s="3" t="s">
        <v>162</v>
      </c>
      <c r="F97" s="2" t="s">
        <v>224</v>
      </c>
      <c r="G97" s="1" t="s">
        <v>9</v>
      </c>
      <c r="H97" s="1" t="s">
        <v>358</v>
      </c>
      <c r="I97" s="1" t="s">
        <v>218</v>
      </c>
      <c r="J97" s="1" t="s">
        <v>361</v>
      </c>
    </row>
    <row r="98" spans="1:10" x14ac:dyDescent="0.25">
      <c r="A98">
        <f t="shared" si="4"/>
        <v>1</v>
      </c>
      <c r="B98" s="141" t="s">
        <v>164</v>
      </c>
      <c r="C98" s="4" t="s">
        <v>163</v>
      </c>
      <c r="D98" s="131" t="str">
        <f t="shared" si="3"/>
        <v>09600-04</v>
      </c>
      <c r="E98" s="3" t="s">
        <v>164</v>
      </c>
      <c r="F98" s="2" t="s">
        <v>224</v>
      </c>
      <c r="G98" s="1" t="s">
        <v>9</v>
      </c>
      <c r="H98" s="1" t="s">
        <v>358</v>
      </c>
      <c r="I98" s="1" t="s">
        <v>219</v>
      </c>
      <c r="J98" s="1" t="s">
        <v>361</v>
      </c>
    </row>
    <row r="99" spans="1:10" x14ac:dyDescent="0.25">
      <c r="A99">
        <f t="shared" si="4"/>
        <v>1</v>
      </c>
      <c r="B99" s="141" t="s">
        <v>166</v>
      </c>
      <c r="C99" s="4" t="s">
        <v>165</v>
      </c>
      <c r="D99" s="131" t="str">
        <f t="shared" si="3"/>
        <v>09600-05</v>
      </c>
      <c r="E99" s="3" t="s">
        <v>166</v>
      </c>
      <c r="F99" s="2" t="s">
        <v>224</v>
      </c>
      <c r="G99" s="1" t="s">
        <v>9</v>
      </c>
      <c r="H99" s="1" t="s">
        <v>358</v>
      </c>
      <c r="I99" s="1" t="s">
        <v>220</v>
      </c>
      <c r="J99" s="1" t="s">
        <v>361</v>
      </c>
    </row>
    <row r="100" spans="1:10" x14ac:dyDescent="0.25">
      <c r="A100">
        <f t="shared" si="4"/>
        <v>1</v>
      </c>
      <c r="B100" s="141" t="s">
        <v>168</v>
      </c>
      <c r="C100" s="4" t="s">
        <v>167</v>
      </c>
      <c r="D100" s="131" t="str">
        <f t="shared" ref="D100:D131" si="5">H100&amp;"-"&amp;I100</f>
        <v>09300-01</v>
      </c>
      <c r="E100" s="3" t="s">
        <v>168</v>
      </c>
      <c r="F100" s="2" t="s">
        <v>224</v>
      </c>
      <c r="G100" s="1" t="s">
        <v>9</v>
      </c>
      <c r="H100" s="1" t="s">
        <v>359</v>
      </c>
      <c r="I100" s="1" t="s">
        <v>402</v>
      </c>
      <c r="J100" s="1" t="s">
        <v>360</v>
      </c>
    </row>
    <row r="101" spans="1:10" x14ac:dyDescent="0.25">
      <c r="A101">
        <f t="shared" si="4"/>
        <v>1</v>
      </c>
      <c r="B101" s="141" t="s">
        <v>170</v>
      </c>
      <c r="C101" s="4" t="s">
        <v>169</v>
      </c>
      <c r="D101" s="131" t="str">
        <f t="shared" si="5"/>
        <v>09300-02</v>
      </c>
      <c r="E101" s="3" t="s">
        <v>170</v>
      </c>
      <c r="F101" s="2" t="s">
        <v>224</v>
      </c>
      <c r="G101" s="1" t="s">
        <v>9</v>
      </c>
      <c r="H101" s="1" t="s">
        <v>359</v>
      </c>
      <c r="I101" s="1" t="s">
        <v>217</v>
      </c>
      <c r="J101" s="1" t="s">
        <v>360</v>
      </c>
    </row>
    <row r="102" spans="1:10" x14ac:dyDescent="0.25">
      <c r="A102">
        <f t="shared" si="4"/>
        <v>1</v>
      </c>
      <c r="B102" s="141" t="s">
        <v>172</v>
      </c>
      <c r="C102" s="4" t="s">
        <v>171</v>
      </c>
      <c r="D102" s="131" t="str">
        <f t="shared" si="5"/>
        <v>09300-03</v>
      </c>
      <c r="E102" s="3" t="s">
        <v>172</v>
      </c>
      <c r="F102" s="2" t="s">
        <v>224</v>
      </c>
      <c r="G102" s="1" t="s">
        <v>9</v>
      </c>
      <c r="H102" s="1" t="s">
        <v>359</v>
      </c>
      <c r="I102" s="1" t="s">
        <v>218</v>
      </c>
      <c r="J102" s="1" t="s">
        <v>360</v>
      </c>
    </row>
    <row r="103" spans="1:10" x14ac:dyDescent="0.25">
      <c r="A103">
        <f t="shared" si="4"/>
        <v>1</v>
      </c>
      <c r="B103" s="141" t="s">
        <v>174</v>
      </c>
      <c r="C103" s="4" t="s">
        <v>173</v>
      </c>
      <c r="D103" s="131" t="str">
        <f t="shared" si="5"/>
        <v>09300-04</v>
      </c>
      <c r="E103" s="3" t="s">
        <v>174</v>
      </c>
      <c r="F103" s="2" t="s">
        <v>224</v>
      </c>
      <c r="G103" s="1" t="s">
        <v>9</v>
      </c>
      <c r="H103" s="1" t="s">
        <v>359</v>
      </c>
      <c r="I103" s="1" t="s">
        <v>219</v>
      </c>
      <c r="J103" s="1" t="s">
        <v>360</v>
      </c>
    </row>
    <row r="104" spans="1:10" x14ac:dyDescent="0.25">
      <c r="A104">
        <f t="shared" si="4"/>
        <v>1</v>
      </c>
      <c r="B104" s="141" t="s">
        <v>176</v>
      </c>
      <c r="C104" s="4" t="s">
        <v>175</v>
      </c>
      <c r="D104" s="131" t="str">
        <f t="shared" si="5"/>
        <v>09300-05</v>
      </c>
      <c r="E104" s="1" t="s">
        <v>176</v>
      </c>
      <c r="F104" s="2" t="s">
        <v>224</v>
      </c>
      <c r="G104" s="1" t="s">
        <v>9</v>
      </c>
      <c r="H104" s="1" t="s">
        <v>359</v>
      </c>
      <c r="I104" s="1" t="s">
        <v>220</v>
      </c>
      <c r="J104" s="1" t="s">
        <v>360</v>
      </c>
    </row>
    <row r="105" spans="1:10" x14ac:dyDescent="0.25">
      <c r="A105">
        <f t="shared" si="4"/>
        <v>1</v>
      </c>
      <c r="B105" s="141" t="s">
        <v>178</v>
      </c>
      <c r="C105" s="4" t="s">
        <v>177</v>
      </c>
      <c r="D105" s="131" t="str">
        <f t="shared" si="5"/>
        <v>09300-06</v>
      </c>
      <c r="E105" s="3" t="s">
        <v>178</v>
      </c>
      <c r="F105" s="2" t="s">
        <v>224</v>
      </c>
      <c r="G105" s="1" t="s">
        <v>9</v>
      </c>
      <c r="H105" s="1" t="s">
        <v>359</v>
      </c>
      <c r="I105" s="1" t="s">
        <v>221</v>
      </c>
      <c r="J105" s="1" t="s">
        <v>360</v>
      </c>
    </row>
    <row r="106" spans="1:10" x14ac:dyDescent="0.25">
      <c r="A106">
        <f t="shared" si="4"/>
        <v>1</v>
      </c>
      <c r="B106" s="141" t="s">
        <v>180</v>
      </c>
      <c r="C106" s="4" t="s">
        <v>179</v>
      </c>
      <c r="D106" s="131" t="str">
        <f t="shared" si="5"/>
        <v>09300-07</v>
      </c>
      <c r="E106" s="3" t="s">
        <v>180</v>
      </c>
      <c r="F106" s="2" t="s">
        <v>224</v>
      </c>
      <c r="G106" s="1" t="s">
        <v>9</v>
      </c>
      <c r="H106" s="1" t="s">
        <v>359</v>
      </c>
      <c r="I106" s="1" t="s">
        <v>222</v>
      </c>
      <c r="J106" s="1" t="s">
        <v>360</v>
      </c>
    </row>
    <row r="107" spans="1:10" x14ac:dyDescent="0.25">
      <c r="A107">
        <f t="shared" si="4"/>
        <v>1</v>
      </c>
      <c r="B107" s="141" t="s">
        <v>182</v>
      </c>
      <c r="C107" s="4" t="s">
        <v>181</v>
      </c>
      <c r="D107" s="131" t="str">
        <f t="shared" si="5"/>
        <v>09700-01</v>
      </c>
      <c r="E107" s="3" t="s">
        <v>182</v>
      </c>
      <c r="F107" s="2" t="s">
        <v>224</v>
      </c>
      <c r="G107" s="1" t="s">
        <v>9</v>
      </c>
      <c r="H107" s="1" t="s">
        <v>362</v>
      </c>
      <c r="I107" s="1" t="s">
        <v>402</v>
      </c>
      <c r="J107" s="1" t="s">
        <v>363</v>
      </c>
    </row>
    <row r="108" spans="1:10" x14ac:dyDescent="0.25">
      <c r="A108">
        <f t="shared" si="4"/>
        <v>1</v>
      </c>
      <c r="B108" s="141" t="s">
        <v>184</v>
      </c>
      <c r="C108" s="4" t="s">
        <v>183</v>
      </c>
      <c r="D108" s="131" t="str">
        <f t="shared" si="5"/>
        <v>09700-02</v>
      </c>
      <c r="E108" s="3" t="s">
        <v>184</v>
      </c>
      <c r="F108" s="2" t="s">
        <v>224</v>
      </c>
      <c r="G108" s="1" t="s">
        <v>9</v>
      </c>
      <c r="H108" s="1" t="s">
        <v>362</v>
      </c>
      <c r="I108" s="1" t="s">
        <v>217</v>
      </c>
      <c r="J108" s="1" t="s">
        <v>363</v>
      </c>
    </row>
    <row r="109" spans="1:10" x14ac:dyDescent="0.25">
      <c r="A109">
        <f t="shared" si="4"/>
        <v>1</v>
      </c>
      <c r="B109" s="141" t="s">
        <v>186</v>
      </c>
      <c r="C109" s="4" t="s">
        <v>185</v>
      </c>
      <c r="D109" s="131" t="str">
        <f t="shared" si="5"/>
        <v>09200-01</v>
      </c>
      <c r="E109" s="3" t="s">
        <v>186</v>
      </c>
      <c r="F109" s="2" t="s">
        <v>224</v>
      </c>
      <c r="G109" s="1" t="s">
        <v>9</v>
      </c>
      <c r="H109" s="1" t="s">
        <v>364</v>
      </c>
      <c r="I109" s="1" t="s">
        <v>402</v>
      </c>
      <c r="J109" s="1" t="s">
        <v>365</v>
      </c>
    </row>
    <row r="110" spans="1:10" x14ac:dyDescent="0.25">
      <c r="A110">
        <f t="shared" si="4"/>
        <v>1</v>
      </c>
      <c r="B110" s="141" t="s">
        <v>188</v>
      </c>
      <c r="C110" s="4" t="s">
        <v>187</v>
      </c>
      <c r="D110" s="131" t="str">
        <f t="shared" si="5"/>
        <v>09200-02</v>
      </c>
      <c r="E110" s="3" t="s">
        <v>188</v>
      </c>
      <c r="F110" s="2" t="s">
        <v>224</v>
      </c>
      <c r="G110" s="1" t="s">
        <v>9</v>
      </c>
      <c r="H110" s="1" t="s">
        <v>364</v>
      </c>
      <c r="I110" s="1" t="s">
        <v>217</v>
      </c>
      <c r="J110" s="1" t="s">
        <v>365</v>
      </c>
    </row>
    <row r="111" spans="1:10" x14ac:dyDescent="0.25">
      <c r="A111">
        <f t="shared" si="4"/>
        <v>1</v>
      </c>
      <c r="B111" s="141" t="s">
        <v>190</v>
      </c>
      <c r="C111" s="4" t="s">
        <v>189</v>
      </c>
      <c r="D111" s="131" t="str">
        <f t="shared" si="5"/>
        <v>09200-03</v>
      </c>
      <c r="E111" s="3" t="s">
        <v>190</v>
      </c>
      <c r="F111" s="2" t="s">
        <v>224</v>
      </c>
      <c r="G111" s="1" t="s">
        <v>9</v>
      </c>
      <c r="H111" s="1" t="s">
        <v>364</v>
      </c>
      <c r="I111" s="1" t="s">
        <v>218</v>
      </c>
      <c r="J111" s="1" t="s">
        <v>365</v>
      </c>
    </row>
    <row r="112" spans="1:10" x14ac:dyDescent="0.25">
      <c r="A112">
        <f t="shared" si="4"/>
        <v>1</v>
      </c>
      <c r="B112" s="141" t="s">
        <v>192</v>
      </c>
      <c r="C112" s="4" t="s">
        <v>191</v>
      </c>
      <c r="D112" s="131" t="str">
        <f t="shared" si="5"/>
        <v>09200-04</v>
      </c>
      <c r="E112" s="3" t="s">
        <v>192</v>
      </c>
      <c r="F112" s="2" t="s">
        <v>224</v>
      </c>
      <c r="G112" s="1" t="s">
        <v>9</v>
      </c>
      <c r="H112" s="1" t="s">
        <v>364</v>
      </c>
      <c r="I112" s="1" t="s">
        <v>219</v>
      </c>
      <c r="J112" s="1" t="s">
        <v>365</v>
      </c>
    </row>
    <row r="113" spans="1:10" x14ac:dyDescent="0.25">
      <c r="A113">
        <f t="shared" si="4"/>
        <v>1</v>
      </c>
      <c r="B113" s="141" t="s">
        <v>194</v>
      </c>
      <c r="C113" s="4" t="s">
        <v>193</v>
      </c>
      <c r="D113" s="131" t="str">
        <f t="shared" si="5"/>
        <v>09200-05</v>
      </c>
      <c r="E113" s="3" t="s">
        <v>194</v>
      </c>
      <c r="F113" s="2" t="s">
        <v>224</v>
      </c>
      <c r="G113" s="1" t="s">
        <v>9</v>
      </c>
      <c r="H113" s="1" t="s">
        <v>364</v>
      </c>
      <c r="I113" s="1" t="s">
        <v>220</v>
      </c>
      <c r="J113" s="1" t="s">
        <v>365</v>
      </c>
    </row>
    <row r="114" spans="1:10" x14ac:dyDescent="0.25">
      <c r="A114">
        <f t="shared" si="4"/>
        <v>1</v>
      </c>
      <c r="B114" s="141" t="s">
        <v>465</v>
      </c>
      <c r="C114" s="4" t="s">
        <v>195</v>
      </c>
      <c r="D114" s="131" t="str">
        <f t="shared" si="5"/>
        <v>09900-01</v>
      </c>
      <c r="E114" s="3" t="s">
        <v>465</v>
      </c>
      <c r="F114" s="2" t="s">
        <v>224</v>
      </c>
      <c r="G114" s="1" t="s">
        <v>9</v>
      </c>
      <c r="H114" s="1" t="s">
        <v>366</v>
      </c>
      <c r="I114" s="1" t="s">
        <v>402</v>
      </c>
      <c r="J114" s="1" t="s">
        <v>367</v>
      </c>
    </row>
    <row r="115" spans="1:10" x14ac:dyDescent="0.25">
      <c r="A115">
        <f t="shared" si="4"/>
        <v>1</v>
      </c>
      <c r="B115" s="141" t="s">
        <v>197</v>
      </c>
      <c r="C115" s="4" t="s">
        <v>196</v>
      </c>
      <c r="D115" s="131" t="str">
        <f t="shared" si="5"/>
        <v>09900-02</v>
      </c>
      <c r="E115" s="3" t="s">
        <v>197</v>
      </c>
      <c r="F115" s="2" t="s">
        <v>224</v>
      </c>
      <c r="G115" s="1" t="s">
        <v>9</v>
      </c>
      <c r="H115" s="1" t="s">
        <v>366</v>
      </c>
      <c r="I115" s="1" t="s">
        <v>217</v>
      </c>
      <c r="J115" s="1" t="s">
        <v>367</v>
      </c>
    </row>
    <row r="116" spans="1:10" x14ac:dyDescent="0.25">
      <c r="A116">
        <f t="shared" si="4"/>
        <v>1</v>
      </c>
      <c r="B116" s="141" t="s">
        <v>199</v>
      </c>
      <c r="C116" s="4" t="s">
        <v>198</v>
      </c>
      <c r="D116" s="131" t="str">
        <f t="shared" si="5"/>
        <v>09200-06</v>
      </c>
      <c r="E116" s="3" t="s">
        <v>199</v>
      </c>
      <c r="F116" s="2" t="s">
        <v>224</v>
      </c>
      <c r="G116" s="1" t="s">
        <v>9</v>
      </c>
      <c r="H116" s="1" t="s">
        <v>364</v>
      </c>
      <c r="I116" s="1" t="s">
        <v>221</v>
      </c>
      <c r="J116" s="1" t="s">
        <v>365</v>
      </c>
    </row>
    <row r="117" spans="1:10" x14ac:dyDescent="0.25">
      <c r="A117">
        <f t="shared" si="4"/>
        <v>1</v>
      </c>
      <c r="B117" s="141" t="s">
        <v>201</v>
      </c>
      <c r="C117" s="4" t="s">
        <v>200</v>
      </c>
      <c r="D117" s="131" t="str">
        <f t="shared" si="5"/>
        <v>09900-03</v>
      </c>
      <c r="E117" s="3" t="s">
        <v>201</v>
      </c>
      <c r="F117" s="2" t="s">
        <v>224</v>
      </c>
      <c r="G117" s="1" t="s">
        <v>9</v>
      </c>
      <c r="H117" s="1" t="s">
        <v>366</v>
      </c>
      <c r="I117" s="1" t="s">
        <v>218</v>
      </c>
      <c r="J117" s="1" t="s">
        <v>367</v>
      </c>
    </row>
    <row r="118" spans="1:10" x14ac:dyDescent="0.25">
      <c r="A118">
        <f t="shared" si="4"/>
        <v>1</v>
      </c>
      <c r="B118" s="141" t="s">
        <v>203</v>
      </c>
      <c r="C118" s="4" t="s">
        <v>202</v>
      </c>
      <c r="D118" s="131" t="str">
        <f t="shared" si="5"/>
        <v>09700-03</v>
      </c>
      <c r="E118" s="3" t="s">
        <v>203</v>
      </c>
      <c r="F118" s="2" t="s">
        <v>224</v>
      </c>
      <c r="G118" s="1" t="s">
        <v>9</v>
      </c>
      <c r="H118" s="1" t="s">
        <v>362</v>
      </c>
      <c r="I118" s="1" t="s">
        <v>218</v>
      </c>
      <c r="J118" s="1" t="s">
        <v>363</v>
      </c>
    </row>
    <row r="119" spans="1:10" x14ac:dyDescent="0.25">
      <c r="A119">
        <f t="shared" si="4"/>
        <v>1</v>
      </c>
      <c r="B119" s="141" t="s">
        <v>205</v>
      </c>
      <c r="C119" s="4" t="s">
        <v>204</v>
      </c>
      <c r="D119" s="131" t="str">
        <f t="shared" si="5"/>
        <v>09700-04</v>
      </c>
      <c r="E119" s="3" t="s">
        <v>205</v>
      </c>
      <c r="F119" s="2" t="s">
        <v>224</v>
      </c>
      <c r="G119" s="1" t="s">
        <v>9</v>
      </c>
      <c r="H119" s="1" t="s">
        <v>362</v>
      </c>
      <c r="I119" s="1" t="s">
        <v>219</v>
      </c>
      <c r="J119" s="1" t="s">
        <v>363</v>
      </c>
    </row>
    <row r="120" spans="1:10" x14ac:dyDescent="0.25">
      <c r="A120">
        <f t="shared" si="4"/>
        <v>1</v>
      </c>
      <c r="B120" s="141" t="s">
        <v>469</v>
      </c>
      <c r="C120" s="4" t="s">
        <v>206</v>
      </c>
      <c r="D120" s="131" t="str">
        <f t="shared" si="5"/>
        <v>09700-05</v>
      </c>
      <c r="E120" s="3" t="s">
        <v>469</v>
      </c>
      <c r="F120" s="2" t="s">
        <v>224</v>
      </c>
      <c r="G120" s="1" t="s">
        <v>9</v>
      </c>
      <c r="H120" s="1" t="s">
        <v>362</v>
      </c>
      <c r="I120" s="1" t="s">
        <v>220</v>
      </c>
      <c r="J120" s="1" t="s">
        <v>363</v>
      </c>
    </row>
    <row r="121" spans="1:10" x14ac:dyDescent="0.25">
      <c r="A121">
        <f t="shared" si="4"/>
        <v>1</v>
      </c>
      <c r="B121" s="141" t="s">
        <v>208</v>
      </c>
      <c r="C121" s="4" t="s">
        <v>207</v>
      </c>
      <c r="D121" s="131" t="str">
        <f t="shared" si="5"/>
        <v>10800-01</v>
      </c>
      <c r="E121" s="3" t="s">
        <v>208</v>
      </c>
      <c r="F121" s="2" t="s">
        <v>225</v>
      </c>
      <c r="G121" s="1" t="s">
        <v>10</v>
      </c>
      <c r="H121" s="1" t="s">
        <v>368</v>
      </c>
      <c r="I121" s="1" t="s">
        <v>402</v>
      </c>
      <c r="J121" s="1" t="s">
        <v>371</v>
      </c>
    </row>
    <row r="122" spans="1:10" x14ac:dyDescent="0.25">
      <c r="A122">
        <f t="shared" si="4"/>
        <v>1</v>
      </c>
      <c r="B122" s="141" t="s">
        <v>210</v>
      </c>
      <c r="C122" s="4" t="s">
        <v>209</v>
      </c>
      <c r="D122" s="131" t="str">
        <f t="shared" si="5"/>
        <v>10100-01</v>
      </c>
      <c r="E122" s="3" t="s">
        <v>210</v>
      </c>
      <c r="F122" s="2" t="s">
        <v>225</v>
      </c>
      <c r="G122" s="1" t="s">
        <v>10</v>
      </c>
      <c r="H122" s="1" t="s">
        <v>370</v>
      </c>
      <c r="I122" s="1" t="s">
        <v>402</v>
      </c>
      <c r="J122" s="1" t="s">
        <v>373</v>
      </c>
    </row>
    <row r="123" spans="1:10" x14ac:dyDescent="0.25">
      <c r="A123">
        <f t="shared" si="4"/>
        <v>1</v>
      </c>
      <c r="B123" s="141" t="s">
        <v>212</v>
      </c>
      <c r="C123" s="4" t="s">
        <v>211</v>
      </c>
      <c r="D123" s="131" t="str">
        <f t="shared" si="5"/>
        <v>10200-01</v>
      </c>
      <c r="E123" s="3" t="s">
        <v>212</v>
      </c>
      <c r="F123" s="2" t="s">
        <v>225</v>
      </c>
      <c r="G123" s="1" t="s">
        <v>10</v>
      </c>
      <c r="H123" s="1" t="s">
        <v>369</v>
      </c>
      <c r="I123" s="1" t="s">
        <v>402</v>
      </c>
      <c r="J123" s="1" t="s">
        <v>372</v>
      </c>
    </row>
    <row r="124" spans="1:10" x14ac:dyDescent="0.25">
      <c r="A124">
        <f t="shared" si="4"/>
        <v>1</v>
      </c>
      <c r="B124" s="141" t="s">
        <v>269</v>
      </c>
      <c r="C124" s="4" t="s">
        <v>266</v>
      </c>
      <c r="D124" s="131" t="str">
        <f t="shared" si="5"/>
        <v>11200-01</v>
      </c>
      <c r="E124" s="3" t="s">
        <v>269</v>
      </c>
      <c r="F124" s="10" t="s">
        <v>264</v>
      </c>
      <c r="G124" s="1" t="s">
        <v>263</v>
      </c>
      <c r="H124" s="1" t="s">
        <v>374</v>
      </c>
      <c r="I124" s="1" t="s">
        <v>402</v>
      </c>
      <c r="J124" s="1" t="s">
        <v>375</v>
      </c>
    </row>
    <row r="125" spans="1:10" x14ac:dyDescent="0.25">
      <c r="A125">
        <f t="shared" si="4"/>
        <v>1</v>
      </c>
      <c r="B125" s="141" t="s">
        <v>270</v>
      </c>
      <c r="C125" s="4" t="s">
        <v>267</v>
      </c>
      <c r="D125" s="131" t="str">
        <f t="shared" si="5"/>
        <v>11460-01</v>
      </c>
      <c r="E125" s="3" t="s">
        <v>270</v>
      </c>
      <c r="F125" s="10" t="s">
        <v>264</v>
      </c>
      <c r="G125" s="1" t="s">
        <v>263</v>
      </c>
      <c r="H125" s="1" t="s">
        <v>376</v>
      </c>
      <c r="I125" s="1" t="s">
        <v>402</v>
      </c>
      <c r="J125" s="1" t="s">
        <v>377</v>
      </c>
    </row>
    <row r="126" spans="1:10" x14ac:dyDescent="0.25">
      <c r="A126">
        <f t="shared" si="4"/>
        <v>1</v>
      </c>
      <c r="B126" s="141" t="s">
        <v>653</v>
      </c>
      <c r="C126" s="4" t="s">
        <v>268</v>
      </c>
      <c r="D126" s="131" t="str">
        <f t="shared" si="5"/>
        <v>11110-01</v>
      </c>
      <c r="E126" s="3" t="s">
        <v>653</v>
      </c>
      <c r="F126" s="10" t="s">
        <v>264</v>
      </c>
      <c r="G126" s="1" t="s">
        <v>263</v>
      </c>
      <c r="H126" s="1" t="s">
        <v>380</v>
      </c>
      <c r="I126" s="1" t="s">
        <v>402</v>
      </c>
      <c r="J126" s="1" t="s">
        <v>381</v>
      </c>
    </row>
    <row r="127" spans="1:10" x14ac:dyDescent="0.25">
      <c r="A127">
        <f t="shared" si="4"/>
        <v>1</v>
      </c>
      <c r="B127" s="141" t="s">
        <v>271</v>
      </c>
      <c r="C127" s="4" t="s">
        <v>307</v>
      </c>
      <c r="D127" s="131" t="str">
        <f t="shared" si="5"/>
        <v>11600-01</v>
      </c>
      <c r="E127" s="3" t="s">
        <v>271</v>
      </c>
      <c r="F127" s="10" t="s">
        <v>264</v>
      </c>
      <c r="G127" s="1" t="s">
        <v>263</v>
      </c>
      <c r="H127" s="1" t="s">
        <v>378</v>
      </c>
      <c r="I127" s="1" t="s">
        <v>402</v>
      </c>
      <c r="J127" s="1" t="s">
        <v>379</v>
      </c>
    </row>
    <row r="128" spans="1:10" x14ac:dyDescent="0.25">
      <c r="A128">
        <f t="shared" si="4"/>
        <v>1</v>
      </c>
      <c r="B128" s="141" t="s">
        <v>11</v>
      </c>
      <c r="C128" s="4" t="s">
        <v>213</v>
      </c>
      <c r="D128" s="131" t="str">
        <f t="shared" si="5"/>
        <v>12500-01</v>
      </c>
      <c r="E128" s="3" t="s">
        <v>11</v>
      </c>
      <c r="F128" s="2" t="s">
        <v>226</v>
      </c>
      <c r="G128" s="1" t="s">
        <v>11</v>
      </c>
      <c r="H128" s="1" t="s">
        <v>382</v>
      </c>
      <c r="I128" s="1" t="s">
        <v>402</v>
      </c>
      <c r="J128" s="1" t="s">
        <v>11</v>
      </c>
    </row>
    <row r="129" spans="1:10" x14ac:dyDescent="0.25">
      <c r="A129">
        <f t="shared" si="4"/>
        <v>1</v>
      </c>
      <c r="B129" s="141" t="s">
        <v>272</v>
      </c>
      <c r="C129" s="4" t="s">
        <v>280</v>
      </c>
      <c r="D129" s="131" t="str">
        <f t="shared" si="5"/>
        <v>13200-01</v>
      </c>
      <c r="E129" s="3" t="s">
        <v>272</v>
      </c>
      <c r="F129" s="2" t="s">
        <v>265</v>
      </c>
      <c r="G129" s="1" t="s">
        <v>286</v>
      </c>
      <c r="H129" s="1" t="s">
        <v>383</v>
      </c>
      <c r="I129" s="1" t="s">
        <v>402</v>
      </c>
      <c r="J129" s="1" t="s">
        <v>384</v>
      </c>
    </row>
    <row r="130" spans="1:10" x14ac:dyDescent="0.25">
      <c r="A130">
        <f t="shared" si="4"/>
        <v>1</v>
      </c>
      <c r="B130" s="141" t="s">
        <v>273</v>
      </c>
      <c r="C130" s="4" t="s">
        <v>281</v>
      </c>
      <c r="D130" s="131" t="str">
        <f t="shared" si="5"/>
        <v>13200-02</v>
      </c>
      <c r="E130" s="3" t="s">
        <v>273</v>
      </c>
      <c r="F130" s="2" t="s">
        <v>265</v>
      </c>
      <c r="G130" s="1" t="s">
        <v>286</v>
      </c>
      <c r="H130" s="1" t="s">
        <v>383</v>
      </c>
      <c r="I130" s="1" t="s">
        <v>217</v>
      </c>
      <c r="J130" s="1" t="s">
        <v>384</v>
      </c>
    </row>
    <row r="131" spans="1:10" x14ac:dyDescent="0.25">
      <c r="A131">
        <f t="shared" si="4"/>
        <v>1</v>
      </c>
      <c r="B131" s="141" t="s">
        <v>274</v>
      </c>
      <c r="C131" s="4" t="s">
        <v>282</v>
      </c>
      <c r="D131" s="131" t="str">
        <f t="shared" si="5"/>
        <v>13240-01</v>
      </c>
      <c r="E131" s="3" t="s">
        <v>274</v>
      </c>
      <c r="F131" s="2" t="s">
        <v>265</v>
      </c>
      <c r="G131" s="1" t="s">
        <v>286</v>
      </c>
      <c r="H131" s="1" t="s">
        <v>388</v>
      </c>
      <c r="I131" s="1" t="s">
        <v>402</v>
      </c>
      <c r="J131" s="1" t="s">
        <v>387</v>
      </c>
    </row>
    <row r="132" spans="1:10" x14ac:dyDescent="0.25">
      <c r="A132">
        <f t="shared" si="4"/>
        <v>1</v>
      </c>
      <c r="B132" s="141" t="s">
        <v>275</v>
      </c>
      <c r="C132" s="4" t="s">
        <v>283</v>
      </c>
      <c r="D132" s="131" t="str">
        <f t="shared" ref="D132:D146" si="6">H132&amp;"-"&amp;I132</f>
        <v>13240-02</v>
      </c>
      <c r="E132" s="3" t="s">
        <v>275</v>
      </c>
      <c r="F132" s="2" t="s">
        <v>265</v>
      </c>
      <c r="G132" s="1" t="s">
        <v>286</v>
      </c>
      <c r="H132" s="1" t="s">
        <v>388</v>
      </c>
      <c r="I132" s="1" t="s">
        <v>217</v>
      </c>
      <c r="J132" s="1" t="s">
        <v>387</v>
      </c>
    </row>
    <row r="133" spans="1:10" x14ac:dyDescent="0.25">
      <c r="A133">
        <f t="shared" ref="A133:A146" si="7">COUNTIF($D$4:$D$146,D133)</f>
        <v>1</v>
      </c>
      <c r="B133" s="141" t="s">
        <v>276</v>
      </c>
      <c r="C133" s="4" t="s">
        <v>284</v>
      </c>
      <c r="D133" s="131" t="str">
        <f t="shared" si="6"/>
        <v>13800-01</v>
      </c>
      <c r="E133" s="3" t="s">
        <v>276</v>
      </c>
      <c r="F133" s="2" t="s">
        <v>265</v>
      </c>
      <c r="G133" s="1" t="s">
        <v>286</v>
      </c>
      <c r="H133" s="1" t="s">
        <v>396</v>
      </c>
      <c r="I133" s="1" t="s">
        <v>402</v>
      </c>
      <c r="J133" s="1" t="s">
        <v>397</v>
      </c>
    </row>
    <row r="134" spans="1:10" x14ac:dyDescent="0.25">
      <c r="A134">
        <f t="shared" si="7"/>
        <v>1</v>
      </c>
      <c r="B134" s="141" t="s">
        <v>277</v>
      </c>
      <c r="C134" s="4" t="s">
        <v>285</v>
      </c>
      <c r="D134" s="131" t="str">
        <f t="shared" si="6"/>
        <v>13900-01</v>
      </c>
      <c r="E134" s="3" t="s">
        <v>277</v>
      </c>
      <c r="F134" s="2" t="s">
        <v>265</v>
      </c>
      <c r="G134" s="1" t="s">
        <v>286</v>
      </c>
      <c r="H134" s="1" t="s">
        <v>385</v>
      </c>
      <c r="I134" s="1" t="s">
        <v>402</v>
      </c>
      <c r="J134" s="1" t="s">
        <v>386</v>
      </c>
    </row>
    <row r="135" spans="1:10" x14ac:dyDescent="0.25">
      <c r="A135">
        <f t="shared" si="7"/>
        <v>1</v>
      </c>
      <c r="B135" s="141" t="s">
        <v>215</v>
      </c>
      <c r="C135" s="4" t="s">
        <v>214</v>
      </c>
      <c r="D135" s="131" t="str">
        <f t="shared" si="6"/>
        <v>14200-01</v>
      </c>
      <c r="E135" s="3" t="s">
        <v>215</v>
      </c>
      <c r="F135" s="2" t="s">
        <v>227</v>
      </c>
      <c r="G135" s="1" t="s">
        <v>12</v>
      </c>
      <c r="H135" s="1" t="s">
        <v>389</v>
      </c>
      <c r="I135" s="1" t="s">
        <v>402</v>
      </c>
      <c r="J135" s="1" t="s">
        <v>390</v>
      </c>
    </row>
    <row r="136" spans="1:10" x14ac:dyDescent="0.25">
      <c r="A136">
        <f t="shared" si="7"/>
        <v>1</v>
      </c>
      <c r="B136" s="141" t="s">
        <v>216</v>
      </c>
      <c r="C136" s="4" t="s">
        <v>291</v>
      </c>
      <c r="D136" s="131" t="str">
        <f t="shared" si="6"/>
        <v>15700-01</v>
      </c>
      <c r="E136" s="3" t="s">
        <v>216</v>
      </c>
      <c r="F136" s="2" t="s">
        <v>278</v>
      </c>
      <c r="G136" s="1" t="s">
        <v>287</v>
      </c>
      <c r="H136" s="1" t="s">
        <v>391</v>
      </c>
      <c r="I136" s="1" t="s">
        <v>402</v>
      </c>
      <c r="J136" s="1" t="s">
        <v>392</v>
      </c>
    </row>
    <row r="137" spans="1:10" x14ac:dyDescent="0.25">
      <c r="A137">
        <f t="shared" si="7"/>
        <v>1</v>
      </c>
      <c r="B137" s="141" t="s">
        <v>288</v>
      </c>
      <c r="C137" s="4" t="s">
        <v>292</v>
      </c>
      <c r="D137" s="131" t="str">
        <f t="shared" si="6"/>
        <v>15100-01</v>
      </c>
      <c r="E137" s="3" t="s">
        <v>288</v>
      </c>
      <c r="F137" s="2" t="s">
        <v>278</v>
      </c>
      <c r="G137" s="1" t="s">
        <v>287</v>
      </c>
      <c r="H137" s="1" t="s">
        <v>393</v>
      </c>
      <c r="I137" s="1" t="s">
        <v>402</v>
      </c>
      <c r="J137" s="1" t="s">
        <v>398</v>
      </c>
    </row>
    <row r="138" spans="1:10" x14ac:dyDescent="0.25">
      <c r="A138">
        <f t="shared" si="7"/>
        <v>1</v>
      </c>
      <c r="B138" s="141" t="s">
        <v>289</v>
      </c>
      <c r="C138" s="4" t="s">
        <v>293</v>
      </c>
      <c r="D138" s="131" t="str">
        <f t="shared" si="6"/>
        <v>15100-02</v>
      </c>
      <c r="E138" s="3" t="s">
        <v>289</v>
      </c>
      <c r="F138" s="2" t="s">
        <v>278</v>
      </c>
      <c r="G138" s="1" t="s">
        <v>287</v>
      </c>
      <c r="H138" s="1" t="s">
        <v>393</v>
      </c>
      <c r="I138" s="1" t="s">
        <v>217</v>
      </c>
      <c r="J138" s="1" t="s">
        <v>398</v>
      </c>
    </row>
    <row r="139" spans="1:10" x14ac:dyDescent="0.25">
      <c r="A139">
        <f t="shared" si="7"/>
        <v>1</v>
      </c>
      <c r="B139" s="141" t="s">
        <v>290</v>
      </c>
      <c r="C139" s="4" t="s">
        <v>294</v>
      </c>
      <c r="D139" s="131" t="str">
        <f t="shared" si="6"/>
        <v>15100-03</v>
      </c>
      <c r="E139" s="3" t="s">
        <v>290</v>
      </c>
      <c r="F139" s="2" t="s">
        <v>278</v>
      </c>
      <c r="G139" s="1" t="s">
        <v>287</v>
      </c>
      <c r="H139" s="1" t="s">
        <v>393</v>
      </c>
      <c r="I139" s="1" t="s">
        <v>218</v>
      </c>
      <c r="J139" s="1" t="s">
        <v>398</v>
      </c>
    </row>
    <row r="140" spans="1:10" x14ac:dyDescent="0.25">
      <c r="A140">
        <f t="shared" si="7"/>
        <v>1</v>
      </c>
      <c r="B140" s="141" t="s">
        <v>295</v>
      </c>
      <c r="C140" s="4" t="s">
        <v>300</v>
      </c>
      <c r="D140" s="131" t="str">
        <f t="shared" si="6"/>
        <v>15200-01</v>
      </c>
      <c r="E140" s="3" t="s">
        <v>295</v>
      </c>
      <c r="F140" s="2" t="s">
        <v>278</v>
      </c>
      <c r="G140" s="1" t="s">
        <v>287</v>
      </c>
      <c r="H140" s="1" t="s">
        <v>394</v>
      </c>
      <c r="I140" s="1" t="s">
        <v>402</v>
      </c>
      <c r="J140" s="1" t="s">
        <v>399</v>
      </c>
    </row>
    <row r="141" spans="1:10" x14ac:dyDescent="0.25">
      <c r="A141">
        <f t="shared" si="7"/>
        <v>1</v>
      </c>
      <c r="B141" s="141" t="s">
        <v>296</v>
      </c>
      <c r="C141" s="4" t="s">
        <v>301</v>
      </c>
      <c r="D141" s="131" t="str">
        <f t="shared" si="6"/>
        <v>15200-02</v>
      </c>
      <c r="E141" s="3" t="s">
        <v>296</v>
      </c>
      <c r="F141" s="2" t="s">
        <v>278</v>
      </c>
      <c r="G141" s="1" t="s">
        <v>287</v>
      </c>
      <c r="H141" s="1" t="s">
        <v>394</v>
      </c>
      <c r="I141" s="1" t="s">
        <v>217</v>
      </c>
      <c r="J141" s="1" t="s">
        <v>399</v>
      </c>
    </row>
    <row r="142" spans="1:10" x14ac:dyDescent="0.25">
      <c r="A142">
        <f t="shared" si="7"/>
        <v>1</v>
      </c>
      <c r="B142" s="141" t="s">
        <v>297</v>
      </c>
      <c r="C142" s="4" t="s">
        <v>302</v>
      </c>
      <c r="D142" s="131" t="str">
        <f t="shared" si="6"/>
        <v>15200-03</v>
      </c>
      <c r="E142" s="3" t="s">
        <v>297</v>
      </c>
      <c r="F142" s="2" t="s">
        <v>278</v>
      </c>
      <c r="G142" s="1" t="s">
        <v>287</v>
      </c>
      <c r="H142" s="1" t="s">
        <v>394</v>
      </c>
      <c r="I142" s="1" t="s">
        <v>218</v>
      </c>
      <c r="J142" s="1" t="s">
        <v>399</v>
      </c>
    </row>
    <row r="143" spans="1:10" x14ac:dyDescent="0.25">
      <c r="A143">
        <f t="shared" si="7"/>
        <v>1</v>
      </c>
      <c r="B143" s="141" t="s">
        <v>298</v>
      </c>
      <c r="C143" s="4" t="s">
        <v>303</v>
      </c>
      <c r="D143" s="131" t="str">
        <f t="shared" si="6"/>
        <v>15200-04</v>
      </c>
      <c r="E143" s="3" t="s">
        <v>298</v>
      </c>
      <c r="F143" s="2" t="s">
        <v>278</v>
      </c>
      <c r="G143" s="1" t="s">
        <v>287</v>
      </c>
      <c r="H143" s="1" t="s">
        <v>394</v>
      </c>
      <c r="I143" s="1" t="s">
        <v>219</v>
      </c>
      <c r="J143" s="1" t="s">
        <v>399</v>
      </c>
    </row>
    <row r="144" spans="1:10" x14ac:dyDescent="0.25">
      <c r="A144">
        <f t="shared" si="7"/>
        <v>1</v>
      </c>
      <c r="B144" s="141" t="s">
        <v>299</v>
      </c>
      <c r="C144" s="4" t="s">
        <v>304</v>
      </c>
      <c r="D144" s="131" t="str">
        <f t="shared" si="6"/>
        <v>15200-05</v>
      </c>
      <c r="E144" s="3" t="s">
        <v>299</v>
      </c>
      <c r="F144" s="2" t="s">
        <v>278</v>
      </c>
      <c r="G144" s="1" t="s">
        <v>287</v>
      </c>
      <c r="H144" s="1" t="s">
        <v>394</v>
      </c>
      <c r="I144" s="1" t="s">
        <v>220</v>
      </c>
      <c r="J144" s="1" t="s">
        <v>399</v>
      </c>
    </row>
    <row r="145" spans="1:10" x14ac:dyDescent="0.25">
      <c r="A145">
        <f t="shared" si="7"/>
        <v>1</v>
      </c>
      <c r="B145" s="141" t="s">
        <v>410</v>
      </c>
      <c r="C145" s="4" t="s">
        <v>409</v>
      </c>
      <c r="D145" s="131" t="str">
        <f t="shared" si="6"/>
        <v>15200-06</v>
      </c>
      <c r="E145" s="3" t="s">
        <v>410</v>
      </c>
      <c r="F145" s="2" t="s">
        <v>278</v>
      </c>
      <c r="G145" s="1" t="s">
        <v>287</v>
      </c>
      <c r="H145" s="1" t="s">
        <v>394</v>
      </c>
      <c r="I145" s="1" t="s">
        <v>221</v>
      </c>
      <c r="J145" s="1" t="s">
        <v>399</v>
      </c>
    </row>
    <row r="146" spans="1:10" x14ac:dyDescent="0.25">
      <c r="A146">
        <f t="shared" si="7"/>
        <v>1</v>
      </c>
      <c r="B146" s="141" t="s">
        <v>14</v>
      </c>
      <c r="C146" s="9" t="s">
        <v>262</v>
      </c>
      <c r="D146" s="131" t="str">
        <f t="shared" si="6"/>
        <v>16050-01</v>
      </c>
      <c r="E146" s="3" t="s">
        <v>14</v>
      </c>
      <c r="F146" s="10" t="s">
        <v>279</v>
      </c>
      <c r="G146" s="1" t="s">
        <v>13</v>
      </c>
      <c r="H146" s="1" t="s">
        <v>395</v>
      </c>
      <c r="I146" s="1" t="s">
        <v>402</v>
      </c>
      <c r="J146" s="1" t="s">
        <v>400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2:J187"/>
  <sheetViews>
    <sheetView workbookViewId="0">
      <selection activeCell="F178" sqref="F178"/>
    </sheetView>
  </sheetViews>
  <sheetFormatPr defaultRowHeight="15" x14ac:dyDescent="0.25"/>
  <cols>
    <col min="1" max="1" width="3" customWidth="1"/>
    <col min="2" max="2" width="0" hidden="1" customWidth="1"/>
    <col min="3" max="3" width="18.28515625" bestFit="1" customWidth="1"/>
    <col min="4" max="4" width="13" customWidth="1"/>
    <col min="5" max="5" width="28.140625" customWidth="1"/>
    <col min="6" max="6" width="13.5703125" customWidth="1"/>
    <col min="7" max="7" width="21.42578125" customWidth="1"/>
    <col min="8" max="8" width="10.42578125" customWidth="1"/>
    <col min="9" max="9" width="17.42578125" bestFit="1" customWidth="1"/>
    <col min="10" max="10" width="10.7109375" customWidth="1"/>
    <col min="11" max="63" width="9" customWidth="1"/>
    <col min="64" max="64" width="11.28515625" bestFit="1" customWidth="1"/>
  </cols>
  <sheetData>
    <row r="2" spans="3:10" ht="27" thickBot="1" x14ac:dyDescent="0.45">
      <c r="G2" s="208" t="s">
        <v>1352</v>
      </c>
      <c r="H2" s="208"/>
    </row>
    <row r="3" spans="3:10" ht="43.5" customHeight="1" x14ac:dyDescent="0.25">
      <c r="C3" s="417" t="s">
        <v>1367</v>
      </c>
      <c r="D3" s="416" t="s">
        <v>1233</v>
      </c>
      <c r="E3" s="416" t="s">
        <v>1127</v>
      </c>
      <c r="F3" s="416" t="s">
        <v>511</v>
      </c>
      <c r="G3" s="411" t="s">
        <v>912</v>
      </c>
      <c r="H3" s="411" t="s">
        <v>1366</v>
      </c>
      <c r="I3" s="416" t="s">
        <v>1368</v>
      </c>
      <c r="J3" s="418" t="s">
        <v>1369</v>
      </c>
    </row>
    <row r="4" spans="3:10" ht="18.75" customHeight="1" x14ac:dyDescent="0.25">
      <c r="C4" s="11" t="str">
        <f>G4&amp;"-"&amp;H4</f>
        <v>02100105-001</v>
      </c>
      <c r="D4" s="1">
        <v>1</v>
      </c>
      <c r="E4" s="415" t="s">
        <v>416</v>
      </c>
      <c r="F4" s="1" t="s">
        <v>514</v>
      </c>
      <c r="G4" s="1" t="s">
        <v>1238</v>
      </c>
      <c r="H4" s="2" t="s">
        <v>796</v>
      </c>
      <c r="I4" s="1"/>
      <c r="J4" s="369"/>
    </row>
    <row r="5" spans="3:10" ht="18.75" customHeight="1" x14ac:dyDescent="0.25">
      <c r="C5" s="11" t="str">
        <f t="shared" ref="C5:C68" si="0">G5&amp;"-"&amp;H5</f>
        <v>02300105-001</v>
      </c>
      <c r="D5" s="1">
        <v>1</v>
      </c>
      <c r="E5" s="415" t="s">
        <v>413</v>
      </c>
      <c r="F5" s="1" t="s">
        <v>1124</v>
      </c>
      <c r="G5" s="1" t="s">
        <v>1239</v>
      </c>
      <c r="H5" s="2" t="s">
        <v>796</v>
      </c>
      <c r="I5" s="1"/>
      <c r="J5" s="369"/>
    </row>
    <row r="6" spans="3:10" ht="18.75" customHeight="1" x14ac:dyDescent="0.25">
      <c r="C6" s="11" t="str">
        <f t="shared" si="0"/>
        <v>02700105-001</v>
      </c>
      <c r="D6" s="1">
        <v>1</v>
      </c>
      <c r="E6" s="415" t="s">
        <v>421</v>
      </c>
      <c r="F6" s="1" t="s">
        <v>1124</v>
      </c>
      <c r="G6" s="1" t="s">
        <v>1240</v>
      </c>
      <c r="H6" s="2" t="s">
        <v>796</v>
      </c>
      <c r="I6" s="1"/>
      <c r="J6" s="369"/>
    </row>
    <row r="7" spans="3:10" ht="18.75" customHeight="1" x14ac:dyDescent="0.25">
      <c r="C7" s="11" t="str">
        <f t="shared" si="0"/>
        <v>02700110-001</v>
      </c>
      <c r="D7" s="1">
        <v>1</v>
      </c>
      <c r="E7" s="415" t="s">
        <v>417</v>
      </c>
      <c r="F7" s="1" t="s">
        <v>1124</v>
      </c>
      <c r="G7" s="1" t="s">
        <v>1241</v>
      </c>
      <c r="H7" s="2" t="s">
        <v>796</v>
      </c>
      <c r="I7" s="1"/>
      <c r="J7" s="369"/>
    </row>
    <row r="8" spans="3:10" ht="18.75" customHeight="1" x14ac:dyDescent="0.25">
      <c r="C8" s="11" t="str">
        <f t="shared" si="0"/>
        <v>02700115-001</v>
      </c>
      <c r="D8" s="1">
        <v>1</v>
      </c>
      <c r="E8" s="415" t="s">
        <v>418</v>
      </c>
      <c r="F8" s="1" t="s">
        <v>1124</v>
      </c>
      <c r="G8" s="1" t="s">
        <v>1242</v>
      </c>
      <c r="H8" s="2" t="s">
        <v>796</v>
      </c>
      <c r="I8" s="1"/>
      <c r="J8" s="369"/>
    </row>
    <row r="9" spans="3:10" ht="18.75" customHeight="1" x14ac:dyDescent="0.25">
      <c r="C9" s="11" t="str">
        <f t="shared" si="0"/>
        <v>02700120-001</v>
      </c>
      <c r="D9" s="1">
        <v>1</v>
      </c>
      <c r="E9" s="415" t="s">
        <v>419</v>
      </c>
      <c r="F9" s="1" t="s">
        <v>1124</v>
      </c>
      <c r="G9" s="1" t="s">
        <v>1243</v>
      </c>
      <c r="H9" s="2" t="s">
        <v>796</v>
      </c>
      <c r="I9" s="1"/>
      <c r="J9" s="369"/>
    </row>
    <row r="10" spans="3:10" ht="18.75" customHeight="1" x14ac:dyDescent="0.25">
      <c r="C10" s="11" t="str">
        <f t="shared" si="0"/>
        <v>02700125-001</v>
      </c>
      <c r="D10" s="1">
        <v>1</v>
      </c>
      <c r="E10" s="415" t="s">
        <v>424</v>
      </c>
      <c r="F10" s="1" t="s">
        <v>1123</v>
      </c>
      <c r="G10" s="1" t="s">
        <v>1244</v>
      </c>
      <c r="H10" s="2" t="s">
        <v>796</v>
      </c>
      <c r="I10" s="1"/>
      <c r="J10" s="369"/>
    </row>
    <row r="11" spans="3:10" ht="18.75" customHeight="1" x14ac:dyDescent="0.25">
      <c r="C11" s="11" t="str">
        <f t="shared" si="0"/>
        <v>02700130-001</v>
      </c>
      <c r="D11" s="1">
        <v>1</v>
      </c>
      <c r="E11" s="415" t="s">
        <v>420</v>
      </c>
      <c r="F11" s="1" t="s">
        <v>514</v>
      </c>
      <c r="G11" s="1" t="s">
        <v>1245</v>
      </c>
      <c r="H11" s="2" t="s">
        <v>796</v>
      </c>
      <c r="I11" s="1"/>
      <c r="J11" s="369"/>
    </row>
    <row r="12" spans="3:10" ht="18.75" customHeight="1" x14ac:dyDescent="0.25">
      <c r="C12" s="11" t="str">
        <f t="shared" si="0"/>
        <v>02700135-001</v>
      </c>
      <c r="D12" s="1">
        <v>1</v>
      </c>
      <c r="E12" s="415" t="s">
        <v>422</v>
      </c>
      <c r="F12" s="1" t="s">
        <v>514</v>
      </c>
      <c r="G12" s="1" t="s">
        <v>1246</v>
      </c>
      <c r="H12" s="2" t="s">
        <v>796</v>
      </c>
      <c r="I12" s="1"/>
      <c r="J12" s="369"/>
    </row>
    <row r="13" spans="3:10" ht="18.75" customHeight="1" x14ac:dyDescent="0.25">
      <c r="C13" s="11" t="str">
        <f t="shared" si="0"/>
        <v>02700140-001</v>
      </c>
      <c r="D13" s="1">
        <v>1</v>
      </c>
      <c r="E13" s="415" t="s">
        <v>482</v>
      </c>
      <c r="F13" s="1" t="s">
        <v>1125</v>
      </c>
      <c r="G13" s="1" t="s">
        <v>1247</v>
      </c>
      <c r="H13" s="2" t="s">
        <v>796</v>
      </c>
      <c r="I13" s="1"/>
      <c r="J13" s="369"/>
    </row>
    <row r="14" spans="3:10" ht="18.75" customHeight="1" x14ac:dyDescent="0.25">
      <c r="C14" s="11" t="str">
        <f t="shared" si="0"/>
        <v>02700145-001</v>
      </c>
      <c r="D14" s="1">
        <v>1</v>
      </c>
      <c r="E14" s="415" t="s">
        <v>483</v>
      </c>
      <c r="F14" s="1" t="s">
        <v>1125</v>
      </c>
      <c r="G14" s="1" t="s">
        <v>1248</v>
      </c>
      <c r="H14" s="2" t="s">
        <v>796</v>
      </c>
      <c r="I14" s="1"/>
      <c r="J14" s="369"/>
    </row>
    <row r="15" spans="3:10" ht="18.75" customHeight="1" x14ac:dyDescent="0.25">
      <c r="C15" s="11" t="str">
        <f t="shared" si="0"/>
        <v>03300105-001</v>
      </c>
      <c r="D15" s="1">
        <v>1</v>
      </c>
      <c r="E15" s="415" t="s">
        <v>429</v>
      </c>
      <c r="F15" s="1" t="s">
        <v>514</v>
      </c>
      <c r="G15" s="1" t="s">
        <v>1249</v>
      </c>
      <c r="H15" s="2" t="s">
        <v>796</v>
      </c>
      <c r="I15" s="1"/>
      <c r="J15" s="369"/>
    </row>
    <row r="16" spans="3:10" ht="18.75" customHeight="1" x14ac:dyDescent="0.25">
      <c r="C16" s="11" t="str">
        <f t="shared" si="0"/>
        <v>03300110-001</v>
      </c>
      <c r="D16" s="1">
        <v>1</v>
      </c>
      <c r="E16" s="415" t="s">
        <v>431</v>
      </c>
      <c r="F16" s="1" t="s">
        <v>1125</v>
      </c>
      <c r="G16" s="1" t="s">
        <v>1250</v>
      </c>
      <c r="H16" s="2" t="s">
        <v>796</v>
      </c>
      <c r="I16" s="1"/>
      <c r="J16" s="369"/>
    </row>
    <row r="17" spans="3:10" ht="18.75" customHeight="1" x14ac:dyDescent="0.25">
      <c r="C17" s="11" t="str">
        <f t="shared" si="0"/>
        <v>03300115-001</v>
      </c>
      <c r="D17" s="1">
        <v>1</v>
      </c>
      <c r="E17" s="415" t="s">
        <v>430</v>
      </c>
      <c r="F17" s="1" t="s">
        <v>1124</v>
      </c>
      <c r="G17" s="1" t="s">
        <v>1251</v>
      </c>
      <c r="H17" s="2" t="s">
        <v>796</v>
      </c>
      <c r="I17" s="1"/>
      <c r="J17" s="369"/>
    </row>
    <row r="18" spans="3:10" ht="18.75" customHeight="1" x14ac:dyDescent="0.25">
      <c r="C18" s="11" t="str">
        <f t="shared" si="0"/>
        <v>03300120-001</v>
      </c>
      <c r="D18" s="1">
        <v>1</v>
      </c>
      <c r="E18" s="415" t="s">
        <v>433</v>
      </c>
      <c r="F18" s="1" t="s">
        <v>512</v>
      </c>
      <c r="G18" s="1" t="s">
        <v>1252</v>
      </c>
      <c r="H18" s="2" t="s">
        <v>796</v>
      </c>
      <c r="I18" s="1"/>
      <c r="J18" s="369"/>
    </row>
    <row r="19" spans="3:10" ht="18.75" customHeight="1" x14ac:dyDescent="0.25">
      <c r="C19" s="11" t="str">
        <f t="shared" si="0"/>
        <v>03300125-001</v>
      </c>
      <c r="D19" s="1">
        <v>1</v>
      </c>
      <c r="E19" s="415" t="s">
        <v>427</v>
      </c>
      <c r="F19" s="1" t="s">
        <v>1124</v>
      </c>
      <c r="G19" s="1" t="s">
        <v>1253</v>
      </c>
      <c r="H19" s="2" t="s">
        <v>796</v>
      </c>
      <c r="I19" s="1"/>
      <c r="J19" s="369"/>
    </row>
    <row r="20" spans="3:10" ht="18.75" customHeight="1" x14ac:dyDescent="0.25">
      <c r="C20" s="11" t="str">
        <f t="shared" si="0"/>
        <v>03300130-001</v>
      </c>
      <c r="D20" s="1">
        <v>1</v>
      </c>
      <c r="E20" s="415" t="s">
        <v>428</v>
      </c>
      <c r="F20" s="1" t="s">
        <v>1124</v>
      </c>
      <c r="G20" s="1" t="s">
        <v>1254</v>
      </c>
      <c r="H20" s="2" t="s">
        <v>796</v>
      </c>
      <c r="I20" s="1"/>
      <c r="J20" s="369"/>
    </row>
    <row r="21" spans="3:10" ht="18.75" customHeight="1" x14ac:dyDescent="0.25">
      <c r="C21" s="11" t="str">
        <f t="shared" si="0"/>
        <v>03300135-001</v>
      </c>
      <c r="D21" s="1">
        <v>1</v>
      </c>
      <c r="E21" s="415" t="s">
        <v>432</v>
      </c>
      <c r="F21" s="1" t="s">
        <v>516</v>
      </c>
      <c r="G21" s="1" t="s">
        <v>1255</v>
      </c>
      <c r="H21" s="2" t="s">
        <v>796</v>
      </c>
      <c r="I21" s="1"/>
      <c r="J21" s="369"/>
    </row>
    <row r="22" spans="3:10" ht="18.75" customHeight="1" x14ac:dyDescent="0.25">
      <c r="C22" s="11" t="str">
        <f t="shared" si="0"/>
        <v>03400105-001</v>
      </c>
      <c r="D22" s="1">
        <v>1</v>
      </c>
      <c r="E22" s="415" t="s">
        <v>434</v>
      </c>
      <c r="F22" s="1" t="s">
        <v>1125</v>
      </c>
      <c r="G22" s="1" t="s">
        <v>1256</v>
      </c>
      <c r="H22" s="2" t="s">
        <v>796</v>
      </c>
      <c r="I22" s="1"/>
      <c r="J22" s="369"/>
    </row>
    <row r="23" spans="3:10" ht="18.75" customHeight="1" x14ac:dyDescent="0.25">
      <c r="C23" s="11" t="str">
        <f t="shared" si="0"/>
        <v>03400110-001</v>
      </c>
      <c r="D23" s="1">
        <v>1</v>
      </c>
      <c r="E23" s="415" t="s">
        <v>436</v>
      </c>
      <c r="F23" s="1" t="s">
        <v>512</v>
      </c>
      <c r="G23" s="1" t="s">
        <v>1257</v>
      </c>
      <c r="H23" s="2" t="s">
        <v>796</v>
      </c>
      <c r="I23" s="1"/>
      <c r="J23" s="369"/>
    </row>
    <row r="24" spans="3:10" ht="18.75" customHeight="1" x14ac:dyDescent="0.25">
      <c r="C24" s="11" t="str">
        <f t="shared" si="0"/>
        <v>04200110-001</v>
      </c>
      <c r="D24" s="1">
        <v>1</v>
      </c>
      <c r="E24" s="415" t="s">
        <v>442</v>
      </c>
      <c r="F24" s="1" t="s">
        <v>1124</v>
      </c>
      <c r="G24" s="1" t="s">
        <v>451</v>
      </c>
      <c r="H24" s="2" t="s">
        <v>796</v>
      </c>
      <c r="I24" s="1"/>
      <c r="J24" s="369"/>
    </row>
    <row r="25" spans="3:10" ht="18.75" customHeight="1" x14ac:dyDescent="0.25">
      <c r="C25" s="11" t="str">
        <f t="shared" si="0"/>
        <v>04200115-001</v>
      </c>
      <c r="D25" s="1">
        <v>1</v>
      </c>
      <c r="E25" s="415" t="s">
        <v>438</v>
      </c>
      <c r="F25" s="1" t="s">
        <v>512</v>
      </c>
      <c r="G25" s="1" t="s">
        <v>1258</v>
      </c>
      <c r="H25" s="2" t="s">
        <v>796</v>
      </c>
      <c r="I25" s="1"/>
      <c r="J25" s="369"/>
    </row>
    <row r="26" spans="3:10" ht="18.75" customHeight="1" x14ac:dyDescent="0.25">
      <c r="C26" s="11" t="str">
        <f t="shared" si="0"/>
        <v>04200125-001</v>
      </c>
      <c r="D26" s="1">
        <v>1</v>
      </c>
      <c r="E26" s="415" t="s">
        <v>439</v>
      </c>
      <c r="F26" s="1" t="s">
        <v>517</v>
      </c>
      <c r="G26" s="1" t="s">
        <v>1259</v>
      </c>
      <c r="H26" s="2" t="s">
        <v>796</v>
      </c>
      <c r="I26" s="1"/>
      <c r="J26" s="369"/>
    </row>
    <row r="27" spans="3:10" ht="18.75" customHeight="1" x14ac:dyDescent="0.25">
      <c r="C27" s="11" t="str">
        <f t="shared" si="0"/>
        <v>04400105-001</v>
      </c>
      <c r="D27" s="1">
        <v>1</v>
      </c>
      <c r="E27" s="415" t="s">
        <v>443</v>
      </c>
      <c r="F27" s="1" t="s">
        <v>512</v>
      </c>
      <c r="G27" s="1" t="s">
        <v>470</v>
      </c>
      <c r="H27" s="2" t="s">
        <v>796</v>
      </c>
      <c r="I27" s="1"/>
      <c r="J27" s="369"/>
    </row>
    <row r="28" spans="3:10" ht="18.75" customHeight="1" x14ac:dyDescent="0.25">
      <c r="C28" s="11" t="str">
        <f t="shared" si="0"/>
        <v>05500105-001</v>
      </c>
      <c r="D28" s="1">
        <v>1</v>
      </c>
      <c r="E28" s="415" t="s">
        <v>494</v>
      </c>
      <c r="F28" s="1" t="s">
        <v>1125</v>
      </c>
      <c r="G28" s="1" t="s">
        <v>1260</v>
      </c>
      <c r="H28" s="2" t="s">
        <v>796</v>
      </c>
      <c r="I28" s="1"/>
      <c r="J28" s="369"/>
    </row>
    <row r="29" spans="3:10" ht="18.75" customHeight="1" x14ac:dyDescent="0.25">
      <c r="C29" s="11" t="str">
        <f t="shared" si="0"/>
        <v>05500110-001</v>
      </c>
      <c r="D29" s="1">
        <v>1</v>
      </c>
      <c r="E29" s="415" t="s">
        <v>495</v>
      </c>
      <c r="F29" s="1" t="s">
        <v>512</v>
      </c>
      <c r="G29" s="1" t="s">
        <v>1261</v>
      </c>
      <c r="H29" s="2" t="s">
        <v>796</v>
      </c>
      <c r="I29" s="1"/>
      <c r="J29" s="369"/>
    </row>
    <row r="30" spans="3:10" ht="18.75" customHeight="1" x14ac:dyDescent="0.25">
      <c r="C30" s="11" t="str">
        <f t="shared" si="0"/>
        <v>05650105-001</v>
      </c>
      <c r="D30" s="1">
        <v>1</v>
      </c>
      <c r="E30" s="415" t="s">
        <v>426</v>
      </c>
      <c r="F30" s="1" t="s">
        <v>1123</v>
      </c>
      <c r="G30" s="1" t="s">
        <v>1262</v>
      </c>
      <c r="H30" s="2" t="s">
        <v>796</v>
      </c>
      <c r="I30" s="1"/>
      <c r="J30" s="369"/>
    </row>
    <row r="31" spans="3:10" ht="18.75" customHeight="1" x14ac:dyDescent="0.25">
      <c r="C31" s="11" t="str">
        <f t="shared" si="0"/>
        <v>05800105-001</v>
      </c>
      <c r="D31" s="1">
        <v>1</v>
      </c>
      <c r="E31" s="415" t="s">
        <v>486</v>
      </c>
      <c r="F31" s="1" t="s">
        <v>512</v>
      </c>
      <c r="G31" s="1" t="s">
        <v>1263</v>
      </c>
      <c r="H31" s="2" t="s">
        <v>796</v>
      </c>
      <c r="I31" s="1"/>
      <c r="J31" s="369"/>
    </row>
    <row r="32" spans="3:10" ht="18.75" customHeight="1" x14ac:dyDescent="0.25">
      <c r="C32" s="11" t="str">
        <f t="shared" si="0"/>
        <v>06400105-001</v>
      </c>
      <c r="D32" s="1">
        <v>1</v>
      </c>
      <c r="E32" s="415" t="s">
        <v>487</v>
      </c>
      <c r="F32" s="1" t="s">
        <v>512</v>
      </c>
      <c r="G32" s="1" t="s">
        <v>1264</v>
      </c>
      <c r="H32" s="2" t="s">
        <v>796</v>
      </c>
      <c r="I32" s="1"/>
      <c r="J32" s="369"/>
    </row>
    <row r="33" spans="3:10" ht="18.75" customHeight="1" x14ac:dyDescent="0.25">
      <c r="C33" s="11" t="str">
        <f t="shared" si="0"/>
        <v>07100105-001</v>
      </c>
      <c r="D33" s="1">
        <v>1</v>
      </c>
      <c r="E33" s="415" t="s">
        <v>444</v>
      </c>
      <c r="F33" s="1" t="s">
        <v>516</v>
      </c>
      <c r="G33" s="1" t="s">
        <v>1265</v>
      </c>
      <c r="H33" s="2" t="s">
        <v>796</v>
      </c>
      <c r="I33" s="1"/>
      <c r="J33" s="369"/>
    </row>
    <row r="34" spans="3:10" ht="18.75" customHeight="1" x14ac:dyDescent="0.25">
      <c r="C34" s="11" t="str">
        <f t="shared" si="0"/>
        <v>07100110-001</v>
      </c>
      <c r="D34" s="1">
        <v>1</v>
      </c>
      <c r="E34" s="415" t="s">
        <v>445</v>
      </c>
      <c r="F34" s="1" t="s">
        <v>1125</v>
      </c>
      <c r="G34" s="1" t="s">
        <v>1266</v>
      </c>
      <c r="H34" s="2" t="s">
        <v>796</v>
      </c>
      <c r="I34" s="1"/>
      <c r="J34" s="369"/>
    </row>
    <row r="35" spans="3:10" ht="18.75" customHeight="1" x14ac:dyDescent="0.25">
      <c r="C35" s="11" t="str">
        <f t="shared" si="0"/>
        <v>07100115-001</v>
      </c>
      <c r="D35" s="1">
        <v>1</v>
      </c>
      <c r="E35" s="415" t="s">
        <v>446</v>
      </c>
      <c r="F35" s="1" t="s">
        <v>1125</v>
      </c>
      <c r="G35" s="1" t="s">
        <v>1267</v>
      </c>
      <c r="H35" s="2" t="s">
        <v>796</v>
      </c>
      <c r="I35" s="1"/>
      <c r="J35" s="369"/>
    </row>
    <row r="36" spans="3:10" ht="18.75" customHeight="1" x14ac:dyDescent="0.25">
      <c r="C36" s="11" t="str">
        <f t="shared" si="0"/>
        <v>07200105-001</v>
      </c>
      <c r="D36" s="1">
        <v>1</v>
      </c>
      <c r="E36" s="415" t="s">
        <v>449</v>
      </c>
      <c r="F36" s="1" t="s">
        <v>1124</v>
      </c>
      <c r="G36" s="1" t="s">
        <v>1268</v>
      </c>
      <c r="H36" s="2" t="s">
        <v>796</v>
      </c>
      <c r="I36" s="1"/>
      <c r="J36" s="369"/>
    </row>
    <row r="37" spans="3:10" ht="18.75" customHeight="1" x14ac:dyDescent="0.25">
      <c r="C37" s="11" t="str">
        <f t="shared" si="0"/>
        <v>07200110-001</v>
      </c>
      <c r="D37" s="1">
        <v>1</v>
      </c>
      <c r="E37" s="415" t="s">
        <v>447</v>
      </c>
      <c r="F37" s="1" t="s">
        <v>1125</v>
      </c>
      <c r="G37" s="1" t="s">
        <v>448</v>
      </c>
      <c r="H37" s="2" t="s">
        <v>796</v>
      </c>
      <c r="I37" s="1"/>
      <c r="J37" s="369"/>
    </row>
    <row r="38" spans="3:10" ht="18.75" customHeight="1" x14ac:dyDescent="0.25">
      <c r="C38" s="11" t="str">
        <f t="shared" si="0"/>
        <v>09200105-001</v>
      </c>
      <c r="D38" s="1">
        <v>1</v>
      </c>
      <c r="E38" s="415" t="s">
        <v>440</v>
      </c>
      <c r="F38" s="1" t="s">
        <v>518</v>
      </c>
      <c r="G38" s="1" t="s">
        <v>441</v>
      </c>
      <c r="H38" s="2" t="s">
        <v>796</v>
      </c>
      <c r="I38" s="1"/>
      <c r="J38" s="369"/>
    </row>
    <row r="39" spans="3:10" ht="18.75" customHeight="1" x14ac:dyDescent="0.25">
      <c r="C39" s="11" t="str">
        <f t="shared" si="0"/>
        <v>09200110-001</v>
      </c>
      <c r="D39" s="1">
        <v>1</v>
      </c>
      <c r="E39" s="415" t="s">
        <v>463</v>
      </c>
      <c r="F39" s="1" t="s">
        <v>1125</v>
      </c>
      <c r="G39" s="1" t="s">
        <v>1269</v>
      </c>
      <c r="H39" s="2" t="s">
        <v>796</v>
      </c>
      <c r="I39" s="1"/>
      <c r="J39" s="369"/>
    </row>
    <row r="40" spans="3:10" ht="18.75" customHeight="1" x14ac:dyDescent="0.25">
      <c r="C40" s="11" t="str">
        <f t="shared" si="0"/>
        <v>09200115-001</v>
      </c>
      <c r="D40" s="1">
        <v>1</v>
      </c>
      <c r="E40" s="415" t="s">
        <v>190</v>
      </c>
      <c r="F40" s="1" t="s">
        <v>1125</v>
      </c>
      <c r="G40" s="1" t="s">
        <v>1270</v>
      </c>
      <c r="H40" s="2" t="s">
        <v>796</v>
      </c>
      <c r="I40" s="1"/>
      <c r="J40" s="369"/>
    </row>
    <row r="41" spans="3:10" ht="18.75" customHeight="1" x14ac:dyDescent="0.25">
      <c r="C41" s="11" t="str">
        <f t="shared" si="0"/>
        <v>09200120-001</v>
      </c>
      <c r="D41" s="1">
        <v>1</v>
      </c>
      <c r="E41" s="415" t="s">
        <v>462</v>
      </c>
      <c r="F41" s="1" t="s">
        <v>517</v>
      </c>
      <c r="G41" s="1" t="s">
        <v>471</v>
      </c>
      <c r="H41" s="2" t="s">
        <v>796</v>
      </c>
      <c r="I41" s="1"/>
      <c r="J41" s="369"/>
    </row>
    <row r="42" spans="3:10" ht="18.75" customHeight="1" x14ac:dyDescent="0.25">
      <c r="C42" s="11" t="str">
        <f t="shared" si="0"/>
        <v>09300105-001</v>
      </c>
      <c r="D42" s="1">
        <v>1</v>
      </c>
      <c r="E42" s="415" t="s">
        <v>455</v>
      </c>
      <c r="F42" s="1" t="s">
        <v>1125</v>
      </c>
      <c r="G42" s="1" t="s">
        <v>1271</v>
      </c>
      <c r="H42" s="2" t="s">
        <v>796</v>
      </c>
      <c r="I42" s="1"/>
      <c r="J42" s="369"/>
    </row>
    <row r="43" spans="3:10" ht="18.75" customHeight="1" x14ac:dyDescent="0.25">
      <c r="C43" s="11" t="str">
        <f t="shared" si="0"/>
        <v>09300175-001</v>
      </c>
      <c r="D43" s="1">
        <v>1</v>
      </c>
      <c r="E43" s="415" t="s">
        <v>456</v>
      </c>
      <c r="F43" s="1" t="s">
        <v>1125</v>
      </c>
      <c r="G43" s="1" t="s">
        <v>1272</v>
      </c>
      <c r="H43" s="2" t="s">
        <v>796</v>
      </c>
      <c r="I43" s="1"/>
      <c r="J43" s="369"/>
    </row>
    <row r="44" spans="3:10" ht="18.75" customHeight="1" x14ac:dyDescent="0.25">
      <c r="C44" s="11" t="str">
        <f t="shared" si="0"/>
        <v>09300185-001</v>
      </c>
      <c r="D44" s="1">
        <v>1</v>
      </c>
      <c r="E44" s="415" t="s">
        <v>498</v>
      </c>
      <c r="F44" s="1" t="s">
        <v>1125</v>
      </c>
      <c r="G44" s="1" t="s">
        <v>1273</v>
      </c>
      <c r="H44" s="2" t="s">
        <v>796</v>
      </c>
      <c r="I44" s="1"/>
      <c r="J44" s="369"/>
    </row>
    <row r="45" spans="3:10" ht="18.75" customHeight="1" x14ac:dyDescent="0.25">
      <c r="C45" s="11" t="str">
        <f t="shared" si="0"/>
        <v>09400105-001</v>
      </c>
      <c r="D45" s="1">
        <v>1</v>
      </c>
      <c r="E45" s="415" t="s">
        <v>490</v>
      </c>
      <c r="F45" s="1" t="s">
        <v>1125</v>
      </c>
      <c r="G45" s="1" t="s">
        <v>1274</v>
      </c>
      <c r="H45" s="2" t="s">
        <v>796</v>
      </c>
      <c r="I45" s="1"/>
      <c r="J45" s="369"/>
    </row>
    <row r="46" spans="3:10" ht="18.75" customHeight="1" x14ac:dyDescent="0.25">
      <c r="C46" s="11" t="str">
        <f t="shared" si="0"/>
        <v>09500105-001</v>
      </c>
      <c r="D46" s="1">
        <v>1</v>
      </c>
      <c r="E46" s="415" t="s">
        <v>493</v>
      </c>
      <c r="F46" s="1" t="s">
        <v>1125</v>
      </c>
      <c r="G46" s="1" t="s">
        <v>1275</v>
      </c>
      <c r="H46" s="2" t="s">
        <v>796</v>
      </c>
      <c r="I46" s="1"/>
      <c r="J46" s="369"/>
    </row>
    <row r="47" spans="3:10" ht="18.75" customHeight="1" x14ac:dyDescent="0.25">
      <c r="C47" s="11" t="str">
        <f t="shared" si="0"/>
        <v>09500110-001</v>
      </c>
      <c r="D47" s="1">
        <v>1</v>
      </c>
      <c r="E47" s="415" t="s">
        <v>496</v>
      </c>
      <c r="F47" s="1" t="s">
        <v>1125</v>
      </c>
      <c r="G47" s="1" t="s">
        <v>1276</v>
      </c>
      <c r="H47" s="2" t="s">
        <v>796</v>
      </c>
      <c r="I47" s="1"/>
      <c r="J47" s="369"/>
    </row>
    <row r="48" spans="3:10" ht="18.75" customHeight="1" x14ac:dyDescent="0.25">
      <c r="C48" s="11" t="str">
        <f t="shared" si="0"/>
        <v>09600105-001</v>
      </c>
      <c r="D48" s="1">
        <v>1</v>
      </c>
      <c r="E48" s="415" t="s">
        <v>450</v>
      </c>
      <c r="F48" s="1" t="s">
        <v>514</v>
      </c>
      <c r="G48" s="1" t="s">
        <v>1277</v>
      </c>
      <c r="H48" s="2" t="s">
        <v>796</v>
      </c>
      <c r="I48" s="1"/>
      <c r="J48" s="369"/>
    </row>
    <row r="49" spans="3:10" ht="18.75" customHeight="1" x14ac:dyDescent="0.25">
      <c r="C49" s="11" t="str">
        <f t="shared" si="0"/>
        <v>09600110-001</v>
      </c>
      <c r="D49" s="1">
        <v>1</v>
      </c>
      <c r="E49" s="415" t="s">
        <v>452</v>
      </c>
      <c r="F49" s="1" t="s">
        <v>1125</v>
      </c>
      <c r="G49" s="1" t="s">
        <v>1278</v>
      </c>
      <c r="H49" s="2" t="s">
        <v>796</v>
      </c>
      <c r="I49" s="1"/>
      <c r="J49" s="369"/>
    </row>
    <row r="50" spans="3:10" ht="18.75" customHeight="1" x14ac:dyDescent="0.25">
      <c r="C50" s="11" t="str">
        <f t="shared" si="0"/>
        <v>09600130-001</v>
      </c>
      <c r="D50" s="1">
        <v>1</v>
      </c>
      <c r="E50" s="415" t="s">
        <v>453</v>
      </c>
      <c r="F50" s="1" t="s">
        <v>1125</v>
      </c>
      <c r="G50" s="1" t="s">
        <v>459</v>
      </c>
      <c r="H50" s="2" t="s">
        <v>796</v>
      </c>
      <c r="I50" s="1"/>
      <c r="J50" s="369"/>
    </row>
    <row r="51" spans="3:10" ht="18.75" customHeight="1" x14ac:dyDescent="0.25">
      <c r="C51" s="11" t="str">
        <f t="shared" si="0"/>
        <v>09600160-001</v>
      </c>
      <c r="D51" s="1">
        <v>1</v>
      </c>
      <c r="E51" s="415" t="s">
        <v>454</v>
      </c>
      <c r="F51" s="1" t="s">
        <v>1125</v>
      </c>
      <c r="G51" s="1" t="s">
        <v>457</v>
      </c>
      <c r="H51" s="2" t="s">
        <v>796</v>
      </c>
      <c r="I51" s="1"/>
      <c r="J51" s="369"/>
    </row>
    <row r="52" spans="3:10" ht="18.75" customHeight="1" x14ac:dyDescent="0.25">
      <c r="C52" s="11" t="str">
        <f t="shared" si="0"/>
        <v>09600170-001</v>
      </c>
      <c r="D52" s="1">
        <v>1</v>
      </c>
      <c r="E52" s="415" t="s">
        <v>166</v>
      </c>
      <c r="F52" s="1" t="s">
        <v>1125</v>
      </c>
      <c r="G52" s="1" t="s">
        <v>458</v>
      </c>
      <c r="H52" s="2" t="s">
        <v>796</v>
      </c>
      <c r="I52" s="1"/>
      <c r="J52" s="369"/>
    </row>
    <row r="53" spans="3:10" ht="18.75" customHeight="1" x14ac:dyDescent="0.25">
      <c r="C53" s="11" t="str">
        <f t="shared" si="0"/>
        <v>09700107-001</v>
      </c>
      <c r="D53" s="1">
        <v>1</v>
      </c>
      <c r="E53" s="415" t="s">
        <v>461</v>
      </c>
      <c r="F53" s="1" t="s">
        <v>518</v>
      </c>
      <c r="G53" s="1" t="s">
        <v>1279</v>
      </c>
      <c r="H53" s="2" t="s">
        <v>796</v>
      </c>
      <c r="I53" s="1"/>
      <c r="J53" s="369"/>
    </row>
    <row r="54" spans="3:10" ht="18.75" customHeight="1" x14ac:dyDescent="0.25">
      <c r="C54" s="11" t="str">
        <f t="shared" si="0"/>
        <v>09700190-001</v>
      </c>
      <c r="D54" s="1">
        <v>1</v>
      </c>
      <c r="E54" s="415" t="s">
        <v>460</v>
      </c>
      <c r="F54" s="1" t="s">
        <v>1125</v>
      </c>
      <c r="G54" s="1" t="s">
        <v>464</v>
      </c>
      <c r="H54" s="2" t="s">
        <v>796</v>
      </c>
      <c r="I54" s="1"/>
      <c r="J54" s="369"/>
    </row>
    <row r="55" spans="3:10" ht="18.75" customHeight="1" x14ac:dyDescent="0.25">
      <c r="C55" s="11" t="str">
        <f t="shared" si="0"/>
        <v>09700192-001</v>
      </c>
      <c r="D55" s="1">
        <v>1</v>
      </c>
      <c r="E55" s="415" t="s">
        <v>499</v>
      </c>
      <c r="F55" s="1" t="s">
        <v>1123</v>
      </c>
      <c r="G55" s="1" t="s">
        <v>1280</v>
      </c>
      <c r="H55" s="2" t="s">
        <v>796</v>
      </c>
      <c r="I55" s="1"/>
      <c r="J55" s="369"/>
    </row>
    <row r="56" spans="3:10" ht="18.75" customHeight="1" x14ac:dyDescent="0.25">
      <c r="C56" s="11" t="str">
        <f t="shared" si="0"/>
        <v>09900105-001</v>
      </c>
      <c r="D56" s="1">
        <v>1</v>
      </c>
      <c r="E56" s="415" t="s">
        <v>423</v>
      </c>
      <c r="F56" s="1" t="s">
        <v>514</v>
      </c>
      <c r="G56" s="1" t="s">
        <v>1281</v>
      </c>
      <c r="H56" s="2" t="s">
        <v>796</v>
      </c>
      <c r="I56" s="1"/>
      <c r="J56" s="369"/>
    </row>
    <row r="57" spans="3:10" ht="18.75" customHeight="1" x14ac:dyDescent="0.25">
      <c r="C57" s="11" t="str">
        <f t="shared" si="0"/>
        <v>09900110-001</v>
      </c>
      <c r="D57" s="1">
        <v>1</v>
      </c>
      <c r="E57" s="415" t="s">
        <v>466</v>
      </c>
      <c r="F57" s="1" t="s">
        <v>514</v>
      </c>
      <c r="G57" s="1" t="s">
        <v>1282</v>
      </c>
      <c r="H57" s="2" t="s">
        <v>796</v>
      </c>
      <c r="I57" s="1"/>
      <c r="J57" s="369"/>
    </row>
    <row r="58" spans="3:10" ht="18.75" customHeight="1" x14ac:dyDescent="0.25">
      <c r="C58" s="11" t="str">
        <f t="shared" si="0"/>
        <v>09900115-001</v>
      </c>
      <c r="D58" s="1">
        <v>1</v>
      </c>
      <c r="E58" s="415" t="s">
        <v>467</v>
      </c>
      <c r="F58" s="1" t="s">
        <v>516</v>
      </c>
      <c r="G58" s="1" t="s">
        <v>1283</v>
      </c>
      <c r="H58" s="2" t="s">
        <v>796</v>
      </c>
      <c r="I58" s="1"/>
      <c r="J58" s="369"/>
    </row>
    <row r="59" spans="3:10" ht="18.75" customHeight="1" x14ac:dyDescent="0.25">
      <c r="C59" s="11" t="str">
        <f t="shared" si="0"/>
        <v>09900130-001</v>
      </c>
      <c r="D59" s="1">
        <v>1</v>
      </c>
      <c r="E59" s="415" t="s">
        <v>468</v>
      </c>
      <c r="F59" s="1" t="s">
        <v>514</v>
      </c>
      <c r="G59" s="1" t="s">
        <v>1284</v>
      </c>
      <c r="H59" s="2" t="s">
        <v>796</v>
      </c>
      <c r="I59" s="1"/>
      <c r="J59" s="369"/>
    </row>
    <row r="60" spans="3:10" ht="18.75" customHeight="1" x14ac:dyDescent="0.25">
      <c r="C60" s="11" t="str">
        <f t="shared" si="0"/>
        <v>10100105-001</v>
      </c>
      <c r="D60" s="1">
        <v>1</v>
      </c>
      <c r="E60" s="415" t="s">
        <v>425</v>
      </c>
      <c r="F60" s="1" t="s">
        <v>512</v>
      </c>
      <c r="G60" s="1" t="s">
        <v>1285</v>
      </c>
      <c r="H60" s="2" t="s">
        <v>796</v>
      </c>
      <c r="I60" s="1"/>
      <c r="J60" s="369"/>
    </row>
    <row r="61" spans="3:10" ht="18.75" customHeight="1" x14ac:dyDescent="0.25">
      <c r="C61" s="11" t="str">
        <f t="shared" si="0"/>
        <v>10750105-001</v>
      </c>
      <c r="D61" s="1">
        <v>1</v>
      </c>
      <c r="E61" s="415" t="s">
        <v>502</v>
      </c>
      <c r="F61" s="1" t="s">
        <v>512</v>
      </c>
      <c r="G61" s="1" t="s">
        <v>1286</v>
      </c>
      <c r="H61" s="2" t="s">
        <v>796</v>
      </c>
      <c r="I61" s="1"/>
      <c r="J61" s="369"/>
    </row>
    <row r="62" spans="3:10" ht="18.75" customHeight="1" x14ac:dyDescent="0.25">
      <c r="C62" s="11" t="str">
        <f t="shared" si="0"/>
        <v>10900105-001</v>
      </c>
      <c r="D62" s="1">
        <v>1</v>
      </c>
      <c r="E62" s="415" t="s">
        <v>505</v>
      </c>
      <c r="F62" s="1" t="s">
        <v>512</v>
      </c>
      <c r="G62" s="1" t="s">
        <v>1287</v>
      </c>
      <c r="H62" s="2" t="s">
        <v>796</v>
      </c>
      <c r="I62" s="1"/>
      <c r="J62" s="369"/>
    </row>
    <row r="63" spans="3:10" ht="18.75" customHeight="1" x14ac:dyDescent="0.25">
      <c r="C63" s="11" t="str">
        <f t="shared" si="0"/>
        <v>15100105-001</v>
      </c>
      <c r="D63" s="1">
        <v>1</v>
      </c>
      <c r="E63" s="415" t="s">
        <v>472</v>
      </c>
      <c r="F63" s="1" t="s">
        <v>1123</v>
      </c>
      <c r="G63" s="1" t="s">
        <v>1288</v>
      </c>
      <c r="H63" s="2" t="s">
        <v>796</v>
      </c>
      <c r="I63" s="1"/>
      <c r="J63" s="369"/>
    </row>
    <row r="64" spans="3:10" ht="18.75" customHeight="1" x14ac:dyDescent="0.25">
      <c r="C64" s="11" t="str">
        <f t="shared" si="0"/>
        <v>15100110-001</v>
      </c>
      <c r="D64" s="1">
        <v>1</v>
      </c>
      <c r="E64" s="415" t="s">
        <v>473</v>
      </c>
      <c r="F64" s="1" t="s">
        <v>512</v>
      </c>
      <c r="G64" s="1" t="s">
        <v>1289</v>
      </c>
      <c r="H64" s="2" t="s">
        <v>796</v>
      </c>
      <c r="I64" s="1"/>
      <c r="J64" s="369"/>
    </row>
    <row r="65" spans="3:10" ht="18.75" customHeight="1" x14ac:dyDescent="0.25">
      <c r="C65" s="11" t="str">
        <f t="shared" si="0"/>
        <v>15100130-001</v>
      </c>
      <c r="D65" s="1">
        <v>1</v>
      </c>
      <c r="E65" s="415" t="s">
        <v>414</v>
      </c>
      <c r="F65" s="1" t="s">
        <v>1123</v>
      </c>
      <c r="G65" s="1" t="s">
        <v>415</v>
      </c>
      <c r="H65" s="2" t="s">
        <v>796</v>
      </c>
      <c r="I65" s="1"/>
      <c r="J65" s="369"/>
    </row>
    <row r="66" spans="3:10" ht="18.75" customHeight="1" x14ac:dyDescent="0.25">
      <c r="C66" s="11" t="str">
        <f t="shared" si="0"/>
        <v>15200115-001</v>
      </c>
      <c r="D66" s="1">
        <v>1</v>
      </c>
      <c r="E66" s="415" t="s">
        <v>474</v>
      </c>
      <c r="F66" s="1" t="s">
        <v>1123</v>
      </c>
      <c r="G66" s="1" t="s">
        <v>1290</v>
      </c>
      <c r="H66" s="2" t="s">
        <v>796</v>
      </c>
      <c r="I66" s="1"/>
      <c r="J66" s="369"/>
    </row>
    <row r="67" spans="3:10" ht="18.75" customHeight="1" x14ac:dyDescent="0.25">
      <c r="C67" s="11" t="str">
        <f t="shared" si="0"/>
        <v>15200120-001</v>
      </c>
      <c r="D67" s="1">
        <v>1</v>
      </c>
      <c r="E67" s="415" t="s">
        <v>475</v>
      </c>
      <c r="F67" s="1" t="s">
        <v>1123</v>
      </c>
      <c r="G67" s="1" t="s">
        <v>1291</v>
      </c>
      <c r="H67" s="2" t="s">
        <v>796</v>
      </c>
      <c r="I67" s="1"/>
      <c r="J67" s="369"/>
    </row>
    <row r="68" spans="3:10" ht="18.75" customHeight="1" x14ac:dyDescent="0.25">
      <c r="C68" s="11" t="str">
        <f t="shared" si="0"/>
        <v>15200125-001</v>
      </c>
      <c r="D68" s="1">
        <v>1</v>
      </c>
      <c r="E68" s="415" t="s">
        <v>476</v>
      </c>
      <c r="F68" s="1" t="s">
        <v>1123</v>
      </c>
      <c r="G68" s="1" t="s">
        <v>1292</v>
      </c>
      <c r="H68" s="2" t="s">
        <v>796</v>
      </c>
      <c r="I68" s="1"/>
      <c r="J68" s="369"/>
    </row>
    <row r="69" spans="3:10" ht="18.75" customHeight="1" x14ac:dyDescent="0.25">
      <c r="C69" s="11" t="str">
        <f t="shared" ref="C69:C132" si="1">G69&amp;"-"&amp;H69</f>
        <v>15200130-001</v>
      </c>
      <c r="D69" s="1">
        <v>1</v>
      </c>
      <c r="E69" s="415" t="s">
        <v>477</v>
      </c>
      <c r="F69" s="1" t="s">
        <v>1123</v>
      </c>
      <c r="G69" s="1" t="s">
        <v>1293</v>
      </c>
      <c r="H69" s="2" t="s">
        <v>796</v>
      </c>
      <c r="I69" s="1"/>
      <c r="J69" s="369"/>
    </row>
    <row r="70" spans="3:10" ht="18.75" customHeight="1" x14ac:dyDescent="0.25">
      <c r="C70" s="11" t="str">
        <f t="shared" si="1"/>
        <v>15200135-001</v>
      </c>
      <c r="D70" s="1">
        <v>1</v>
      </c>
      <c r="E70" s="415" t="s">
        <v>478</v>
      </c>
      <c r="F70" s="1" t="s">
        <v>1123</v>
      </c>
      <c r="G70" s="1" t="s">
        <v>1294</v>
      </c>
      <c r="H70" s="2" t="s">
        <v>796</v>
      </c>
      <c r="I70" s="1"/>
      <c r="J70" s="369"/>
    </row>
    <row r="71" spans="3:10" ht="18.75" customHeight="1" x14ac:dyDescent="0.25">
      <c r="C71" s="11" t="str">
        <f t="shared" si="1"/>
        <v>15200140-001</v>
      </c>
      <c r="D71" s="1">
        <v>1</v>
      </c>
      <c r="E71" s="415" t="s">
        <v>479</v>
      </c>
      <c r="F71" s="1" t="s">
        <v>512</v>
      </c>
      <c r="G71" s="1" t="s">
        <v>1295</v>
      </c>
      <c r="H71" s="2" t="s">
        <v>796</v>
      </c>
      <c r="I71" s="1"/>
      <c r="J71" s="369"/>
    </row>
    <row r="72" spans="3:10" ht="18.75" customHeight="1" x14ac:dyDescent="0.25">
      <c r="C72" s="11" t="str">
        <f t="shared" si="1"/>
        <v>15200145-001</v>
      </c>
      <c r="D72" s="1">
        <v>1</v>
      </c>
      <c r="E72" s="415" t="s">
        <v>480</v>
      </c>
      <c r="F72" s="1" t="s">
        <v>512</v>
      </c>
      <c r="G72" s="1" t="s">
        <v>1296</v>
      </c>
      <c r="H72" s="2" t="s">
        <v>796</v>
      </c>
      <c r="I72" s="1"/>
      <c r="J72" s="369"/>
    </row>
    <row r="73" spans="3:10" ht="18.75" customHeight="1" x14ac:dyDescent="0.25">
      <c r="C73" s="11" t="str">
        <f t="shared" si="1"/>
        <v>15400105-001</v>
      </c>
      <c r="D73" s="1">
        <v>1</v>
      </c>
      <c r="E73" s="415" t="s">
        <v>508</v>
      </c>
      <c r="F73" s="1" t="s">
        <v>512</v>
      </c>
      <c r="G73" s="1" t="s">
        <v>1297</v>
      </c>
      <c r="H73" s="2" t="s">
        <v>796</v>
      </c>
      <c r="I73" s="1"/>
      <c r="J73" s="369"/>
    </row>
    <row r="74" spans="3:10" ht="18.75" customHeight="1" x14ac:dyDescent="0.25">
      <c r="C74" s="11" t="str">
        <f t="shared" si="1"/>
        <v>02300205-001</v>
      </c>
      <c r="D74" s="1">
        <v>2</v>
      </c>
      <c r="E74" s="415" t="s">
        <v>613</v>
      </c>
      <c r="F74" s="1" t="s">
        <v>1235</v>
      </c>
      <c r="G74" s="1" t="s">
        <v>667</v>
      </c>
      <c r="H74" s="2" t="s">
        <v>796</v>
      </c>
      <c r="I74" s="1"/>
      <c r="J74" s="369"/>
    </row>
    <row r="75" spans="3:10" ht="18.75" customHeight="1" x14ac:dyDescent="0.25">
      <c r="C75" s="11" t="str">
        <f t="shared" si="1"/>
        <v>02300210-001</v>
      </c>
      <c r="D75" s="1">
        <v>2</v>
      </c>
      <c r="E75" s="415" t="s">
        <v>668</v>
      </c>
      <c r="F75" s="1" t="s">
        <v>1235</v>
      </c>
      <c r="G75" s="1" t="s">
        <v>1298</v>
      </c>
      <c r="H75" s="2" t="s">
        <v>796</v>
      </c>
      <c r="I75" s="1"/>
      <c r="J75" s="369"/>
    </row>
    <row r="76" spans="3:10" ht="18.75" customHeight="1" x14ac:dyDescent="0.25">
      <c r="C76" s="11" t="str">
        <f t="shared" si="1"/>
        <v>02300215-001</v>
      </c>
      <c r="D76" s="1">
        <v>2</v>
      </c>
      <c r="E76" s="415" t="s">
        <v>616</v>
      </c>
      <c r="F76" s="1" t="s">
        <v>1235</v>
      </c>
      <c r="G76" s="1" t="s">
        <v>1299</v>
      </c>
      <c r="H76" s="2" t="s">
        <v>796</v>
      </c>
      <c r="I76" s="1"/>
      <c r="J76" s="369"/>
    </row>
    <row r="77" spans="3:10" ht="18.75" customHeight="1" x14ac:dyDescent="0.25">
      <c r="C77" s="11" t="str">
        <f t="shared" si="1"/>
        <v>02300220-001</v>
      </c>
      <c r="D77" s="1">
        <v>2</v>
      </c>
      <c r="E77" s="415" t="s">
        <v>617</v>
      </c>
      <c r="F77" s="1" t="s">
        <v>1235</v>
      </c>
      <c r="G77" s="1" t="s">
        <v>1300</v>
      </c>
      <c r="H77" s="2" t="s">
        <v>796</v>
      </c>
      <c r="I77" s="1"/>
      <c r="J77" s="369"/>
    </row>
    <row r="78" spans="3:10" ht="18.75" customHeight="1" x14ac:dyDescent="0.25">
      <c r="C78" s="11" t="str">
        <f t="shared" si="1"/>
        <v>02100205-001</v>
      </c>
      <c r="D78" s="1">
        <v>2</v>
      </c>
      <c r="E78" s="415" t="s">
        <v>619</v>
      </c>
      <c r="F78" s="1" t="s">
        <v>1235</v>
      </c>
      <c r="G78" s="1" t="s">
        <v>1301</v>
      </c>
      <c r="H78" s="2" t="s">
        <v>796</v>
      </c>
      <c r="I78" s="1"/>
      <c r="J78" s="369"/>
    </row>
    <row r="79" spans="3:10" ht="18.75" customHeight="1" x14ac:dyDescent="0.25">
      <c r="C79" s="11" t="str">
        <f t="shared" si="1"/>
        <v>02100210-001</v>
      </c>
      <c r="D79" s="1">
        <v>2</v>
      </c>
      <c r="E79" s="415" t="s">
        <v>614</v>
      </c>
      <c r="F79" s="1" t="s">
        <v>1235</v>
      </c>
      <c r="G79" s="1" t="s">
        <v>1302</v>
      </c>
      <c r="H79" s="2" t="s">
        <v>796</v>
      </c>
      <c r="I79" s="1"/>
      <c r="J79" s="369"/>
    </row>
    <row r="80" spans="3:10" ht="18.75" customHeight="1" x14ac:dyDescent="0.25">
      <c r="C80" s="11" t="str">
        <f t="shared" si="1"/>
        <v>02300225-001</v>
      </c>
      <c r="D80" s="1">
        <v>2</v>
      </c>
      <c r="E80" s="415" t="s">
        <v>615</v>
      </c>
      <c r="F80" s="1" t="s">
        <v>1235</v>
      </c>
      <c r="G80" s="1" t="s">
        <v>1303</v>
      </c>
      <c r="H80" s="2" t="s">
        <v>796</v>
      </c>
      <c r="I80" s="1"/>
      <c r="J80" s="369"/>
    </row>
    <row r="81" spans="3:10" ht="18.75" customHeight="1" x14ac:dyDescent="0.25">
      <c r="C81" s="11" t="str">
        <f t="shared" si="1"/>
        <v>02700205-001</v>
      </c>
      <c r="D81" s="1">
        <v>2</v>
      </c>
      <c r="E81" s="415" t="s">
        <v>620</v>
      </c>
      <c r="F81" s="1" t="s">
        <v>1235</v>
      </c>
      <c r="G81" s="1" t="s">
        <v>1304</v>
      </c>
      <c r="H81" s="2" t="s">
        <v>796</v>
      </c>
      <c r="I81" s="1"/>
      <c r="J81" s="369"/>
    </row>
    <row r="82" spans="3:10" ht="18.75" customHeight="1" x14ac:dyDescent="0.25">
      <c r="C82" s="11" t="str">
        <f t="shared" si="1"/>
        <v>09900205-001</v>
      </c>
      <c r="D82" s="1">
        <v>2</v>
      </c>
      <c r="E82" s="415" t="s">
        <v>621</v>
      </c>
      <c r="F82" s="1" t="s">
        <v>1235</v>
      </c>
      <c r="G82" s="1" t="s">
        <v>1305</v>
      </c>
      <c r="H82" s="2" t="s">
        <v>796</v>
      </c>
      <c r="I82" s="1"/>
      <c r="J82" s="369"/>
    </row>
    <row r="83" spans="3:10" ht="18.75" customHeight="1" x14ac:dyDescent="0.25">
      <c r="C83" s="11" t="str">
        <f t="shared" si="1"/>
        <v>02700210-001</v>
      </c>
      <c r="D83" s="1">
        <v>2</v>
      </c>
      <c r="E83" s="415" t="s">
        <v>660</v>
      </c>
      <c r="F83" s="1" t="s">
        <v>1235</v>
      </c>
      <c r="G83" s="1" t="s">
        <v>1306</v>
      </c>
      <c r="H83" s="2" t="s">
        <v>796</v>
      </c>
      <c r="I83" s="1"/>
      <c r="J83" s="369"/>
    </row>
    <row r="84" spans="3:10" ht="18.75" customHeight="1" x14ac:dyDescent="0.25">
      <c r="C84" s="11" t="str">
        <f t="shared" si="1"/>
        <v>02500205-001</v>
      </c>
      <c r="D84" s="1">
        <v>2</v>
      </c>
      <c r="E84" s="415" t="s">
        <v>622</v>
      </c>
      <c r="F84" s="1" t="s">
        <v>1235</v>
      </c>
      <c r="G84" s="1" t="s">
        <v>669</v>
      </c>
      <c r="H84" s="2" t="s">
        <v>796</v>
      </c>
      <c r="I84" s="1"/>
      <c r="J84" s="369"/>
    </row>
    <row r="85" spans="3:10" ht="18.75" customHeight="1" x14ac:dyDescent="0.25">
      <c r="C85" s="11" t="str">
        <f t="shared" si="1"/>
        <v>02800210-001</v>
      </c>
      <c r="D85" s="1">
        <v>2</v>
      </c>
      <c r="E85" s="415" t="s">
        <v>661</v>
      </c>
      <c r="F85" s="1" t="s">
        <v>1235</v>
      </c>
      <c r="G85" s="1" t="s">
        <v>1307</v>
      </c>
      <c r="H85" s="2" t="s">
        <v>796</v>
      </c>
      <c r="I85" s="1"/>
      <c r="J85" s="369"/>
    </row>
    <row r="86" spans="3:10" ht="18.75" customHeight="1" x14ac:dyDescent="0.25">
      <c r="C86" s="11" t="str">
        <f t="shared" si="1"/>
        <v>02900210-001</v>
      </c>
      <c r="D86" s="1">
        <v>2</v>
      </c>
      <c r="E86" s="415" t="s">
        <v>662</v>
      </c>
      <c r="F86" s="1" t="s">
        <v>1235</v>
      </c>
      <c r="G86" s="1" t="s">
        <v>1308</v>
      </c>
      <c r="H86" s="2" t="s">
        <v>796</v>
      </c>
      <c r="I86" s="1"/>
      <c r="J86" s="369"/>
    </row>
    <row r="87" spans="3:10" ht="18.75" customHeight="1" x14ac:dyDescent="0.25">
      <c r="C87" s="11" t="str">
        <f t="shared" si="1"/>
        <v>03300205-001</v>
      </c>
      <c r="D87" s="1">
        <v>2</v>
      </c>
      <c r="E87" s="415" t="s">
        <v>623</v>
      </c>
      <c r="F87" s="1" t="s">
        <v>1235</v>
      </c>
      <c r="G87" s="1" t="s">
        <v>685</v>
      </c>
      <c r="H87" s="2" t="s">
        <v>796</v>
      </c>
      <c r="I87" s="1"/>
      <c r="J87" s="369"/>
    </row>
    <row r="88" spans="3:10" ht="18.75" customHeight="1" x14ac:dyDescent="0.25">
      <c r="C88" s="11" t="str">
        <f t="shared" si="1"/>
        <v>03400205-001</v>
      </c>
      <c r="D88" s="1">
        <v>2</v>
      </c>
      <c r="E88" s="415" t="s">
        <v>624</v>
      </c>
      <c r="F88" s="1" t="s">
        <v>1235</v>
      </c>
      <c r="G88" s="1" t="s">
        <v>1309</v>
      </c>
      <c r="H88" s="2" t="s">
        <v>796</v>
      </c>
      <c r="I88" s="1"/>
      <c r="J88" s="369"/>
    </row>
    <row r="89" spans="3:10" ht="18.75" customHeight="1" x14ac:dyDescent="0.25">
      <c r="C89" s="11" t="str">
        <f t="shared" si="1"/>
        <v>03400210-001</v>
      </c>
      <c r="D89" s="1">
        <v>2</v>
      </c>
      <c r="E89" s="415" t="s">
        <v>625</v>
      </c>
      <c r="F89" s="1" t="s">
        <v>1235</v>
      </c>
      <c r="G89" s="1" t="s">
        <v>1310</v>
      </c>
      <c r="H89" s="2" t="s">
        <v>796</v>
      </c>
      <c r="I89" s="1"/>
      <c r="J89" s="369"/>
    </row>
    <row r="90" spans="3:10" ht="18.75" customHeight="1" x14ac:dyDescent="0.25">
      <c r="C90" s="11" t="str">
        <f t="shared" si="1"/>
        <v>04200205-001</v>
      </c>
      <c r="D90" s="1">
        <v>2</v>
      </c>
      <c r="E90" s="415" t="s">
        <v>626</v>
      </c>
      <c r="F90" s="1" t="s">
        <v>1235</v>
      </c>
      <c r="G90" s="1" t="s">
        <v>686</v>
      </c>
      <c r="H90" s="2" t="s">
        <v>796</v>
      </c>
      <c r="I90" s="1"/>
      <c r="J90" s="369"/>
    </row>
    <row r="91" spans="3:10" ht="18.75" customHeight="1" x14ac:dyDescent="0.25">
      <c r="C91" s="11" t="str">
        <f t="shared" si="1"/>
        <v>05100205-001</v>
      </c>
      <c r="D91" s="1">
        <v>2</v>
      </c>
      <c r="E91" s="415" t="s">
        <v>663</v>
      </c>
      <c r="F91" s="1" t="s">
        <v>1235</v>
      </c>
      <c r="G91" s="1" t="s">
        <v>684</v>
      </c>
      <c r="H91" s="2" t="s">
        <v>796</v>
      </c>
      <c r="I91" s="1"/>
      <c r="J91" s="369"/>
    </row>
    <row r="92" spans="3:10" ht="18.75" customHeight="1" x14ac:dyDescent="0.25">
      <c r="C92" s="11" t="str">
        <f t="shared" si="1"/>
        <v>05650205-001</v>
      </c>
      <c r="D92" s="1">
        <v>2</v>
      </c>
      <c r="E92" s="415" t="s">
        <v>664</v>
      </c>
      <c r="F92" s="1" t="s">
        <v>1235</v>
      </c>
      <c r="G92" s="1" t="s">
        <v>1311</v>
      </c>
      <c r="H92" s="2" t="s">
        <v>796</v>
      </c>
      <c r="I92" s="1"/>
      <c r="J92" s="369"/>
    </row>
    <row r="93" spans="3:10" ht="18.75" customHeight="1" x14ac:dyDescent="0.25">
      <c r="C93" s="11" t="str">
        <f t="shared" si="1"/>
        <v>05700205-001</v>
      </c>
      <c r="D93" s="1">
        <v>2</v>
      </c>
      <c r="E93" s="415" t="s">
        <v>627</v>
      </c>
      <c r="F93" s="1" t="s">
        <v>1235</v>
      </c>
      <c r="G93" s="1" t="s">
        <v>687</v>
      </c>
      <c r="H93" s="2" t="s">
        <v>796</v>
      </c>
      <c r="I93" s="1"/>
      <c r="J93" s="369"/>
    </row>
    <row r="94" spans="3:10" ht="18.75" customHeight="1" x14ac:dyDescent="0.25">
      <c r="C94" s="11" t="str">
        <f t="shared" si="1"/>
        <v>07100205-001</v>
      </c>
      <c r="D94" s="1">
        <v>2</v>
      </c>
      <c r="E94" s="415" t="s">
        <v>629</v>
      </c>
      <c r="F94" s="1" t="s">
        <v>1235</v>
      </c>
      <c r="G94" s="1" t="s">
        <v>670</v>
      </c>
      <c r="H94" s="2" t="s">
        <v>796</v>
      </c>
      <c r="I94" s="1"/>
      <c r="J94" s="369"/>
    </row>
    <row r="95" spans="3:10" ht="18.75" customHeight="1" x14ac:dyDescent="0.25">
      <c r="C95" s="11" t="str">
        <f t="shared" si="1"/>
        <v>08100205-001</v>
      </c>
      <c r="D95" s="1">
        <v>2</v>
      </c>
      <c r="E95" s="415" t="s">
        <v>632</v>
      </c>
      <c r="F95" s="1" t="s">
        <v>1235</v>
      </c>
      <c r="G95" s="1" t="s">
        <v>671</v>
      </c>
      <c r="H95" s="2" t="s">
        <v>796</v>
      </c>
      <c r="I95" s="1"/>
      <c r="J95" s="369"/>
    </row>
    <row r="96" spans="3:10" ht="18.75" customHeight="1" x14ac:dyDescent="0.25">
      <c r="C96" s="11" t="str">
        <f t="shared" si="1"/>
        <v>06400205-001</v>
      </c>
      <c r="D96" s="1">
        <v>2</v>
      </c>
      <c r="E96" s="415" t="s">
        <v>628</v>
      </c>
      <c r="F96" s="1" t="s">
        <v>1235</v>
      </c>
      <c r="G96" s="1" t="s">
        <v>1312</v>
      </c>
      <c r="H96" s="2" t="s">
        <v>796</v>
      </c>
      <c r="I96" s="1"/>
      <c r="J96" s="369"/>
    </row>
    <row r="97" spans="3:10" ht="18.75" customHeight="1" x14ac:dyDescent="0.25">
      <c r="C97" s="11" t="str">
        <f t="shared" si="1"/>
        <v>08200205-001</v>
      </c>
      <c r="D97" s="1">
        <v>2</v>
      </c>
      <c r="E97" s="415" t="s">
        <v>630</v>
      </c>
      <c r="F97" s="1" t="s">
        <v>1235</v>
      </c>
      <c r="G97" s="1" t="s">
        <v>672</v>
      </c>
      <c r="H97" s="2" t="s">
        <v>796</v>
      </c>
      <c r="I97" s="1"/>
      <c r="J97" s="369"/>
    </row>
    <row r="98" spans="3:10" ht="18.75" customHeight="1" x14ac:dyDescent="0.25">
      <c r="C98" s="11" t="str">
        <f t="shared" si="1"/>
        <v>08300205-001</v>
      </c>
      <c r="D98" s="1">
        <v>2</v>
      </c>
      <c r="E98" s="415" t="s">
        <v>631</v>
      </c>
      <c r="F98" s="1" t="s">
        <v>1235</v>
      </c>
      <c r="G98" s="1" t="s">
        <v>673</v>
      </c>
      <c r="H98" s="2" t="s">
        <v>796</v>
      </c>
      <c r="I98" s="1"/>
      <c r="J98" s="369"/>
    </row>
    <row r="99" spans="3:10" ht="18.75" customHeight="1" x14ac:dyDescent="0.25">
      <c r="C99" s="11" t="str">
        <f t="shared" si="1"/>
        <v>08800205-001</v>
      </c>
      <c r="D99" s="1">
        <v>2</v>
      </c>
      <c r="E99" s="415" t="s">
        <v>633</v>
      </c>
      <c r="F99" s="1" t="s">
        <v>1235</v>
      </c>
      <c r="G99" s="1" t="s">
        <v>674</v>
      </c>
      <c r="H99" s="2" t="s">
        <v>796</v>
      </c>
      <c r="I99" s="1"/>
      <c r="J99" s="369"/>
    </row>
    <row r="100" spans="3:10" ht="18.75" customHeight="1" x14ac:dyDescent="0.25">
      <c r="C100" s="11" t="str">
        <f t="shared" si="1"/>
        <v>08600205-001</v>
      </c>
      <c r="D100" s="1">
        <v>2</v>
      </c>
      <c r="E100" s="415" t="s">
        <v>637</v>
      </c>
      <c r="F100" s="1" t="s">
        <v>1235</v>
      </c>
      <c r="G100" s="1" t="s">
        <v>1313</v>
      </c>
      <c r="H100" s="2" t="s">
        <v>796</v>
      </c>
      <c r="I100" s="1"/>
      <c r="J100" s="369"/>
    </row>
    <row r="101" spans="3:10" ht="18.75" customHeight="1" x14ac:dyDescent="0.25">
      <c r="C101" s="11" t="str">
        <f t="shared" si="1"/>
        <v>08900205-001</v>
      </c>
      <c r="D101" s="1">
        <v>2</v>
      </c>
      <c r="E101" s="415" t="s">
        <v>635</v>
      </c>
      <c r="F101" s="1" t="s">
        <v>1235</v>
      </c>
      <c r="G101" s="1" t="s">
        <v>1314</v>
      </c>
      <c r="H101" s="2" t="s">
        <v>796</v>
      </c>
      <c r="I101" s="1"/>
      <c r="J101" s="369"/>
    </row>
    <row r="102" spans="3:10" ht="18.75" customHeight="1" x14ac:dyDescent="0.25">
      <c r="C102" s="11" t="str">
        <f t="shared" si="1"/>
        <v>09200205-001</v>
      </c>
      <c r="D102" s="1">
        <v>2</v>
      </c>
      <c r="E102" s="415" t="s">
        <v>646</v>
      </c>
      <c r="F102" s="1" t="s">
        <v>1235</v>
      </c>
      <c r="G102" s="1" t="s">
        <v>675</v>
      </c>
      <c r="H102" s="2" t="s">
        <v>796</v>
      </c>
      <c r="I102" s="1"/>
      <c r="J102" s="369"/>
    </row>
    <row r="103" spans="3:10" ht="18.75" customHeight="1" x14ac:dyDescent="0.25">
      <c r="C103" s="11" t="str">
        <f t="shared" si="1"/>
        <v>09600225-001</v>
      </c>
      <c r="D103" s="1">
        <v>2</v>
      </c>
      <c r="E103" s="415" t="s">
        <v>639</v>
      </c>
      <c r="F103" s="1" t="s">
        <v>1235</v>
      </c>
      <c r="G103" s="1" t="s">
        <v>1315</v>
      </c>
      <c r="H103" s="2" t="s">
        <v>796</v>
      </c>
      <c r="I103" s="1"/>
      <c r="J103" s="369"/>
    </row>
    <row r="104" spans="3:10" ht="18.75" customHeight="1" x14ac:dyDescent="0.25">
      <c r="C104" s="11" t="str">
        <f t="shared" si="1"/>
        <v>09200210-001</v>
      </c>
      <c r="D104" s="1">
        <v>2</v>
      </c>
      <c r="E104" s="415" t="s">
        <v>647</v>
      </c>
      <c r="F104" s="1" t="s">
        <v>1235</v>
      </c>
      <c r="G104" s="1" t="s">
        <v>1316</v>
      </c>
      <c r="H104" s="2" t="s">
        <v>796</v>
      </c>
      <c r="I104" s="1"/>
      <c r="J104" s="369"/>
    </row>
    <row r="105" spans="3:10" ht="18.75" customHeight="1" x14ac:dyDescent="0.25">
      <c r="C105" s="11" t="str">
        <f t="shared" si="1"/>
        <v>09600205-001</v>
      </c>
      <c r="D105" s="1">
        <v>2</v>
      </c>
      <c r="E105" s="415" t="s">
        <v>640</v>
      </c>
      <c r="F105" s="1" t="s">
        <v>1235</v>
      </c>
      <c r="G105" s="1" t="s">
        <v>676</v>
      </c>
      <c r="H105" s="2" t="s">
        <v>796</v>
      </c>
      <c r="I105" s="1"/>
      <c r="J105" s="369"/>
    </row>
    <row r="106" spans="3:10" ht="18.75" customHeight="1" x14ac:dyDescent="0.25">
      <c r="C106" s="11" t="str">
        <f t="shared" si="1"/>
        <v>09300215-001</v>
      </c>
      <c r="D106" s="1">
        <v>2</v>
      </c>
      <c r="E106" s="415" t="s">
        <v>643</v>
      </c>
      <c r="F106" s="1" t="s">
        <v>1235</v>
      </c>
      <c r="G106" s="1" t="s">
        <v>1317</v>
      </c>
      <c r="H106" s="2" t="s">
        <v>796</v>
      </c>
      <c r="I106" s="1"/>
      <c r="J106" s="369"/>
    </row>
    <row r="107" spans="3:10" ht="18.75" customHeight="1" x14ac:dyDescent="0.25">
      <c r="C107" s="11" t="str">
        <f t="shared" si="1"/>
        <v>09500210-001</v>
      </c>
      <c r="D107" s="1">
        <v>2</v>
      </c>
      <c r="E107" s="415" t="s">
        <v>665</v>
      </c>
      <c r="F107" s="1" t="s">
        <v>1235</v>
      </c>
      <c r="G107" s="1" t="s">
        <v>1318</v>
      </c>
      <c r="H107" s="2" t="s">
        <v>796</v>
      </c>
      <c r="I107" s="1"/>
      <c r="J107" s="369"/>
    </row>
    <row r="108" spans="3:10" ht="18.75" customHeight="1" x14ac:dyDescent="0.25">
      <c r="C108" s="11" t="str">
        <f t="shared" si="1"/>
        <v>09300220-001</v>
      </c>
      <c r="D108" s="1">
        <v>2</v>
      </c>
      <c r="E108" s="415" t="s">
        <v>645</v>
      </c>
      <c r="F108" s="1" t="s">
        <v>1235</v>
      </c>
      <c r="G108" s="1" t="s">
        <v>677</v>
      </c>
      <c r="H108" s="2" t="s">
        <v>796</v>
      </c>
      <c r="I108" s="1"/>
      <c r="J108" s="369"/>
    </row>
    <row r="109" spans="3:10" ht="18.75" customHeight="1" x14ac:dyDescent="0.25">
      <c r="C109" s="11" t="str">
        <f t="shared" si="1"/>
        <v>09700205-001</v>
      </c>
      <c r="D109" s="1">
        <v>2</v>
      </c>
      <c r="E109" s="415" t="s">
        <v>641</v>
      </c>
      <c r="F109" s="1" t="s">
        <v>1235</v>
      </c>
      <c r="G109" s="1" t="s">
        <v>1319</v>
      </c>
      <c r="H109" s="2" t="s">
        <v>796</v>
      </c>
      <c r="I109" s="1"/>
      <c r="J109" s="369"/>
    </row>
    <row r="110" spans="3:10" ht="18.75" customHeight="1" x14ac:dyDescent="0.25">
      <c r="C110" s="11" t="str">
        <f t="shared" si="1"/>
        <v>09600215-001</v>
      </c>
      <c r="D110" s="1">
        <v>2</v>
      </c>
      <c r="E110" s="415" t="s">
        <v>642</v>
      </c>
      <c r="F110" s="1" t="s">
        <v>1235</v>
      </c>
      <c r="G110" s="1" t="s">
        <v>678</v>
      </c>
      <c r="H110" s="2" t="s">
        <v>796</v>
      </c>
      <c r="I110" s="1"/>
      <c r="J110" s="369"/>
    </row>
    <row r="111" spans="3:10" ht="18.75" customHeight="1" x14ac:dyDescent="0.25">
      <c r="C111" s="11" t="str">
        <f t="shared" si="1"/>
        <v>09300225-001</v>
      </c>
      <c r="D111" s="1">
        <v>2</v>
      </c>
      <c r="E111" s="415" t="s">
        <v>644</v>
      </c>
      <c r="F111" s="1" t="s">
        <v>1235</v>
      </c>
      <c r="G111" s="1" t="s">
        <v>1320</v>
      </c>
      <c r="H111" s="2" t="s">
        <v>796</v>
      </c>
      <c r="I111" s="1"/>
      <c r="J111" s="369"/>
    </row>
    <row r="112" spans="3:10" ht="18.75" customHeight="1" x14ac:dyDescent="0.25">
      <c r="C112" s="11" t="str">
        <f t="shared" si="1"/>
        <v>09900210-001</v>
      </c>
      <c r="D112" s="1">
        <v>2</v>
      </c>
      <c r="E112" s="415" t="s">
        <v>648</v>
      </c>
      <c r="F112" s="1" t="s">
        <v>1235</v>
      </c>
      <c r="G112" s="1" t="s">
        <v>1321</v>
      </c>
      <c r="H112" s="2" t="s">
        <v>796</v>
      </c>
      <c r="I112" s="1"/>
      <c r="J112" s="369"/>
    </row>
    <row r="113" spans="3:10" ht="18.75" customHeight="1" x14ac:dyDescent="0.25">
      <c r="C113" s="11" t="str">
        <f t="shared" si="1"/>
        <v>09600210-001</v>
      </c>
      <c r="D113" s="1">
        <v>2</v>
      </c>
      <c r="E113" s="415" t="s">
        <v>666</v>
      </c>
      <c r="F113" s="1" t="s">
        <v>1235</v>
      </c>
      <c r="G113" s="1" t="s">
        <v>1322</v>
      </c>
      <c r="H113" s="2" t="s">
        <v>796</v>
      </c>
      <c r="I113" s="1"/>
      <c r="J113" s="369"/>
    </row>
    <row r="114" spans="3:10" ht="18.75" customHeight="1" x14ac:dyDescent="0.25">
      <c r="C114" s="11" t="str">
        <f t="shared" si="1"/>
        <v>10100205-001</v>
      </c>
      <c r="D114" s="1">
        <v>2</v>
      </c>
      <c r="E114" s="415" t="s">
        <v>650</v>
      </c>
      <c r="F114" s="1" t="s">
        <v>1235</v>
      </c>
      <c r="G114" s="1" t="s">
        <v>1323</v>
      </c>
      <c r="H114" s="2" t="s">
        <v>796</v>
      </c>
      <c r="I114" s="1"/>
      <c r="J114" s="369"/>
    </row>
    <row r="115" spans="3:10" ht="18.75" customHeight="1" x14ac:dyDescent="0.25">
      <c r="C115" s="11" t="str">
        <f t="shared" si="1"/>
        <v>10800205-001</v>
      </c>
      <c r="D115" s="1">
        <v>2</v>
      </c>
      <c r="E115" s="415" t="s">
        <v>649</v>
      </c>
      <c r="F115" s="1" t="s">
        <v>1235</v>
      </c>
      <c r="G115" s="1" t="s">
        <v>1324</v>
      </c>
      <c r="H115" s="2" t="s">
        <v>796</v>
      </c>
      <c r="I115" s="1"/>
      <c r="J115" s="369"/>
    </row>
    <row r="116" spans="3:10" ht="18.75" customHeight="1" x14ac:dyDescent="0.25">
      <c r="C116" s="11" t="str">
        <f t="shared" si="1"/>
        <v>11200205-001</v>
      </c>
      <c r="D116" s="1">
        <v>2</v>
      </c>
      <c r="E116" s="415" t="s">
        <v>651</v>
      </c>
      <c r="F116" s="1" t="s">
        <v>1235</v>
      </c>
      <c r="G116" s="1" t="s">
        <v>1325</v>
      </c>
      <c r="H116" s="2" t="s">
        <v>796</v>
      </c>
      <c r="I116" s="1"/>
      <c r="J116" s="369"/>
    </row>
    <row r="117" spans="3:10" ht="18.75" customHeight="1" x14ac:dyDescent="0.25">
      <c r="C117" s="11" t="str">
        <f t="shared" si="1"/>
        <v>11460205-001</v>
      </c>
      <c r="D117" s="1">
        <v>2</v>
      </c>
      <c r="E117" s="415" t="s">
        <v>652</v>
      </c>
      <c r="F117" s="1" t="s">
        <v>1235</v>
      </c>
      <c r="G117" s="1" t="s">
        <v>1326</v>
      </c>
      <c r="H117" s="2" t="s">
        <v>796</v>
      </c>
      <c r="I117" s="1"/>
      <c r="J117" s="369"/>
    </row>
    <row r="118" spans="3:10" ht="18.75" customHeight="1" x14ac:dyDescent="0.25">
      <c r="C118" s="11" t="str">
        <f t="shared" si="1"/>
        <v>11110205-001</v>
      </c>
      <c r="D118" s="1">
        <v>2</v>
      </c>
      <c r="E118" s="415" t="s">
        <v>653</v>
      </c>
      <c r="F118" s="1" t="s">
        <v>1235</v>
      </c>
      <c r="G118" s="1" t="s">
        <v>1327</v>
      </c>
      <c r="H118" s="2" t="s">
        <v>796</v>
      </c>
      <c r="I118" s="1"/>
      <c r="J118" s="369"/>
    </row>
    <row r="119" spans="3:10" ht="18.75" customHeight="1" x14ac:dyDescent="0.25">
      <c r="C119" s="11" t="str">
        <f t="shared" si="1"/>
        <v>11600205-001</v>
      </c>
      <c r="D119" s="1">
        <v>2</v>
      </c>
      <c r="E119" s="415" t="s">
        <v>654</v>
      </c>
      <c r="F119" s="1" t="s">
        <v>1235</v>
      </c>
      <c r="G119" s="1" t="s">
        <v>1328</v>
      </c>
      <c r="H119" s="2" t="s">
        <v>796</v>
      </c>
      <c r="I119" s="1"/>
      <c r="J119" s="369"/>
    </row>
    <row r="120" spans="3:10" ht="18.75" customHeight="1" x14ac:dyDescent="0.25">
      <c r="C120" s="11" t="str">
        <f t="shared" si="1"/>
        <v>12500205-001</v>
      </c>
      <c r="D120" s="1">
        <v>2</v>
      </c>
      <c r="E120" s="415" t="s">
        <v>655</v>
      </c>
      <c r="F120" s="1" t="s">
        <v>1235</v>
      </c>
      <c r="G120" s="1" t="s">
        <v>1329</v>
      </c>
      <c r="H120" s="2" t="s">
        <v>796</v>
      </c>
      <c r="I120" s="1"/>
      <c r="J120" s="369"/>
    </row>
    <row r="121" spans="3:10" ht="18.75" customHeight="1" x14ac:dyDescent="0.25">
      <c r="C121" s="11" t="str">
        <f t="shared" si="1"/>
        <v>13200205-001</v>
      </c>
      <c r="D121" s="1">
        <v>2</v>
      </c>
      <c r="E121" s="415" t="s">
        <v>272</v>
      </c>
      <c r="F121" s="1" t="s">
        <v>1235</v>
      </c>
      <c r="G121" s="1" t="s">
        <v>1330</v>
      </c>
      <c r="H121" s="2" t="s">
        <v>796</v>
      </c>
      <c r="I121" s="1"/>
      <c r="J121" s="369"/>
    </row>
    <row r="122" spans="3:10" ht="18.75" customHeight="1" x14ac:dyDescent="0.25">
      <c r="C122" s="11" t="str">
        <f t="shared" si="1"/>
        <v>13200210-001</v>
      </c>
      <c r="D122" s="1">
        <v>2</v>
      </c>
      <c r="E122" s="415" t="s">
        <v>273</v>
      </c>
      <c r="F122" s="1" t="s">
        <v>1235</v>
      </c>
      <c r="G122" s="1" t="s">
        <v>1331</v>
      </c>
      <c r="H122" s="2" t="s">
        <v>796</v>
      </c>
      <c r="I122" s="1"/>
      <c r="J122" s="369"/>
    </row>
    <row r="123" spans="3:10" ht="18.75" customHeight="1" x14ac:dyDescent="0.25">
      <c r="C123" s="11" t="str">
        <f t="shared" si="1"/>
        <v>13240205-001</v>
      </c>
      <c r="D123" s="1">
        <v>2</v>
      </c>
      <c r="E123" s="415" t="s">
        <v>274</v>
      </c>
      <c r="F123" s="1" t="s">
        <v>1235</v>
      </c>
      <c r="G123" s="1" t="s">
        <v>1332</v>
      </c>
      <c r="H123" s="2" t="s">
        <v>796</v>
      </c>
      <c r="I123" s="1"/>
      <c r="J123" s="369"/>
    </row>
    <row r="124" spans="3:10" ht="18.75" customHeight="1" x14ac:dyDescent="0.25">
      <c r="C124" s="11" t="str">
        <f t="shared" si="1"/>
        <v>13240210-001</v>
      </c>
      <c r="D124" s="1">
        <v>2</v>
      </c>
      <c r="E124" s="415" t="s">
        <v>275</v>
      </c>
      <c r="F124" s="1" t="s">
        <v>1235</v>
      </c>
      <c r="G124" s="1" t="s">
        <v>1333</v>
      </c>
      <c r="H124" s="2" t="s">
        <v>796</v>
      </c>
      <c r="I124" s="1"/>
      <c r="J124" s="369"/>
    </row>
    <row r="125" spans="3:10" ht="18.75" customHeight="1" x14ac:dyDescent="0.25">
      <c r="C125" s="11" t="str">
        <f t="shared" si="1"/>
        <v>13800205-001</v>
      </c>
      <c r="D125" s="1">
        <v>2</v>
      </c>
      <c r="E125" s="415" t="s">
        <v>276</v>
      </c>
      <c r="F125" s="1" t="s">
        <v>1235</v>
      </c>
      <c r="G125" s="1" t="s">
        <v>1334</v>
      </c>
      <c r="H125" s="2" t="s">
        <v>796</v>
      </c>
      <c r="I125" s="1"/>
      <c r="J125" s="369"/>
    </row>
    <row r="126" spans="3:10" ht="18.75" customHeight="1" x14ac:dyDescent="0.25">
      <c r="C126" s="11" t="str">
        <f t="shared" si="1"/>
        <v>13900205-001</v>
      </c>
      <c r="D126" s="1">
        <v>2</v>
      </c>
      <c r="E126" s="415" t="s">
        <v>277</v>
      </c>
      <c r="F126" s="1" t="s">
        <v>1235</v>
      </c>
      <c r="G126" s="1" t="s">
        <v>1335</v>
      </c>
      <c r="H126" s="2" t="s">
        <v>796</v>
      </c>
      <c r="I126" s="1"/>
      <c r="J126" s="369"/>
    </row>
    <row r="127" spans="3:10" ht="18.75" customHeight="1" x14ac:dyDescent="0.25">
      <c r="C127" s="11" t="str">
        <f t="shared" si="1"/>
        <v>14200205-001</v>
      </c>
      <c r="D127" s="1">
        <v>2</v>
      </c>
      <c r="E127" s="415" t="s">
        <v>656</v>
      </c>
      <c r="F127" s="1" t="s">
        <v>1235</v>
      </c>
      <c r="G127" s="1" t="s">
        <v>1336</v>
      </c>
      <c r="H127" s="2" t="s">
        <v>796</v>
      </c>
      <c r="I127" s="1"/>
      <c r="J127" s="369"/>
    </row>
    <row r="128" spans="3:10" ht="18.75" customHeight="1" x14ac:dyDescent="0.25">
      <c r="C128" s="11" t="str">
        <f t="shared" si="1"/>
        <v>15100225-001</v>
      </c>
      <c r="D128" s="1">
        <v>2</v>
      </c>
      <c r="E128" s="415" t="s">
        <v>618</v>
      </c>
      <c r="F128" s="1" t="s">
        <v>1235</v>
      </c>
      <c r="G128" s="1" t="s">
        <v>679</v>
      </c>
      <c r="H128" s="2" t="s">
        <v>796</v>
      </c>
      <c r="I128" s="1"/>
      <c r="J128" s="369"/>
    </row>
    <row r="129" spans="3:10" ht="18.75" customHeight="1" x14ac:dyDescent="0.25">
      <c r="C129" s="11" t="str">
        <f t="shared" si="1"/>
        <v>15200220-001</v>
      </c>
      <c r="D129" s="1">
        <v>2</v>
      </c>
      <c r="E129" s="415" t="s">
        <v>658</v>
      </c>
      <c r="F129" s="1" t="s">
        <v>1235</v>
      </c>
      <c r="G129" s="1" t="s">
        <v>1337</v>
      </c>
      <c r="H129" s="2" t="s">
        <v>796</v>
      </c>
      <c r="I129" s="1"/>
      <c r="J129" s="369"/>
    </row>
    <row r="130" spans="3:10" ht="18.75" customHeight="1" x14ac:dyDescent="0.25">
      <c r="C130" s="11" t="str">
        <f t="shared" si="1"/>
        <v>15700205-001</v>
      </c>
      <c r="D130" s="1">
        <v>2</v>
      </c>
      <c r="E130" s="415" t="s">
        <v>657</v>
      </c>
      <c r="F130" s="1" t="s">
        <v>1235</v>
      </c>
      <c r="G130" s="1" t="s">
        <v>1338</v>
      </c>
      <c r="H130" s="2" t="s">
        <v>796</v>
      </c>
      <c r="I130" s="1"/>
      <c r="J130" s="369"/>
    </row>
    <row r="131" spans="3:10" ht="18.75" customHeight="1" x14ac:dyDescent="0.25">
      <c r="C131" s="11" t="str">
        <f t="shared" si="1"/>
        <v>16050205-001</v>
      </c>
      <c r="D131" s="1">
        <v>2</v>
      </c>
      <c r="E131" s="415" t="s">
        <v>659</v>
      </c>
      <c r="F131" s="1" t="s">
        <v>1235</v>
      </c>
      <c r="G131" s="1" t="s">
        <v>1339</v>
      </c>
      <c r="H131" s="2" t="s">
        <v>796</v>
      </c>
      <c r="I131" s="1"/>
      <c r="J131" s="369"/>
    </row>
    <row r="132" spans="3:10" ht="18.75" customHeight="1" x14ac:dyDescent="0.25">
      <c r="C132" s="11" t="str">
        <f t="shared" si="1"/>
        <v>09600220-001</v>
      </c>
      <c r="D132" s="1">
        <v>2</v>
      </c>
      <c r="E132" s="415" t="s">
        <v>638</v>
      </c>
      <c r="F132" s="1" t="s">
        <v>1235</v>
      </c>
      <c r="G132" s="1" t="s">
        <v>1340</v>
      </c>
      <c r="H132" s="2" t="s">
        <v>796</v>
      </c>
      <c r="I132" s="1"/>
      <c r="J132" s="369"/>
    </row>
    <row r="133" spans="3:10" ht="18.75" customHeight="1" x14ac:dyDescent="0.25">
      <c r="C133" s="11" t="str">
        <f t="shared" ref="C133:C187" si="2">G133&amp;"-"&amp;H133</f>
        <v>03300305-001</v>
      </c>
      <c r="D133" s="1">
        <v>3</v>
      </c>
      <c r="E133" s="415" t="s">
        <v>581</v>
      </c>
      <c r="F133" s="1" t="s">
        <v>605</v>
      </c>
      <c r="G133" s="1" t="s">
        <v>611</v>
      </c>
      <c r="H133" s="2" t="s">
        <v>796</v>
      </c>
      <c r="I133" s="1"/>
      <c r="J133" s="369">
        <v>10.123601700775755</v>
      </c>
    </row>
    <row r="134" spans="3:10" ht="18.75" customHeight="1" x14ac:dyDescent="0.25">
      <c r="C134" s="11" t="str">
        <f t="shared" si="2"/>
        <v>15200315-001</v>
      </c>
      <c r="D134" s="1">
        <v>3</v>
      </c>
      <c r="E134" s="415" t="s">
        <v>572</v>
      </c>
      <c r="F134" s="1" t="s">
        <v>605</v>
      </c>
      <c r="G134" s="1" t="s">
        <v>1341</v>
      </c>
      <c r="H134" s="2" t="s">
        <v>796</v>
      </c>
      <c r="I134" s="1"/>
      <c r="J134" s="369">
        <v>9.467593754817182</v>
      </c>
    </row>
    <row r="135" spans="3:10" ht="18.75" customHeight="1" x14ac:dyDescent="0.25">
      <c r="C135" s="11" t="str">
        <f t="shared" si="2"/>
        <v>02700310-001</v>
      </c>
      <c r="D135" s="1">
        <v>3</v>
      </c>
      <c r="E135" s="415" t="s">
        <v>580</v>
      </c>
      <c r="F135" s="1" t="s">
        <v>605</v>
      </c>
      <c r="G135" s="1" t="s">
        <v>1342</v>
      </c>
      <c r="H135" s="2" t="s">
        <v>796</v>
      </c>
      <c r="I135" s="1"/>
      <c r="J135" s="369">
        <v>14.265690821028207</v>
      </c>
    </row>
    <row r="136" spans="3:10" ht="18.75" customHeight="1" x14ac:dyDescent="0.25">
      <c r="C136" s="11" t="str">
        <f t="shared" si="2"/>
        <v>02300315-001</v>
      </c>
      <c r="D136" s="1">
        <v>3</v>
      </c>
      <c r="E136" s="415" t="s">
        <v>583</v>
      </c>
      <c r="F136" s="1" t="s">
        <v>605</v>
      </c>
      <c r="G136" s="1" t="s">
        <v>1343</v>
      </c>
      <c r="H136" s="2" t="s">
        <v>796</v>
      </c>
      <c r="I136" s="1"/>
      <c r="J136" s="369">
        <v>10.573303728711505</v>
      </c>
    </row>
    <row r="137" spans="3:10" ht="18.75" customHeight="1" x14ac:dyDescent="0.25">
      <c r="C137" s="11" t="str">
        <f t="shared" si="2"/>
        <v>02300320-001</v>
      </c>
      <c r="D137" s="1">
        <v>3</v>
      </c>
      <c r="E137" s="415" t="s">
        <v>584</v>
      </c>
      <c r="F137" s="1" t="s">
        <v>605</v>
      </c>
      <c r="G137" s="1" t="s">
        <v>606</v>
      </c>
      <c r="H137" s="2" t="s">
        <v>796</v>
      </c>
      <c r="I137" s="1"/>
      <c r="J137" s="369">
        <v>8.3745532233564148</v>
      </c>
    </row>
    <row r="138" spans="3:10" ht="18.75" customHeight="1" x14ac:dyDescent="0.25">
      <c r="C138" s="11" t="str">
        <f t="shared" si="2"/>
        <v>04200305-001</v>
      </c>
      <c r="D138" s="1">
        <v>3</v>
      </c>
      <c r="E138" s="415" t="s">
        <v>586</v>
      </c>
      <c r="F138" s="1" t="s">
        <v>605</v>
      </c>
      <c r="G138" s="1" t="s">
        <v>607</v>
      </c>
      <c r="H138" s="2" t="s">
        <v>796</v>
      </c>
      <c r="I138" s="1"/>
      <c r="J138" s="369">
        <v>8.4582914214684575</v>
      </c>
    </row>
    <row r="139" spans="3:10" ht="18.75" customHeight="1" x14ac:dyDescent="0.25">
      <c r="C139" s="11" t="str">
        <f t="shared" si="2"/>
        <v>02100305-001</v>
      </c>
      <c r="D139" s="1">
        <v>3</v>
      </c>
      <c r="E139" s="415" t="s">
        <v>582</v>
      </c>
      <c r="F139" s="1" t="s">
        <v>605</v>
      </c>
      <c r="G139" s="1" t="s">
        <v>1344</v>
      </c>
      <c r="H139" s="2" t="s">
        <v>796</v>
      </c>
      <c r="I139" s="1"/>
      <c r="J139" s="369">
        <v>11.020056006860019</v>
      </c>
    </row>
    <row r="140" spans="3:10" ht="18.75" customHeight="1" x14ac:dyDescent="0.25">
      <c r="C140" s="11" t="str">
        <f t="shared" si="2"/>
        <v>09200305-001</v>
      </c>
      <c r="D140" s="1">
        <v>3</v>
      </c>
      <c r="E140" s="415" t="s">
        <v>589</v>
      </c>
      <c r="F140" s="1" t="s">
        <v>605</v>
      </c>
      <c r="G140" s="1" t="s">
        <v>612</v>
      </c>
      <c r="H140" s="2" t="s">
        <v>796</v>
      </c>
      <c r="I140" s="1"/>
      <c r="J140" s="369">
        <v>8.9983697796615427</v>
      </c>
    </row>
    <row r="141" spans="3:10" ht="18.75" customHeight="1" x14ac:dyDescent="0.25">
      <c r="C141" s="11" t="str">
        <f t="shared" si="2"/>
        <v>15200310-001</v>
      </c>
      <c r="D141" s="1">
        <v>3</v>
      </c>
      <c r="E141" s="415" t="s">
        <v>594</v>
      </c>
      <c r="F141" s="1" t="s">
        <v>605</v>
      </c>
      <c r="G141" s="1" t="s">
        <v>1345</v>
      </c>
      <c r="H141" s="2" t="s">
        <v>796</v>
      </c>
      <c r="I141" s="1"/>
      <c r="J141" s="369">
        <v>8.7146181037552282</v>
      </c>
    </row>
    <row r="142" spans="3:10" ht="18.75" customHeight="1" x14ac:dyDescent="0.25">
      <c r="C142" s="11" t="str">
        <f t="shared" si="2"/>
        <v>09300305-001</v>
      </c>
      <c r="D142" s="1">
        <v>3</v>
      </c>
      <c r="E142" s="415" t="s">
        <v>600</v>
      </c>
      <c r="F142" s="1" t="s">
        <v>605</v>
      </c>
      <c r="G142" s="1" t="s">
        <v>609</v>
      </c>
      <c r="H142" s="2" t="s">
        <v>796</v>
      </c>
      <c r="I142" s="1"/>
      <c r="J142" s="369">
        <v>9.2877563860879011</v>
      </c>
    </row>
    <row r="143" spans="3:10" ht="18.75" customHeight="1" x14ac:dyDescent="0.25">
      <c r="C143" s="11" t="str">
        <f t="shared" si="2"/>
        <v>03400305-001</v>
      </c>
      <c r="D143" s="1">
        <v>3</v>
      </c>
      <c r="E143" s="415" t="s">
        <v>597</v>
      </c>
      <c r="F143" s="1" t="s">
        <v>605</v>
      </c>
      <c r="G143" s="1" t="s">
        <v>1346</v>
      </c>
      <c r="H143" s="2" t="s">
        <v>796</v>
      </c>
      <c r="I143" s="1"/>
      <c r="J143" s="369">
        <v>10.389740565718665</v>
      </c>
    </row>
    <row r="144" spans="3:10" ht="18.75" customHeight="1" x14ac:dyDescent="0.25">
      <c r="C144" s="11" t="str">
        <f t="shared" si="2"/>
        <v>02700305-001</v>
      </c>
      <c r="D144" s="1">
        <v>3</v>
      </c>
      <c r="E144" s="415" t="s">
        <v>599</v>
      </c>
      <c r="F144" s="1" t="s">
        <v>605</v>
      </c>
      <c r="G144" s="1" t="s">
        <v>604</v>
      </c>
      <c r="H144" s="2" t="s">
        <v>796</v>
      </c>
      <c r="I144" s="1"/>
      <c r="J144" s="369">
        <v>21.151770720579833</v>
      </c>
    </row>
    <row r="145" spans="3:10" ht="18.75" customHeight="1" x14ac:dyDescent="0.25">
      <c r="C145" s="11" t="str">
        <f t="shared" si="2"/>
        <v>03300315-001</v>
      </c>
      <c r="D145" s="1">
        <v>3</v>
      </c>
      <c r="E145" s="415" t="s">
        <v>591</v>
      </c>
      <c r="F145" s="1" t="s">
        <v>605</v>
      </c>
      <c r="G145" s="1" t="s">
        <v>608</v>
      </c>
      <c r="H145" s="2" t="s">
        <v>796</v>
      </c>
      <c r="I145" s="1"/>
      <c r="J145" s="369">
        <v>8.4114647791895045</v>
      </c>
    </row>
    <row r="146" spans="3:10" ht="18.75" customHeight="1" x14ac:dyDescent="0.25">
      <c r="C146" s="11" t="str">
        <f t="shared" si="2"/>
        <v>03300310-001</v>
      </c>
      <c r="D146" s="1">
        <v>3</v>
      </c>
      <c r="E146" s="415" t="s">
        <v>596</v>
      </c>
      <c r="F146" s="1" t="s">
        <v>605</v>
      </c>
      <c r="G146" s="1" t="s">
        <v>1347</v>
      </c>
      <c r="H146" s="2" t="s">
        <v>796</v>
      </c>
      <c r="I146" s="1"/>
      <c r="J146" s="369">
        <v>8.6357581365855403</v>
      </c>
    </row>
    <row r="147" spans="3:10" ht="18.75" customHeight="1" x14ac:dyDescent="0.25">
      <c r="C147" s="11" t="str">
        <f t="shared" si="2"/>
        <v>15100305-001</v>
      </c>
      <c r="D147" s="1">
        <v>3</v>
      </c>
      <c r="E147" s="415" t="s">
        <v>590</v>
      </c>
      <c r="F147" s="1" t="s">
        <v>605</v>
      </c>
      <c r="G147" s="1" t="s">
        <v>1348</v>
      </c>
      <c r="H147" s="2" t="s">
        <v>796</v>
      </c>
      <c r="I147" s="1"/>
      <c r="J147" s="369">
        <v>10.168666803271444</v>
      </c>
    </row>
    <row r="148" spans="3:10" ht="18.75" customHeight="1" x14ac:dyDescent="0.25">
      <c r="C148" s="11" t="str">
        <f t="shared" si="2"/>
        <v>02300310-001</v>
      </c>
      <c r="D148" s="1">
        <v>3</v>
      </c>
      <c r="E148" s="415" t="s">
        <v>595</v>
      </c>
      <c r="F148" s="1" t="s">
        <v>605</v>
      </c>
      <c r="G148" s="1" t="s">
        <v>1349</v>
      </c>
      <c r="H148" s="2" t="s">
        <v>796</v>
      </c>
      <c r="I148" s="1"/>
      <c r="J148" s="369">
        <v>16.35571136039886</v>
      </c>
    </row>
    <row r="149" spans="3:10" ht="18.75" customHeight="1" x14ac:dyDescent="0.25">
      <c r="C149" s="11" t="str">
        <f t="shared" si="2"/>
        <v>09300310-001</v>
      </c>
      <c r="D149" s="1">
        <v>3</v>
      </c>
      <c r="E149" s="415" t="s">
        <v>585</v>
      </c>
      <c r="F149" s="1" t="s">
        <v>605</v>
      </c>
      <c r="G149" s="1" t="s">
        <v>610</v>
      </c>
      <c r="H149" s="2" t="s">
        <v>796</v>
      </c>
      <c r="I149" s="1"/>
      <c r="J149" s="369">
        <v>9.8986623371505971</v>
      </c>
    </row>
    <row r="150" spans="3:10" ht="18.75" customHeight="1" x14ac:dyDescent="0.25">
      <c r="C150" s="11" t="str">
        <f t="shared" si="2"/>
        <v>15200305-001</v>
      </c>
      <c r="D150" s="1">
        <v>3</v>
      </c>
      <c r="E150" s="415" t="s">
        <v>592</v>
      </c>
      <c r="F150" s="1" t="s">
        <v>605</v>
      </c>
      <c r="G150" s="1" t="s">
        <v>1350</v>
      </c>
      <c r="H150" s="2" t="s">
        <v>796</v>
      </c>
      <c r="I150" s="1"/>
      <c r="J150" s="369">
        <v>13.308612891882021</v>
      </c>
    </row>
    <row r="151" spans="3:10" ht="18.75" customHeight="1" x14ac:dyDescent="0.25">
      <c r="C151" s="11" t="str">
        <f t="shared" si="2"/>
        <v>09900305-001</v>
      </c>
      <c r="D151" s="1">
        <v>3</v>
      </c>
      <c r="E151" s="415" t="s">
        <v>588</v>
      </c>
      <c r="F151" s="1" t="s">
        <v>605</v>
      </c>
      <c r="G151" s="1" t="s">
        <v>1351</v>
      </c>
      <c r="H151" s="2" t="s">
        <v>796</v>
      </c>
      <c r="I151" s="1"/>
      <c r="J151" s="369">
        <v>9.6496380369545314</v>
      </c>
    </row>
    <row r="152" spans="3:10" ht="18.75" customHeight="1" x14ac:dyDescent="0.25">
      <c r="C152" s="11" t="str">
        <f t="shared" si="2"/>
        <v>02700425-001</v>
      </c>
      <c r="D152" s="1">
        <v>4</v>
      </c>
      <c r="E152" s="415" t="s">
        <v>698</v>
      </c>
      <c r="F152" s="1" t="s">
        <v>1237</v>
      </c>
      <c r="G152" s="1" t="s">
        <v>1145</v>
      </c>
      <c r="H152" s="2" t="s">
        <v>796</v>
      </c>
      <c r="I152" s="1" t="s">
        <v>1356</v>
      </c>
      <c r="J152" s="369">
        <v>30.851047472292667</v>
      </c>
    </row>
    <row r="153" spans="3:10" ht="18.75" customHeight="1" x14ac:dyDescent="0.25">
      <c r="C153" s="11" t="str">
        <f t="shared" si="2"/>
        <v>02700425-002</v>
      </c>
      <c r="D153" s="1">
        <v>4</v>
      </c>
      <c r="E153" s="415" t="s">
        <v>698</v>
      </c>
      <c r="F153" s="1" t="s">
        <v>1237</v>
      </c>
      <c r="G153" s="1" t="s">
        <v>1145</v>
      </c>
      <c r="H153" s="2" t="s">
        <v>797</v>
      </c>
      <c r="I153" s="1" t="s">
        <v>1355</v>
      </c>
      <c r="J153" s="369">
        <v>70.132347715318872</v>
      </c>
    </row>
    <row r="154" spans="3:10" ht="18.75" customHeight="1" x14ac:dyDescent="0.25">
      <c r="C154" s="11" t="str">
        <f t="shared" si="2"/>
        <v>02700410-001</v>
      </c>
      <c r="D154" s="1">
        <v>4</v>
      </c>
      <c r="E154" s="415" t="s">
        <v>707</v>
      </c>
      <c r="F154" s="1" t="s">
        <v>1237</v>
      </c>
      <c r="G154" s="1" t="s">
        <v>1146</v>
      </c>
      <c r="H154" s="2" t="s">
        <v>796</v>
      </c>
      <c r="I154" s="1" t="s">
        <v>1358</v>
      </c>
      <c r="J154" s="369">
        <v>17.84196252480913</v>
      </c>
    </row>
    <row r="155" spans="3:10" ht="18.75" customHeight="1" x14ac:dyDescent="0.25">
      <c r="C155" s="11" t="str">
        <f t="shared" si="2"/>
        <v>02700410-002</v>
      </c>
      <c r="D155" s="1">
        <v>4</v>
      </c>
      <c r="E155" s="415" t="s">
        <v>707</v>
      </c>
      <c r="F155" s="1" t="s">
        <v>1237</v>
      </c>
      <c r="G155" s="1" t="s">
        <v>1146</v>
      </c>
      <c r="H155" s="2" t="s">
        <v>797</v>
      </c>
      <c r="I155" s="1" t="s">
        <v>1357</v>
      </c>
      <c r="J155" s="369">
        <v>36.107462757728385</v>
      </c>
    </row>
    <row r="156" spans="3:10" ht="18.75" customHeight="1" x14ac:dyDescent="0.25">
      <c r="C156" s="11" t="str">
        <f t="shared" si="2"/>
        <v>02700440-001</v>
      </c>
      <c r="D156" s="1">
        <v>4</v>
      </c>
      <c r="E156" s="415" t="s">
        <v>706</v>
      </c>
      <c r="F156" s="1" t="s">
        <v>1237</v>
      </c>
      <c r="G156" s="1" t="s">
        <v>1147</v>
      </c>
      <c r="H156" s="2" t="s">
        <v>796</v>
      </c>
      <c r="I156" s="1" t="s">
        <v>1356</v>
      </c>
      <c r="J156" s="369">
        <v>11.643362646901711</v>
      </c>
    </row>
    <row r="157" spans="3:10" ht="18.75" customHeight="1" x14ac:dyDescent="0.25">
      <c r="C157" s="11" t="str">
        <f t="shared" si="2"/>
        <v>02300450-001</v>
      </c>
      <c r="D157" s="1">
        <v>4</v>
      </c>
      <c r="E157" s="415" t="s">
        <v>715</v>
      </c>
      <c r="F157" s="1" t="s">
        <v>1237</v>
      </c>
      <c r="G157" s="1" t="s">
        <v>1148</v>
      </c>
      <c r="H157" s="2" t="s">
        <v>796</v>
      </c>
      <c r="I157" s="1" t="s">
        <v>1355</v>
      </c>
      <c r="J157" s="369">
        <v>27.469935405420603</v>
      </c>
    </row>
    <row r="158" spans="3:10" ht="18.75" customHeight="1" x14ac:dyDescent="0.25">
      <c r="C158" s="11" t="str">
        <f t="shared" si="2"/>
        <v>02300450-002</v>
      </c>
      <c r="D158" s="1">
        <v>4</v>
      </c>
      <c r="E158" s="415" t="s">
        <v>715</v>
      </c>
      <c r="F158" s="1" t="s">
        <v>1237</v>
      </c>
      <c r="G158" s="1" t="s">
        <v>1148</v>
      </c>
      <c r="H158" s="2" t="s">
        <v>797</v>
      </c>
      <c r="I158" s="1" t="s">
        <v>1359</v>
      </c>
      <c r="J158" s="369">
        <v>16.169469059266753</v>
      </c>
    </row>
    <row r="159" spans="3:10" ht="18.75" customHeight="1" x14ac:dyDescent="0.25">
      <c r="C159" s="11" t="str">
        <f t="shared" si="2"/>
        <v>03400405-001</v>
      </c>
      <c r="D159" s="1">
        <v>4</v>
      </c>
      <c r="E159" s="415" t="s">
        <v>708</v>
      </c>
      <c r="F159" s="1" t="s">
        <v>1237</v>
      </c>
      <c r="G159" s="1" t="s">
        <v>714</v>
      </c>
      <c r="H159" s="2" t="s">
        <v>796</v>
      </c>
      <c r="I159" s="1" t="s">
        <v>1360</v>
      </c>
      <c r="J159" s="369">
        <v>46.643057860802607</v>
      </c>
    </row>
    <row r="160" spans="3:10" ht="18.75" customHeight="1" x14ac:dyDescent="0.25">
      <c r="C160" s="11" t="str">
        <f t="shared" si="2"/>
        <v>03400405-002</v>
      </c>
      <c r="D160" s="1">
        <v>4</v>
      </c>
      <c r="E160" s="415" t="s">
        <v>708</v>
      </c>
      <c r="F160" s="1" t="s">
        <v>1237</v>
      </c>
      <c r="G160" s="1" t="s">
        <v>714</v>
      </c>
      <c r="H160" s="2" t="s">
        <v>797</v>
      </c>
      <c r="I160" s="1" t="s">
        <v>1361</v>
      </c>
      <c r="J160" s="369">
        <v>87.557705532528871</v>
      </c>
    </row>
    <row r="161" spans="3:10" ht="18.75" customHeight="1" x14ac:dyDescent="0.25">
      <c r="C161" s="11" t="str">
        <f t="shared" si="2"/>
        <v>02100405-001</v>
      </c>
      <c r="D161" s="1">
        <v>4</v>
      </c>
      <c r="E161" s="415" t="s">
        <v>713</v>
      </c>
      <c r="F161" s="1" t="s">
        <v>1237</v>
      </c>
      <c r="G161" s="1" t="s">
        <v>1149</v>
      </c>
      <c r="H161" s="2" t="s">
        <v>796</v>
      </c>
      <c r="I161" s="1" t="s">
        <v>1356</v>
      </c>
      <c r="J161" s="369">
        <v>14.548930555555557</v>
      </c>
    </row>
    <row r="162" spans="3:10" ht="18.75" customHeight="1" x14ac:dyDescent="0.25">
      <c r="C162" s="11" t="str">
        <f t="shared" si="2"/>
        <v>02200405-001</v>
      </c>
      <c r="D162" s="1">
        <v>4</v>
      </c>
      <c r="E162" s="415" t="s">
        <v>701</v>
      </c>
      <c r="F162" s="1" t="s">
        <v>1237</v>
      </c>
      <c r="G162" s="1" t="s">
        <v>1150</v>
      </c>
      <c r="H162" s="2" t="s">
        <v>796</v>
      </c>
      <c r="I162" s="1" t="s">
        <v>1362</v>
      </c>
      <c r="J162" s="369">
        <v>126.52665023607665</v>
      </c>
    </row>
    <row r="163" spans="3:10" ht="18.75" customHeight="1" x14ac:dyDescent="0.25">
      <c r="C163" s="11" t="str">
        <f t="shared" si="2"/>
        <v>02200405-002</v>
      </c>
      <c r="D163" s="1">
        <v>4</v>
      </c>
      <c r="E163" s="415" t="s">
        <v>701</v>
      </c>
      <c r="F163" s="1" t="s">
        <v>1237</v>
      </c>
      <c r="G163" s="1" t="s">
        <v>1150</v>
      </c>
      <c r="H163" s="2" t="s">
        <v>797</v>
      </c>
      <c r="I163" s="1" t="s">
        <v>1363</v>
      </c>
      <c r="J163" s="369">
        <v>52.864195909153572</v>
      </c>
    </row>
    <row r="164" spans="3:10" ht="18.75" customHeight="1" x14ac:dyDescent="0.25">
      <c r="C164" s="11" t="str">
        <f t="shared" si="2"/>
        <v>02300420-001</v>
      </c>
      <c r="D164" s="1">
        <v>4</v>
      </c>
      <c r="E164" s="415" t="s">
        <v>691</v>
      </c>
      <c r="F164" s="1" t="s">
        <v>1237</v>
      </c>
      <c r="G164" s="1" t="s">
        <v>711</v>
      </c>
      <c r="H164" s="2" t="s">
        <v>796</v>
      </c>
      <c r="I164" s="1" t="s">
        <v>1355</v>
      </c>
      <c r="J164" s="369">
        <v>29.823801075660452</v>
      </c>
    </row>
    <row r="165" spans="3:10" ht="18.75" customHeight="1" x14ac:dyDescent="0.25">
      <c r="C165" s="11" t="str">
        <f t="shared" si="2"/>
        <v>02300420-002</v>
      </c>
      <c r="D165" s="1">
        <v>4</v>
      </c>
      <c r="E165" s="415" t="s">
        <v>691</v>
      </c>
      <c r="F165" s="1" t="s">
        <v>1237</v>
      </c>
      <c r="G165" s="1" t="s">
        <v>711</v>
      </c>
      <c r="H165" s="2" t="s">
        <v>797</v>
      </c>
      <c r="I165" s="1" t="s">
        <v>1359</v>
      </c>
      <c r="J165" s="369">
        <v>22.909197382478634</v>
      </c>
    </row>
    <row r="166" spans="3:10" ht="18.75" customHeight="1" x14ac:dyDescent="0.25">
      <c r="C166" s="11" t="str">
        <f t="shared" si="2"/>
        <v>02300405-001</v>
      </c>
      <c r="D166" s="1">
        <v>4</v>
      </c>
      <c r="E166" s="415" t="s">
        <v>688</v>
      </c>
      <c r="F166" s="1" t="s">
        <v>1237</v>
      </c>
      <c r="G166" s="1" t="s">
        <v>709</v>
      </c>
      <c r="H166" s="2" t="s">
        <v>796</v>
      </c>
      <c r="I166" s="1" t="s">
        <v>1356</v>
      </c>
      <c r="J166" s="369">
        <v>45.224420621860673</v>
      </c>
    </row>
    <row r="167" spans="3:10" ht="18.75" customHeight="1" x14ac:dyDescent="0.25">
      <c r="C167" s="11" t="str">
        <f t="shared" si="2"/>
        <v>02300405-002</v>
      </c>
      <c r="D167" s="1">
        <v>4</v>
      </c>
      <c r="E167" s="415" t="s">
        <v>688</v>
      </c>
      <c r="F167" s="1" t="s">
        <v>1237</v>
      </c>
      <c r="G167" s="1" t="s">
        <v>709</v>
      </c>
      <c r="H167" s="2" t="s">
        <v>797</v>
      </c>
      <c r="I167" s="1" t="s">
        <v>1355</v>
      </c>
      <c r="J167" s="369">
        <v>79.007582560465536</v>
      </c>
    </row>
    <row r="168" spans="3:10" ht="18.75" customHeight="1" x14ac:dyDescent="0.25">
      <c r="C168" s="11" t="str">
        <f t="shared" si="2"/>
        <v>07200405-001</v>
      </c>
      <c r="D168" s="1">
        <v>4</v>
      </c>
      <c r="E168" s="415" t="s">
        <v>705</v>
      </c>
      <c r="F168" s="1" t="s">
        <v>1237</v>
      </c>
      <c r="G168" s="1" t="s">
        <v>1151</v>
      </c>
      <c r="H168" s="2" t="s">
        <v>796</v>
      </c>
      <c r="I168" s="1" t="s">
        <v>1356</v>
      </c>
      <c r="J168" s="369">
        <v>17.980836360398857</v>
      </c>
    </row>
    <row r="169" spans="3:10" ht="18.75" customHeight="1" x14ac:dyDescent="0.25">
      <c r="C169" s="11" t="str">
        <f t="shared" si="2"/>
        <v>02700435-001</v>
      </c>
      <c r="D169" s="1">
        <v>4</v>
      </c>
      <c r="E169" s="415" t="s">
        <v>695</v>
      </c>
      <c r="F169" s="1" t="s">
        <v>1237</v>
      </c>
      <c r="G169" s="1" t="s">
        <v>794</v>
      </c>
      <c r="H169" s="2" t="s">
        <v>796</v>
      </c>
      <c r="I169" s="1" t="s">
        <v>1359</v>
      </c>
      <c r="J169" s="369">
        <v>72.81038650246191</v>
      </c>
    </row>
    <row r="170" spans="3:10" ht="18.75" customHeight="1" x14ac:dyDescent="0.25">
      <c r="C170" s="11" t="str">
        <f t="shared" si="2"/>
        <v>02700435-002</v>
      </c>
      <c r="D170" s="1">
        <v>4</v>
      </c>
      <c r="E170" s="415" t="s">
        <v>695</v>
      </c>
      <c r="F170" s="1" t="s">
        <v>1237</v>
      </c>
      <c r="G170" s="1" t="s">
        <v>794</v>
      </c>
      <c r="H170" s="2" t="s">
        <v>797</v>
      </c>
      <c r="I170" s="1" t="s">
        <v>1355</v>
      </c>
      <c r="J170" s="369">
        <v>106.09759621191007</v>
      </c>
    </row>
    <row r="171" spans="3:10" ht="18.75" customHeight="1" x14ac:dyDescent="0.25">
      <c r="C171" s="11" t="str">
        <f t="shared" si="2"/>
        <v>02300455-001</v>
      </c>
      <c r="D171" s="1">
        <v>4</v>
      </c>
      <c r="E171" s="415" t="s">
        <v>716</v>
      </c>
      <c r="F171" s="1" t="s">
        <v>1237</v>
      </c>
      <c r="G171" s="1" t="s">
        <v>1152</v>
      </c>
      <c r="H171" s="2" t="s">
        <v>796</v>
      </c>
      <c r="I171" s="1" t="s">
        <v>1356</v>
      </c>
      <c r="J171" s="369">
        <v>32.353978175912886</v>
      </c>
    </row>
    <row r="172" spans="3:10" ht="18.75" customHeight="1" x14ac:dyDescent="0.25">
      <c r="C172" s="11" t="str">
        <f t="shared" si="2"/>
        <v>02300415-001</v>
      </c>
      <c r="D172" s="1">
        <v>4</v>
      </c>
      <c r="E172" s="415" t="s">
        <v>690</v>
      </c>
      <c r="F172" s="1" t="s">
        <v>1237</v>
      </c>
      <c r="G172" s="1" t="s">
        <v>710</v>
      </c>
      <c r="H172" s="2" t="s">
        <v>796</v>
      </c>
      <c r="I172" s="1" t="s">
        <v>1355</v>
      </c>
      <c r="J172" s="369">
        <v>39.701774192393287</v>
      </c>
    </row>
    <row r="173" spans="3:10" ht="18.75" customHeight="1" x14ac:dyDescent="0.25">
      <c r="C173" s="11" t="str">
        <f t="shared" si="2"/>
        <v>02300415-002</v>
      </c>
      <c r="D173" s="1">
        <v>4</v>
      </c>
      <c r="E173" s="415" t="s">
        <v>690</v>
      </c>
      <c r="F173" s="1" t="s">
        <v>1237</v>
      </c>
      <c r="G173" s="1" t="s">
        <v>710</v>
      </c>
      <c r="H173" s="2" t="s">
        <v>797</v>
      </c>
      <c r="I173" s="1" t="s">
        <v>1359</v>
      </c>
      <c r="J173" s="369">
        <v>58.168555965427934</v>
      </c>
    </row>
    <row r="174" spans="3:10" ht="18.75" customHeight="1" x14ac:dyDescent="0.25">
      <c r="C174" s="11" t="str">
        <f t="shared" si="2"/>
        <v>02700415-001</v>
      </c>
      <c r="D174" s="1">
        <v>4</v>
      </c>
      <c r="E174" s="415" t="s">
        <v>697</v>
      </c>
      <c r="F174" s="1" t="s">
        <v>1237</v>
      </c>
      <c r="G174" s="1" t="s">
        <v>1153</v>
      </c>
      <c r="H174" s="2" t="s">
        <v>796</v>
      </c>
      <c r="I174" s="1" t="s">
        <v>1356</v>
      </c>
      <c r="J174" s="369">
        <v>13.809990651709402</v>
      </c>
    </row>
    <row r="175" spans="3:10" ht="18.75" customHeight="1" x14ac:dyDescent="0.25">
      <c r="C175" s="11" t="str">
        <f t="shared" si="2"/>
        <v>02300440-001</v>
      </c>
      <c r="D175" s="1">
        <v>4</v>
      </c>
      <c r="E175" s="1" t="s">
        <v>696</v>
      </c>
      <c r="F175" s="1" t="s">
        <v>1237</v>
      </c>
      <c r="G175" s="1" t="s">
        <v>1154</v>
      </c>
      <c r="H175" s="1" t="s">
        <v>796</v>
      </c>
      <c r="I175" s="1" t="s">
        <v>1356</v>
      </c>
      <c r="J175" s="366">
        <v>8.6410450368213674</v>
      </c>
    </row>
    <row r="176" spans="3:10" x14ac:dyDescent="0.25">
      <c r="C176" s="11" t="str">
        <f t="shared" si="2"/>
        <v>02700420-001</v>
      </c>
      <c r="D176" s="1">
        <v>4</v>
      </c>
      <c r="E176" s="1" t="s">
        <v>699</v>
      </c>
      <c r="F176" s="1" t="s">
        <v>1237</v>
      </c>
      <c r="G176" s="1" t="s">
        <v>1155</v>
      </c>
      <c r="H176" s="1" t="s">
        <v>796</v>
      </c>
      <c r="I176" s="1" t="s">
        <v>1356</v>
      </c>
      <c r="J176" s="366">
        <v>13.809990651709402</v>
      </c>
    </row>
    <row r="177" spans="3:10" x14ac:dyDescent="0.25">
      <c r="C177" s="11" t="str">
        <f t="shared" si="2"/>
        <v>03300415-001</v>
      </c>
      <c r="D177" s="1">
        <v>4</v>
      </c>
      <c r="E177" s="1" t="s">
        <v>704</v>
      </c>
      <c r="F177" s="1" t="s">
        <v>1237</v>
      </c>
      <c r="G177" s="1" t="s">
        <v>1156</v>
      </c>
      <c r="H177" s="1" t="s">
        <v>796</v>
      </c>
      <c r="I177" s="1" t="s">
        <v>1355</v>
      </c>
      <c r="J177" s="366">
        <v>45.073176709401707</v>
      </c>
    </row>
    <row r="178" spans="3:10" x14ac:dyDescent="0.25">
      <c r="C178" s="11" t="str">
        <f t="shared" si="2"/>
        <v>03300415-002</v>
      </c>
      <c r="D178" s="1">
        <v>4</v>
      </c>
      <c r="E178" s="1" t="s">
        <v>704</v>
      </c>
      <c r="F178" s="1" t="s">
        <v>1237</v>
      </c>
      <c r="G178" s="1" t="s">
        <v>1156</v>
      </c>
      <c r="H178" s="1" t="s">
        <v>797</v>
      </c>
      <c r="I178" s="1" t="s">
        <v>1359</v>
      </c>
      <c r="J178" s="366">
        <v>24.376505555555557</v>
      </c>
    </row>
    <row r="179" spans="3:10" x14ac:dyDescent="0.25">
      <c r="C179" s="11" t="str">
        <f t="shared" si="2"/>
        <v>03300405-001</v>
      </c>
      <c r="D179" s="1">
        <v>4</v>
      </c>
      <c r="E179" s="1" t="s">
        <v>702</v>
      </c>
      <c r="F179" s="1" t="s">
        <v>1237</v>
      </c>
      <c r="G179" s="1" t="s">
        <v>1157</v>
      </c>
      <c r="H179" s="1" t="s">
        <v>796</v>
      </c>
      <c r="I179" s="1" t="s">
        <v>1364</v>
      </c>
      <c r="J179" s="366">
        <v>91.086643494059359</v>
      </c>
    </row>
    <row r="180" spans="3:10" x14ac:dyDescent="0.25">
      <c r="C180" s="11" t="str">
        <f t="shared" si="2"/>
        <v>03300405-002</v>
      </c>
      <c r="D180" s="1">
        <v>4</v>
      </c>
      <c r="E180" s="1" t="s">
        <v>702</v>
      </c>
      <c r="F180" s="1" t="s">
        <v>1237</v>
      </c>
      <c r="G180" s="1" t="s">
        <v>1157</v>
      </c>
      <c r="H180" s="1" t="s">
        <v>797</v>
      </c>
      <c r="I180" s="1" t="s">
        <v>1365</v>
      </c>
      <c r="J180" s="366">
        <v>49.134033603949469</v>
      </c>
    </row>
    <row r="181" spans="3:10" x14ac:dyDescent="0.25">
      <c r="C181" s="11" t="str">
        <f t="shared" si="2"/>
        <v>03300410-001</v>
      </c>
      <c r="D181" s="1">
        <v>4</v>
      </c>
      <c r="E181" s="1" t="s">
        <v>703</v>
      </c>
      <c r="F181" s="1" t="s">
        <v>1237</v>
      </c>
      <c r="G181" s="1" t="s">
        <v>1158</v>
      </c>
      <c r="H181" s="1" t="s">
        <v>796</v>
      </c>
      <c r="I181" s="1" t="s">
        <v>1365</v>
      </c>
      <c r="J181" s="366">
        <v>134.41382880287784</v>
      </c>
    </row>
    <row r="182" spans="3:10" x14ac:dyDescent="0.25">
      <c r="C182" s="11" t="str">
        <f t="shared" si="2"/>
        <v>03300410-002</v>
      </c>
      <c r="D182" s="1">
        <v>4</v>
      </c>
      <c r="E182" s="1" t="s">
        <v>703</v>
      </c>
      <c r="F182" s="1" t="s">
        <v>1237</v>
      </c>
      <c r="G182" s="1" t="s">
        <v>1158</v>
      </c>
      <c r="H182" s="1" t="s">
        <v>797</v>
      </c>
      <c r="I182" s="1" t="s">
        <v>1364</v>
      </c>
      <c r="J182" s="366">
        <v>25.68989209401709</v>
      </c>
    </row>
    <row r="183" spans="3:10" x14ac:dyDescent="0.25">
      <c r="C183" s="11" t="str">
        <f t="shared" si="2"/>
        <v>02300410-001</v>
      </c>
      <c r="D183" s="1">
        <v>4</v>
      </c>
      <c r="E183" s="1" t="s">
        <v>689</v>
      </c>
      <c r="F183" s="1" t="s">
        <v>1237</v>
      </c>
      <c r="G183" s="1" t="s">
        <v>795</v>
      </c>
      <c r="H183" s="1" t="s">
        <v>796</v>
      </c>
      <c r="I183" s="1" t="s">
        <v>1356</v>
      </c>
      <c r="J183" s="366">
        <v>55.46208974358975</v>
      </c>
    </row>
    <row r="184" spans="3:10" x14ac:dyDescent="0.25">
      <c r="C184" s="11" t="str">
        <f t="shared" si="2"/>
        <v>02300430-001</v>
      </c>
      <c r="D184" s="1">
        <v>4</v>
      </c>
      <c r="E184" s="1" t="s">
        <v>694</v>
      </c>
      <c r="F184" s="1" t="s">
        <v>1237</v>
      </c>
      <c r="G184" s="1" t="s">
        <v>1159</v>
      </c>
      <c r="H184" s="1" t="s">
        <v>796</v>
      </c>
      <c r="I184" s="1" t="s">
        <v>1356</v>
      </c>
      <c r="J184" s="366">
        <v>12.727001906080032</v>
      </c>
    </row>
    <row r="185" spans="3:10" x14ac:dyDescent="0.25">
      <c r="C185" s="11" t="str">
        <f t="shared" si="2"/>
        <v>02300445-001</v>
      </c>
      <c r="D185" s="1">
        <v>4</v>
      </c>
      <c r="E185" s="1" t="s">
        <v>692</v>
      </c>
      <c r="F185" s="1" t="s">
        <v>1237</v>
      </c>
      <c r="G185" s="1" t="s">
        <v>1160</v>
      </c>
      <c r="H185" s="1" t="s">
        <v>796</v>
      </c>
      <c r="I185" s="1" t="s">
        <v>1356</v>
      </c>
      <c r="J185" s="366">
        <v>148.57929840898592</v>
      </c>
    </row>
    <row r="186" spans="3:10" x14ac:dyDescent="0.25">
      <c r="C186" s="11" t="str">
        <f t="shared" si="2"/>
        <v>09900405-001</v>
      </c>
      <c r="D186" s="1">
        <v>4</v>
      </c>
      <c r="E186" s="1" t="s">
        <v>700</v>
      </c>
      <c r="F186" s="1" t="s">
        <v>1237</v>
      </c>
      <c r="G186" s="1" t="s">
        <v>1161</v>
      </c>
      <c r="H186" s="1" t="s">
        <v>796</v>
      </c>
      <c r="I186" s="1" t="s">
        <v>1356</v>
      </c>
      <c r="J186" s="366">
        <v>11.350180555555555</v>
      </c>
    </row>
    <row r="187" spans="3:10" x14ac:dyDescent="0.25">
      <c r="C187" s="11" t="str">
        <f t="shared" si="2"/>
        <v>02300425-001</v>
      </c>
      <c r="D187" s="1">
        <v>4</v>
      </c>
      <c r="E187" s="1" t="s">
        <v>693</v>
      </c>
      <c r="F187" s="1" t="s">
        <v>1237</v>
      </c>
      <c r="G187" s="1" t="s">
        <v>712</v>
      </c>
      <c r="H187" s="1" t="s">
        <v>796</v>
      </c>
      <c r="I187" s="1" t="s">
        <v>1356</v>
      </c>
      <c r="J187" s="366">
        <v>32.57975026709402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341"/>
  <sheetViews>
    <sheetView tabSelected="1" topLeftCell="I3" workbookViewId="0">
      <selection activeCell="J5" sqref="J5"/>
    </sheetView>
  </sheetViews>
  <sheetFormatPr defaultRowHeight="15" x14ac:dyDescent="0.25"/>
  <cols>
    <col min="1" max="1" width="4.140625" customWidth="1"/>
    <col min="2" max="3" width="9.140625" hidden="1" customWidth="1"/>
    <col min="4" max="4" width="16.28515625" customWidth="1"/>
    <col min="5" max="5" width="13.42578125" customWidth="1"/>
    <col min="6" max="6" width="72.140625" customWidth="1"/>
    <col min="7" max="7" width="16.28515625" customWidth="1"/>
    <col min="8" max="8" width="27.140625" customWidth="1"/>
    <col min="9" max="9" width="13.5703125" customWidth="1"/>
    <col min="10" max="10" width="42.140625" customWidth="1"/>
    <col min="11" max="11" width="33.5703125" bestFit="1" customWidth="1"/>
    <col min="12" max="12" width="12.140625" customWidth="1"/>
    <col min="13" max="13" width="15.140625" customWidth="1"/>
    <col min="14" max="14" width="16" customWidth="1"/>
    <col min="15" max="15" width="24.42578125" customWidth="1"/>
  </cols>
  <sheetData>
    <row r="1" spans="4:14" s="141" customFormat="1" x14ac:dyDescent="0.25">
      <c r="G1" s="141">
        <v>3</v>
      </c>
      <c r="H1" s="141">
        <v>4</v>
      </c>
      <c r="J1" s="141">
        <v>7</v>
      </c>
    </row>
    <row r="2" spans="4:14" s="141" customFormat="1" ht="27" thickBot="1" x14ac:dyDescent="0.45">
      <c r="D2" s="207" t="s">
        <v>1134</v>
      </c>
    </row>
    <row r="3" spans="4:14" s="140" customFormat="1" ht="30" customHeight="1" thickBot="1" x14ac:dyDescent="0.3">
      <c r="D3" s="143" t="s">
        <v>905</v>
      </c>
      <c r="E3" s="144" t="s">
        <v>15</v>
      </c>
      <c r="F3" s="144" t="s">
        <v>16</v>
      </c>
      <c r="G3" s="144" t="s">
        <v>1126</v>
      </c>
      <c r="H3" s="146" t="s">
        <v>909</v>
      </c>
      <c r="I3" s="144" t="s">
        <v>308</v>
      </c>
      <c r="J3" s="146" t="s">
        <v>309</v>
      </c>
      <c r="K3" s="144" t="s">
        <v>1127</v>
      </c>
      <c r="L3" s="146" t="s">
        <v>911</v>
      </c>
      <c r="M3" s="146" t="s">
        <v>912</v>
      </c>
      <c r="N3" s="145" t="s">
        <v>913</v>
      </c>
    </row>
    <row r="4" spans="4:14" x14ac:dyDescent="0.25">
      <c r="D4" s="49" t="s">
        <v>65</v>
      </c>
      <c r="E4" s="142" t="str">
        <f>VLOOKUP(F4,'Activity List CSI'!$B$4:$D$146,3,0)</f>
        <v>02300-09</v>
      </c>
      <c r="F4" s="50" t="s">
        <v>27</v>
      </c>
      <c r="G4" s="50" t="str">
        <f>VLOOKUP($E4,'Activity List CSI'!$D$4:$J$146,'Mat. List CSI'!G$1,0)</f>
        <v>02</v>
      </c>
      <c r="H4" s="50" t="str">
        <f>VLOOKUP($E4,'Activity List CSI'!$D$4:$J$146,'Mat. List CSI'!H$1,0)</f>
        <v>EarthWork</v>
      </c>
      <c r="I4" s="50" t="str">
        <f>VLOOKUP(D4,'Activity List CSI'!$C$4:$H$146,6,0)</f>
        <v>02300</v>
      </c>
      <c r="J4" s="50" t="str">
        <f>VLOOKUP($E4,'Activity List CSI'!$D$4:$J$146,'Mat. List CSI'!J$1,0)</f>
        <v>Earthwork</v>
      </c>
      <c r="K4" s="50" t="s">
        <v>413</v>
      </c>
      <c r="L4" s="50">
        <v>105</v>
      </c>
      <c r="M4" s="50" t="str">
        <f t="shared" ref="M4:M67" si="0">I4&amp;L4</f>
        <v>02300105</v>
      </c>
      <c r="N4" s="45" t="str">
        <f>M4</f>
        <v>02300105</v>
      </c>
    </row>
    <row r="5" spans="4:14" x14ac:dyDescent="0.25">
      <c r="D5" s="11" t="s">
        <v>65</v>
      </c>
      <c r="E5" s="134" t="str">
        <f>VLOOKUP(F5,'Activity List CSI'!$B$4:$D$146,3,0)</f>
        <v>02300-09</v>
      </c>
      <c r="F5" s="1" t="s">
        <v>27</v>
      </c>
      <c r="G5" s="1" t="str">
        <f>VLOOKUP($E5,'Activity List CSI'!$D$4:$J$146,'Mat. List CSI'!G$1,0)</f>
        <v>02</v>
      </c>
      <c r="H5" s="1" t="str">
        <f>VLOOKUP($E5,'Activity List CSI'!$D$4:$J$146,'Mat. List CSI'!H$1,0)</f>
        <v>EarthWork</v>
      </c>
      <c r="I5" s="1" t="str">
        <f>VLOOKUP(D5,'Activity List CSI'!$C$4:$H$146,6,0)</f>
        <v>02300</v>
      </c>
      <c r="J5" s="1" t="str">
        <f>VLOOKUP($E5,'Activity List CSI'!$D$4:$J$146,'Mat. List CSI'!J$1,0)</f>
        <v>Earthwork</v>
      </c>
      <c r="K5" s="1" t="s">
        <v>413</v>
      </c>
      <c r="L5" s="1">
        <v>105</v>
      </c>
      <c r="M5" s="1" t="str">
        <f t="shared" si="0"/>
        <v>02300105</v>
      </c>
      <c r="N5" s="12" t="str">
        <f t="shared" ref="N5:N11" si="1">M5</f>
        <v>02300105</v>
      </c>
    </row>
    <row r="6" spans="4:14" x14ac:dyDescent="0.25">
      <c r="D6" s="11" t="s">
        <v>68</v>
      </c>
      <c r="E6" s="134" t="str">
        <f>VLOOKUP(F6,'Activity List CSI'!$B$4:$D$146,3,0)</f>
        <v>02300-11</v>
      </c>
      <c r="F6" s="1" t="s">
        <v>29</v>
      </c>
      <c r="G6" s="1" t="str">
        <f>VLOOKUP($E6,'Activity List CSI'!$D$4:$J$146,'Mat. List CSI'!G$1,0)</f>
        <v>02</v>
      </c>
      <c r="H6" s="1" t="str">
        <f>VLOOKUP($E6,'Activity List CSI'!$D$4:$J$146,'Mat. List CSI'!H$1,0)</f>
        <v>EarthWork</v>
      </c>
      <c r="I6" s="1" t="str">
        <f>VLOOKUP(D6,'Activity List CSI'!$C$4:$H$146,6,0)</f>
        <v>02300</v>
      </c>
      <c r="J6" s="1" t="str">
        <f>VLOOKUP($E6,'Activity List CSI'!$D$4:$J$146,'Mat. List CSI'!J$1,0)</f>
        <v>Earthwork</v>
      </c>
      <c r="K6" s="1" t="s">
        <v>413</v>
      </c>
      <c r="L6" s="1">
        <v>105</v>
      </c>
      <c r="M6" s="1" t="str">
        <f t="shared" si="0"/>
        <v>02300105</v>
      </c>
      <c r="N6" s="12" t="str">
        <f t="shared" si="1"/>
        <v>02300105</v>
      </c>
    </row>
    <row r="7" spans="4:14" x14ac:dyDescent="0.25">
      <c r="D7" s="11" t="s">
        <v>68</v>
      </c>
      <c r="E7" s="134" t="str">
        <f>VLOOKUP(F7,'Activity List CSI'!$B$4:$D$146,3,0)</f>
        <v>02300-11</v>
      </c>
      <c r="F7" s="1" t="s">
        <v>29</v>
      </c>
      <c r="G7" s="1" t="str">
        <f>VLOOKUP($E7,'Activity List CSI'!$D$4:$J$146,'Mat. List CSI'!G$1,0)</f>
        <v>02</v>
      </c>
      <c r="H7" s="1" t="str">
        <f>VLOOKUP($E7,'Activity List CSI'!$D$4:$J$146,'Mat. List CSI'!H$1,0)</f>
        <v>EarthWork</v>
      </c>
      <c r="I7" s="1" t="str">
        <f>VLOOKUP(D7,'Activity List CSI'!$C$4:$H$146,6,0)</f>
        <v>02300</v>
      </c>
      <c r="J7" s="1" t="str">
        <f>VLOOKUP($E7,'Activity List CSI'!$D$4:$J$146,'Mat. List CSI'!J$1,0)</f>
        <v>Earthwork</v>
      </c>
      <c r="K7" s="1" t="s">
        <v>413</v>
      </c>
      <c r="L7" s="1">
        <v>105</v>
      </c>
      <c r="M7" s="1" t="str">
        <f t="shared" si="0"/>
        <v>02300105</v>
      </c>
      <c r="N7" s="12" t="str">
        <f t="shared" si="1"/>
        <v>02300105</v>
      </c>
    </row>
    <row r="8" spans="4:14" x14ac:dyDescent="0.25">
      <c r="D8" s="11" t="s">
        <v>229</v>
      </c>
      <c r="E8" s="134" t="str">
        <f>VLOOKUP(F8,'Activity List CSI'!$B$4:$D$146,3,0)</f>
        <v>02300-13</v>
      </c>
      <c r="F8" s="1" t="s">
        <v>31</v>
      </c>
      <c r="G8" s="1" t="str">
        <f>VLOOKUP($E8,'Activity List CSI'!$D$4:$J$146,'Mat. List CSI'!G$1,0)</f>
        <v>02</v>
      </c>
      <c r="H8" s="1" t="str">
        <f>VLOOKUP($E8,'Activity List CSI'!$D$4:$J$146,'Mat. List CSI'!H$1,0)</f>
        <v>EarthWork</v>
      </c>
      <c r="I8" s="1" t="str">
        <f>VLOOKUP(D8,'Activity List CSI'!$C$4:$H$146,6,0)</f>
        <v>02300</v>
      </c>
      <c r="J8" s="1" t="str">
        <f>VLOOKUP($E8,'Activity List CSI'!$D$4:$J$146,'Mat. List CSI'!J$1,0)</f>
        <v>Earthwork</v>
      </c>
      <c r="K8" s="1" t="s">
        <v>413</v>
      </c>
      <c r="L8" s="1">
        <v>105</v>
      </c>
      <c r="M8" s="1" t="str">
        <f t="shared" si="0"/>
        <v>02300105</v>
      </c>
      <c r="N8" s="12" t="str">
        <f t="shared" si="1"/>
        <v>02300105</v>
      </c>
    </row>
    <row r="9" spans="4:14" x14ac:dyDescent="0.25">
      <c r="D9" s="11" t="s">
        <v>229</v>
      </c>
      <c r="E9" s="134" t="str">
        <f>VLOOKUP(F9,'Activity List CSI'!$B$4:$D$146,3,0)</f>
        <v>02300-13</v>
      </c>
      <c r="F9" s="1" t="s">
        <v>31</v>
      </c>
      <c r="G9" s="1" t="str">
        <f>VLOOKUP($E9,'Activity List CSI'!$D$4:$J$146,'Mat. List CSI'!G$1,0)</f>
        <v>02</v>
      </c>
      <c r="H9" s="1" t="str">
        <f>VLOOKUP($E9,'Activity List CSI'!$D$4:$J$146,'Mat. List CSI'!H$1,0)</f>
        <v>EarthWork</v>
      </c>
      <c r="I9" s="1" t="str">
        <f>VLOOKUP(D9,'Activity List CSI'!$C$4:$H$146,6,0)</f>
        <v>02300</v>
      </c>
      <c r="J9" s="1" t="str">
        <f>VLOOKUP($E9,'Activity List CSI'!$D$4:$J$146,'Mat. List CSI'!J$1,0)</f>
        <v>Earthwork</v>
      </c>
      <c r="K9" s="1" t="s">
        <v>413</v>
      </c>
      <c r="L9" s="1">
        <v>105</v>
      </c>
      <c r="M9" s="1" t="str">
        <f t="shared" si="0"/>
        <v>02300105</v>
      </c>
      <c r="N9" s="12" t="str">
        <f t="shared" si="1"/>
        <v>02300105</v>
      </c>
    </row>
    <row r="10" spans="4:14" x14ac:dyDescent="0.25">
      <c r="D10" s="11" t="s">
        <v>230</v>
      </c>
      <c r="E10" s="134" t="str">
        <f>VLOOKUP(F10,'Activity List CSI'!$B$4:$D$146,3,0)</f>
        <v>02300-14</v>
      </c>
      <c r="F10" s="1" t="s">
        <v>32</v>
      </c>
      <c r="G10" s="1" t="str">
        <f>VLOOKUP($E10,'Activity List CSI'!$D$4:$J$146,'Mat. List CSI'!G$1,0)</f>
        <v>02</v>
      </c>
      <c r="H10" s="1" t="str">
        <f>VLOOKUP($E10,'Activity List CSI'!$D$4:$J$146,'Mat. List CSI'!H$1,0)</f>
        <v>EarthWork</v>
      </c>
      <c r="I10" s="1" t="str">
        <f>VLOOKUP(D10,'Activity List CSI'!$C$4:$H$146,6,0)</f>
        <v>02300</v>
      </c>
      <c r="J10" s="1" t="str">
        <f>VLOOKUP($E10,'Activity List CSI'!$D$4:$J$146,'Mat. List CSI'!J$1,0)</f>
        <v>Earthwork</v>
      </c>
      <c r="K10" s="1" t="s">
        <v>413</v>
      </c>
      <c r="L10" s="1">
        <v>105</v>
      </c>
      <c r="M10" s="1" t="str">
        <f t="shared" si="0"/>
        <v>02300105</v>
      </c>
      <c r="N10" s="12" t="str">
        <f t="shared" si="1"/>
        <v>02300105</v>
      </c>
    </row>
    <row r="11" spans="4:14" x14ac:dyDescent="0.25">
      <c r="D11" s="11" t="s">
        <v>230</v>
      </c>
      <c r="E11" s="134" t="str">
        <f>VLOOKUP(F11,'Activity List CSI'!$B$4:$D$146,3,0)</f>
        <v>02300-14</v>
      </c>
      <c r="F11" s="1" t="s">
        <v>32</v>
      </c>
      <c r="G11" s="1" t="str">
        <f>VLOOKUP($E11,'Activity List CSI'!$D$4:$J$146,'Mat. List CSI'!G$1,0)</f>
        <v>02</v>
      </c>
      <c r="H11" s="1" t="str">
        <f>VLOOKUP($E11,'Activity List CSI'!$D$4:$J$146,'Mat. List CSI'!H$1,0)</f>
        <v>EarthWork</v>
      </c>
      <c r="I11" s="1" t="str">
        <f>VLOOKUP(D11,'Activity List CSI'!$C$4:$H$146,6,0)</f>
        <v>02300</v>
      </c>
      <c r="J11" s="1" t="str">
        <f>VLOOKUP($E11,'Activity List CSI'!$D$4:$J$146,'Mat. List CSI'!J$1,0)</f>
        <v>Earthwork</v>
      </c>
      <c r="K11" s="1" t="s">
        <v>413</v>
      </c>
      <c r="L11" s="1">
        <v>105</v>
      </c>
      <c r="M11" s="1" t="str">
        <f t="shared" si="0"/>
        <v>02300105</v>
      </c>
      <c r="N11" s="12" t="str">
        <f t="shared" si="1"/>
        <v>02300105</v>
      </c>
    </row>
    <row r="12" spans="4:14" x14ac:dyDescent="0.25">
      <c r="D12" s="11" t="s">
        <v>236</v>
      </c>
      <c r="E12" s="134" t="str">
        <f>VLOOKUP(F12,'Activity List CSI'!$B$4:$D$146,3,0)</f>
        <v>02300-20</v>
      </c>
      <c r="F12" s="1" t="s">
        <v>38</v>
      </c>
      <c r="G12" s="1" t="str">
        <f>VLOOKUP($E12,'Activity List CSI'!$D$4:$J$146,'Mat. List CSI'!G$1,0)</f>
        <v>02</v>
      </c>
      <c r="H12" s="1" t="str">
        <f>VLOOKUP($E12,'Activity List CSI'!$D$4:$J$146,'Mat. List CSI'!H$1,0)</f>
        <v>EarthWork</v>
      </c>
      <c r="I12" s="1" t="str">
        <f>VLOOKUP(D12,'Activity List CSI'!$C$4:$H$146,6,0)</f>
        <v>02300</v>
      </c>
      <c r="J12" s="1" t="str">
        <f>VLOOKUP($E12,'Activity List CSI'!$D$4:$J$146,'Mat. List CSI'!J$1,0)</f>
        <v>Earthwork</v>
      </c>
      <c r="K12" s="1" t="s">
        <v>414</v>
      </c>
      <c r="L12" s="1">
        <v>130</v>
      </c>
      <c r="M12" s="13" t="str">
        <f t="shared" si="0"/>
        <v>02300130</v>
      </c>
      <c r="N12" s="12" t="s">
        <v>415</v>
      </c>
    </row>
    <row r="13" spans="4:14" x14ac:dyDescent="0.25">
      <c r="D13" s="11" t="s">
        <v>236</v>
      </c>
      <c r="E13" s="134" t="str">
        <f>VLOOKUP(F13,'Activity List CSI'!$B$4:$D$146,3,0)</f>
        <v>02300-20</v>
      </c>
      <c r="F13" s="1" t="s">
        <v>38</v>
      </c>
      <c r="G13" s="1" t="str">
        <f>VLOOKUP($E13,'Activity List CSI'!$D$4:$J$146,'Mat. List CSI'!G$1,0)</f>
        <v>02</v>
      </c>
      <c r="H13" s="1" t="str">
        <f>VLOOKUP($E13,'Activity List CSI'!$D$4:$J$146,'Mat. List CSI'!H$1,0)</f>
        <v>EarthWork</v>
      </c>
      <c r="I13" s="1" t="str">
        <f>VLOOKUP(D13,'Activity List CSI'!$C$4:$H$146,6,0)</f>
        <v>02300</v>
      </c>
      <c r="J13" s="1" t="str">
        <f>VLOOKUP($E13,'Activity List CSI'!$D$4:$J$146,'Mat. List CSI'!J$1,0)</f>
        <v>Earthwork</v>
      </c>
      <c r="K13" s="1" t="s">
        <v>414</v>
      </c>
      <c r="L13" s="1">
        <v>130</v>
      </c>
      <c r="M13" s="13" t="str">
        <f t="shared" si="0"/>
        <v>02300130</v>
      </c>
      <c r="N13" s="12" t="s">
        <v>415</v>
      </c>
    </row>
    <row r="14" spans="4:14" x14ac:dyDescent="0.25">
      <c r="D14" s="11" t="s">
        <v>237</v>
      </c>
      <c r="E14" s="134" t="str">
        <f>VLOOKUP(F14,'Activity List CSI'!$B$4:$D$146,3,0)</f>
        <v>02100-02</v>
      </c>
      <c r="F14" s="1" t="s">
        <v>39</v>
      </c>
      <c r="G14" s="1" t="str">
        <f>VLOOKUP($E14,'Activity List CSI'!$D$4:$J$146,'Mat. List CSI'!G$1,0)</f>
        <v>02</v>
      </c>
      <c r="H14" s="1" t="str">
        <f>VLOOKUP($E14,'Activity List CSI'!$D$4:$J$146,'Mat. List CSI'!H$1,0)</f>
        <v>EarthWork</v>
      </c>
      <c r="I14" s="1" t="str">
        <f>VLOOKUP(D14,'Activity List CSI'!$C$4:$H$146,6,0)</f>
        <v>02100</v>
      </c>
      <c r="J14" s="1" t="str">
        <f>VLOOKUP($E14,'Activity List CSI'!$D$4:$J$146,'Mat. List CSI'!J$1,0)</f>
        <v>Site Remediation</v>
      </c>
      <c r="K14" s="1" t="s">
        <v>416</v>
      </c>
      <c r="L14" s="1">
        <v>105</v>
      </c>
      <c r="M14" s="1" t="str">
        <f t="shared" si="0"/>
        <v>02100105</v>
      </c>
      <c r="N14" s="12" t="str">
        <f t="shared" ref="N14:N77" si="2">M14</f>
        <v>02100105</v>
      </c>
    </row>
    <row r="15" spans="4:14" x14ac:dyDescent="0.25">
      <c r="D15" s="11" t="s">
        <v>240</v>
      </c>
      <c r="E15" s="134" t="str">
        <f>VLOOKUP(F15,'Activity List CSI'!$B$4:$D$146,3,0)</f>
        <v>02700-03</v>
      </c>
      <c r="F15" s="1" t="s">
        <v>41</v>
      </c>
      <c r="G15" s="1" t="str">
        <f>VLOOKUP($E15,'Activity List CSI'!$D$4:$J$146,'Mat. List CSI'!G$1,0)</f>
        <v>02</v>
      </c>
      <c r="H15" s="1" t="str">
        <f>VLOOKUP($E15,'Activity List CSI'!$D$4:$J$146,'Mat. List CSI'!H$1,0)</f>
        <v>EarthWork</v>
      </c>
      <c r="I15" s="1" t="str">
        <f>VLOOKUP(D15,'Activity List CSI'!$C$4:$H$146,6,0)</f>
        <v>02700</v>
      </c>
      <c r="J15" s="1" t="str">
        <f>VLOOKUP($E15,'Activity List CSI'!$D$4:$J$146,'Mat. List CSI'!J$1,0)</f>
        <v>Bases, Ballast,Pavement &amp; Appurtenances</v>
      </c>
      <c r="K15" s="1" t="s">
        <v>417</v>
      </c>
      <c r="L15" s="1">
        <v>110</v>
      </c>
      <c r="M15" s="1" t="str">
        <f t="shared" si="0"/>
        <v>02700110</v>
      </c>
      <c r="N15" s="12" t="str">
        <f t="shared" si="2"/>
        <v>02700110</v>
      </c>
    </row>
    <row r="16" spans="4:14" x14ac:dyDescent="0.25">
      <c r="D16" s="11" t="s">
        <v>240</v>
      </c>
      <c r="E16" s="134" t="str">
        <f>VLOOKUP(F16,'Activity List CSI'!$B$4:$D$146,3,0)</f>
        <v>02700-03</v>
      </c>
      <c r="F16" s="1" t="s">
        <v>41</v>
      </c>
      <c r="G16" s="1" t="str">
        <f>VLOOKUP($E16,'Activity List CSI'!$D$4:$J$146,'Mat. List CSI'!G$1,0)</f>
        <v>02</v>
      </c>
      <c r="H16" s="1" t="str">
        <f>VLOOKUP($E16,'Activity List CSI'!$D$4:$J$146,'Mat. List CSI'!H$1,0)</f>
        <v>EarthWork</v>
      </c>
      <c r="I16" s="1" t="str">
        <f>VLOOKUP(D16,'Activity List CSI'!$C$4:$H$146,6,0)</f>
        <v>02700</v>
      </c>
      <c r="J16" s="1" t="str">
        <f>VLOOKUP($E16,'Activity List CSI'!$D$4:$J$146,'Mat. List CSI'!J$1,0)</f>
        <v>Bases, Ballast,Pavement &amp; Appurtenances</v>
      </c>
      <c r="K16" s="1" t="s">
        <v>417</v>
      </c>
      <c r="L16" s="1">
        <v>110</v>
      </c>
      <c r="M16" s="1" t="str">
        <f t="shared" si="0"/>
        <v>02700110</v>
      </c>
      <c r="N16" s="12" t="str">
        <f t="shared" si="2"/>
        <v>02700110</v>
      </c>
    </row>
    <row r="17" spans="4:14" x14ac:dyDescent="0.25">
      <c r="D17" s="11" t="s">
        <v>241</v>
      </c>
      <c r="E17" s="134" t="str">
        <f>VLOOKUP(F17,'Activity List CSI'!$B$4:$D$146,3,0)</f>
        <v>02700-04</v>
      </c>
      <c r="F17" s="1" t="s">
        <v>42</v>
      </c>
      <c r="G17" s="1" t="str">
        <f>VLOOKUP($E17,'Activity List CSI'!$D$4:$J$146,'Mat. List CSI'!G$1,0)</f>
        <v>02</v>
      </c>
      <c r="H17" s="1" t="str">
        <f>VLOOKUP($E17,'Activity List CSI'!$D$4:$J$146,'Mat. List CSI'!H$1,0)</f>
        <v>EarthWork</v>
      </c>
      <c r="I17" s="1" t="str">
        <f>VLOOKUP(D17,'Activity List CSI'!$C$4:$H$146,6,0)</f>
        <v>02700</v>
      </c>
      <c r="J17" s="1" t="str">
        <f>VLOOKUP($E17,'Activity List CSI'!$D$4:$J$146,'Mat. List CSI'!J$1,0)</f>
        <v>Bases, Ballast,Pavement &amp; Appurtenances</v>
      </c>
      <c r="K17" s="1" t="s">
        <v>418</v>
      </c>
      <c r="L17" s="1">
        <v>115</v>
      </c>
      <c r="M17" s="1" t="str">
        <f t="shared" si="0"/>
        <v>02700115</v>
      </c>
      <c r="N17" s="12" t="str">
        <f t="shared" si="2"/>
        <v>02700115</v>
      </c>
    </row>
    <row r="18" spans="4:14" x14ac:dyDescent="0.25">
      <c r="D18" s="11" t="s">
        <v>241</v>
      </c>
      <c r="E18" s="134" t="str">
        <f>VLOOKUP(F18,'Activity List CSI'!$B$4:$D$146,3,0)</f>
        <v>02700-04</v>
      </c>
      <c r="F18" s="1" t="s">
        <v>42</v>
      </c>
      <c r="G18" s="1" t="str">
        <f>VLOOKUP($E18,'Activity List CSI'!$D$4:$J$146,'Mat. List CSI'!G$1,0)</f>
        <v>02</v>
      </c>
      <c r="H18" s="1" t="str">
        <f>VLOOKUP($E18,'Activity List CSI'!$D$4:$J$146,'Mat. List CSI'!H$1,0)</f>
        <v>EarthWork</v>
      </c>
      <c r="I18" s="1" t="str">
        <f>VLOOKUP(D18,'Activity List CSI'!$C$4:$H$146,6,0)</f>
        <v>02700</v>
      </c>
      <c r="J18" s="1" t="str">
        <f>VLOOKUP($E18,'Activity List CSI'!$D$4:$J$146,'Mat. List CSI'!J$1,0)</f>
        <v>Bases, Ballast,Pavement &amp; Appurtenances</v>
      </c>
      <c r="K18" s="1" t="s">
        <v>418</v>
      </c>
      <c r="L18" s="1">
        <v>115</v>
      </c>
      <c r="M18" s="1" t="str">
        <f t="shared" si="0"/>
        <v>02700115</v>
      </c>
      <c r="N18" s="12" t="str">
        <f t="shared" si="2"/>
        <v>02700115</v>
      </c>
    </row>
    <row r="19" spans="4:14" x14ac:dyDescent="0.25">
      <c r="D19" s="11" t="s">
        <v>242</v>
      </c>
      <c r="E19" s="134" t="str">
        <f>VLOOKUP(F19,'Activity List CSI'!$B$4:$D$146,3,0)</f>
        <v>02700-05</v>
      </c>
      <c r="F19" s="1" t="s">
        <v>43</v>
      </c>
      <c r="G19" s="1" t="str">
        <f>VLOOKUP($E19,'Activity List CSI'!$D$4:$J$146,'Mat. List CSI'!G$1,0)</f>
        <v>02</v>
      </c>
      <c r="H19" s="1" t="str">
        <f>VLOOKUP($E19,'Activity List CSI'!$D$4:$J$146,'Mat. List CSI'!H$1,0)</f>
        <v>EarthWork</v>
      </c>
      <c r="I19" s="1" t="str">
        <f>VLOOKUP(D19,'Activity List CSI'!$C$4:$H$146,6,0)</f>
        <v>02700</v>
      </c>
      <c r="J19" s="1" t="str">
        <f>VLOOKUP($E19,'Activity List CSI'!$D$4:$J$146,'Mat. List CSI'!J$1,0)</f>
        <v>Bases, Ballast,Pavement &amp; Appurtenances</v>
      </c>
      <c r="K19" s="1" t="s">
        <v>419</v>
      </c>
      <c r="L19" s="1">
        <v>120</v>
      </c>
      <c r="M19" s="1" t="str">
        <f t="shared" si="0"/>
        <v>02700120</v>
      </c>
      <c r="N19" s="12" t="str">
        <f t="shared" si="2"/>
        <v>02700120</v>
      </c>
    </row>
    <row r="20" spans="4:14" x14ac:dyDescent="0.25">
      <c r="D20" s="11" t="s">
        <v>242</v>
      </c>
      <c r="E20" s="134" t="str">
        <f>VLOOKUP(F20,'Activity List CSI'!$B$4:$D$146,3,0)</f>
        <v>02700-05</v>
      </c>
      <c r="F20" s="1" t="s">
        <v>43</v>
      </c>
      <c r="G20" s="1" t="str">
        <f>VLOOKUP($E20,'Activity List CSI'!$D$4:$J$146,'Mat. List CSI'!G$1,0)</f>
        <v>02</v>
      </c>
      <c r="H20" s="1" t="str">
        <f>VLOOKUP($E20,'Activity List CSI'!$D$4:$J$146,'Mat. List CSI'!H$1,0)</f>
        <v>EarthWork</v>
      </c>
      <c r="I20" s="1" t="str">
        <f>VLOOKUP(D20,'Activity List CSI'!$C$4:$H$146,6,0)</f>
        <v>02700</v>
      </c>
      <c r="J20" s="1" t="str">
        <f>VLOOKUP($E20,'Activity List CSI'!$D$4:$J$146,'Mat. List CSI'!J$1,0)</f>
        <v>Bases, Ballast,Pavement &amp; Appurtenances</v>
      </c>
      <c r="K20" s="1" t="s">
        <v>419</v>
      </c>
      <c r="L20" s="1">
        <v>120</v>
      </c>
      <c r="M20" s="1" t="str">
        <f t="shared" si="0"/>
        <v>02700120</v>
      </c>
      <c r="N20" s="12" t="str">
        <f t="shared" si="2"/>
        <v>02700120</v>
      </c>
    </row>
    <row r="21" spans="4:14" x14ac:dyDescent="0.25">
      <c r="D21" s="11" t="s">
        <v>243</v>
      </c>
      <c r="E21" s="134" t="str">
        <f>VLOOKUP(F21,'Activity List CSI'!$B$4:$D$146,3,0)</f>
        <v>02700-06</v>
      </c>
      <c r="F21" s="1" t="s">
        <v>44</v>
      </c>
      <c r="G21" s="1" t="str">
        <f>VLOOKUP($E21,'Activity List CSI'!$D$4:$J$146,'Mat. List CSI'!G$1,0)</f>
        <v>02</v>
      </c>
      <c r="H21" s="1" t="str">
        <f>VLOOKUP($E21,'Activity List CSI'!$D$4:$J$146,'Mat. List CSI'!H$1,0)</f>
        <v>EarthWork</v>
      </c>
      <c r="I21" s="1" t="str">
        <f>VLOOKUP(D21,'Activity List CSI'!$C$4:$H$146,6,0)</f>
        <v>02700</v>
      </c>
      <c r="J21" s="1" t="str">
        <f>VLOOKUP($E21,'Activity List CSI'!$D$4:$J$146,'Mat. List CSI'!J$1,0)</f>
        <v>Bases, Ballast,Pavement &amp; Appurtenances</v>
      </c>
      <c r="K21" s="1" t="s">
        <v>420</v>
      </c>
      <c r="L21" s="1">
        <v>130</v>
      </c>
      <c r="M21" s="1" t="str">
        <f t="shared" si="0"/>
        <v>02700130</v>
      </c>
      <c r="N21" s="12" t="str">
        <f t="shared" si="2"/>
        <v>02700130</v>
      </c>
    </row>
    <row r="22" spans="4:14" x14ac:dyDescent="0.25">
      <c r="D22" s="11" t="s">
        <v>243</v>
      </c>
      <c r="E22" s="134" t="str">
        <f>VLOOKUP(F22,'Activity List CSI'!$B$4:$D$146,3,0)</f>
        <v>02700-06</v>
      </c>
      <c r="F22" s="1" t="s">
        <v>44</v>
      </c>
      <c r="G22" s="1" t="str">
        <f>VLOOKUP($E22,'Activity List CSI'!$D$4:$J$146,'Mat. List CSI'!G$1,0)</f>
        <v>02</v>
      </c>
      <c r="H22" s="1" t="str">
        <f>VLOOKUP($E22,'Activity List CSI'!$D$4:$J$146,'Mat. List CSI'!H$1,0)</f>
        <v>EarthWork</v>
      </c>
      <c r="I22" s="1" t="str">
        <f>VLOOKUP(D22,'Activity List CSI'!$C$4:$H$146,6,0)</f>
        <v>02700</v>
      </c>
      <c r="J22" s="1" t="str">
        <f>VLOOKUP($E22,'Activity List CSI'!$D$4:$J$146,'Mat. List CSI'!J$1,0)</f>
        <v>Bases, Ballast,Pavement &amp; Appurtenances</v>
      </c>
      <c r="K22" s="1" t="s">
        <v>420</v>
      </c>
      <c r="L22" s="1">
        <v>130</v>
      </c>
      <c r="M22" s="1" t="str">
        <f t="shared" si="0"/>
        <v>02700130</v>
      </c>
      <c r="N22" s="12" t="str">
        <f t="shared" si="2"/>
        <v>02700130</v>
      </c>
    </row>
    <row r="23" spans="4:14" x14ac:dyDescent="0.25">
      <c r="D23" s="11" t="s">
        <v>244</v>
      </c>
      <c r="E23" s="134" t="str">
        <f>VLOOKUP(F23,'Activity List CSI'!$B$4:$D$146,3,0)</f>
        <v>02700-07</v>
      </c>
      <c r="F23" s="1" t="s">
        <v>45</v>
      </c>
      <c r="G23" s="1" t="str">
        <f>VLOOKUP($E23,'Activity List CSI'!$D$4:$J$146,'Mat. List CSI'!G$1,0)</f>
        <v>02</v>
      </c>
      <c r="H23" s="1" t="str">
        <f>VLOOKUP($E23,'Activity List CSI'!$D$4:$J$146,'Mat. List CSI'!H$1,0)</f>
        <v>EarthWork</v>
      </c>
      <c r="I23" s="1" t="str">
        <f>VLOOKUP(D23,'Activity List CSI'!$C$4:$H$146,6,0)</f>
        <v>02700</v>
      </c>
      <c r="J23" s="1" t="str">
        <f>VLOOKUP($E23,'Activity List CSI'!$D$4:$J$146,'Mat. List CSI'!J$1,0)</f>
        <v>Bases, Ballast,Pavement &amp; Appurtenances</v>
      </c>
      <c r="K23" s="1" t="s">
        <v>421</v>
      </c>
      <c r="L23" s="1">
        <v>105</v>
      </c>
      <c r="M23" s="1" t="str">
        <f t="shared" si="0"/>
        <v>02700105</v>
      </c>
      <c r="N23" s="12" t="str">
        <f t="shared" si="2"/>
        <v>02700105</v>
      </c>
    </row>
    <row r="24" spans="4:14" x14ac:dyDescent="0.25">
      <c r="D24" s="11" t="s">
        <v>244</v>
      </c>
      <c r="E24" s="134" t="str">
        <f>VLOOKUP(F24,'Activity List CSI'!$B$4:$D$146,3,0)</f>
        <v>02700-07</v>
      </c>
      <c r="F24" s="1" t="s">
        <v>45</v>
      </c>
      <c r="G24" s="1" t="str">
        <f>VLOOKUP($E24,'Activity List CSI'!$D$4:$J$146,'Mat. List CSI'!G$1,0)</f>
        <v>02</v>
      </c>
      <c r="H24" s="1" t="str">
        <f>VLOOKUP($E24,'Activity List CSI'!$D$4:$J$146,'Mat. List CSI'!H$1,0)</f>
        <v>EarthWork</v>
      </c>
      <c r="I24" s="1" t="str">
        <f>VLOOKUP(D24,'Activity List CSI'!$C$4:$H$146,6,0)</f>
        <v>02700</v>
      </c>
      <c r="J24" s="1" t="str">
        <f>VLOOKUP($E24,'Activity List CSI'!$D$4:$J$146,'Mat. List CSI'!J$1,0)</f>
        <v>Bases, Ballast,Pavement &amp; Appurtenances</v>
      </c>
      <c r="K24" s="1" t="s">
        <v>421</v>
      </c>
      <c r="L24" s="1">
        <v>105</v>
      </c>
      <c r="M24" s="1" t="str">
        <f t="shared" si="0"/>
        <v>02700105</v>
      </c>
      <c r="N24" s="12" t="str">
        <f t="shared" si="2"/>
        <v>02700105</v>
      </c>
    </row>
    <row r="25" spans="4:14" x14ac:dyDescent="0.25">
      <c r="D25" s="11" t="s">
        <v>245</v>
      </c>
      <c r="E25" s="134" t="str">
        <f>VLOOKUP(F25,'Activity List CSI'!$B$4:$D$146,3,0)</f>
        <v>02700-08</v>
      </c>
      <c r="F25" s="1" t="s">
        <v>46</v>
      </c>
      <c r="G25" s="1" t="str">
        <f>VLOOKUP($E25,'Activity List CSI'!$D$4:$J$146,'Mat. List CSI'!G$1,0)</f>
        <v>02</v>
      </c>
      <c r="H25" s="1" t="str">
        <f>VLOOKUP($E25,'Activity List CSI'!$D$4:$J$146,'Mat. List CSI'!H$1,0)</f>
        <v>EarthWork</v>
      </c>
      <c r="I25" s="1" t="str">
        <f>VLOOKUP(D25,'Activity List CSI'!$C$4:$H$146,6,0)</f>
        <v>02700</v>
      </c>
      <c r="J25" s="1" t="str">
        <f>VLOOKUP($E25,'Activity List CSI'!$D$4:$J$146,'Mat. List CSI'!J$1,0)</f>
        <v>Bases, Ballast,Pavement &amp; Appurtenances</v>
      </c>
      <c r="K25" s="1" t="s">
        <v>422</v>
      </c>
      <c r="L25" s="1">
        <v>135</v>
      </c>
      <c r="M25" s="1" t="str">
        <f t="shared" si="0"/>
        <v>02700135</v>
      </c>
      <c r="N25" s="12" t="str">
        <f t="shared" si="2"/>
        <v>02700135</v>
      </c>
    </row>
    <row r="26" spans="4:14" x14ac:dyDescent="0.25">
      <c r="D26" s="11" t="s">
        <v>245</v>
      </c>
      <c r="E26" s="134" t="str">
        <f>VLOOKUP(F26,'Activity List CSI'!$B$4:$D$146,3,0)</f>
        <v>02700-08</v>
      </c>
      <c r="F26" s="1" t="s">
        <v>46</v>
      </c>
      <c r="G26" s="1" t="str">
        <f>VLOOKUP($E26,'Activity List CSI'!$D$4:$J$146,'Mat. List CSI'!G$1,0)</f>
        <v>02</v>
      </c>
      <c r="H26" s="1" t="str">
        <f>VLOOKUP($E26,'Activity List CSI'!$D$4:$J$146,'Mat. List CSI'!H$1,0)</f>
        <v>EarthWork</v>
      </c>
      <c r="I26" s="1" t="str">
        <f>VLOOKUP(D26,'Activity List CSI'!$C$4:$H$146,6,0)</f>
        <v>02700</v>
      </c>
      <c r="J26" s="1" t="str">
        <f>VLOOKUP($E26,'Activity List CSI'!$D$4:$J$146,'Mat. List CSI'!J$1,0)</f>
        <v>Bases, Ballast,Pavement &amp; Appurtenances</v>
      </c>
      <c r="K26" s="1" t="s">
        <v>422</v>
      </c>
      <c r="L26" s="1">
        <v>135</v>
      </c>
      <c r="M26" s="1" t="str">
        <f t="shared" si="0"/>
        <v>02700135</v>
      </c>
      <c r="N26" s="12" t="str">
        <f t="shared" si="2"/>
        <v>02700135</v>
      </c>
    </row>
    <row r="27" spans="4:14" x14ac:dyDescent="0.25">
      <c r="D27" s="11" t="s">
        <v>246</v>
      </c>
      <c r="E27" s="134" t="str">
        <f>VLOOKUP(F27,'Activity List CSI'!$B$4:$D$146,3,0)</f>
        <v>02700-09</v>
      </c>
      <c r="F27" s="1" t="s">
        <v>47</v>
      </c>
      <c r="G27" s="1" t="str">
        <f>VLOOKUP($E27,'Activity List CSI'!$D$4:$J$146,'Mat. List CSI'!G$1,0)</f>
        <v>02</v>
      </c>
      <c r="H27" s="1" t="str">
        <f>VLOOKUP($E27,'Activity List CSI'!$D$4:$J$146,'Mat. List CSI'!H$1,0)</f>
        <v>EarthWork</v>
      </c>
      <c r="I27" s="1" t="str">
        <f>VLOOKUP(D27,'Activity List CSI'!$C$4:$H$146,6,0)</f>
        <v>02700</v>
      </c>
      <c r="J27" s="1" t="str">
        <f>VLOOKUP($E27,'Activity List CSI'!$D$4:$J$146,'Mat. List CSI'!J$1,0)</f>
        <v>Bases, Ballast,Pavement &amp; Appurtenances</v>
      </c>
      <c r="K27" s="1" t="s">
        <v>421</v>
      </c>
      <c r="L27" s="1">
        <v>105</v>
      </c>
      <c r="M27" s="1" t="str">
        <f t="shared" si="0"/>
        <v>02700105</v>
      </c>
      <c r="N27" s="12" t="str">
        <f t="shared" si="2"/>
        <v>02700105</v>
      </c>
    </row>
    <row r="28" spans="4:14" x14ac:dyDescent="0.25">
      <c r="D28" s="11" t="s">
        <v>246</v>
      </c>
      <c r="E28" s="134" t="str">
        <f>VLOOKUP(F28,'Activity List CSI'!$B$4:$D$146,3,0)</f>
        <v>02700-09</v>
      </c>
      <c r="F28" s="1" t="s">
        <v>47</v>
      </c>
      <c r="G28" s="1" t="str">
        <f>VLOOKUP($E28,'Activity List CSI'!$D$4:$J$146,'Mat. List CSI'!G$1,0)</f>
        <v>02</v>
      </c>
      <c r="H28" s="1" t="str">
        <f>VLOOKUP($E28,'Activity List CSI'!$D$4:$J$146,'Mat. List CSI'!H$1,0)</f>
        <v>EarthWork</v>
      </c>
      <c r="I28" s="1" t="str">
        <f>VLOOKUP(D28,'Activity List CSI'!$C$4:$H$146,6,0)</f>
        <v>02700</v>
      </c>
      <c r="J28" s="1" t="str">
        <f>VLOOKUP($E28,'Activity List CSI'!$D$4:$J$146,'Mat. List CSI'!J$1,0)</f>
        <v>Bases, Ballast,Pavement &amp; Appurtenances</v>
      </c>
      <c r="K28" s="1" t="s">
        <v>421</v>
      </c>
      <c r="L28" s="1">
        <v>105</v>
      </c>
      <c r="M28" s="1" t="str">
        <f t="shared" si="0"/>
        <v>02700105</v>
      </c>
      <c r="N28" s="12" t="str">
        <f t="shared" si="2"/>
        <v>02700105</v>
      </c>
    </row>
    <row r="29" spans="4:14" x14ac:dyDescent="0.25">
      <c r="D29" s="11" t="s">
        <v>247</v>
      </c>
      <c r="E29" s="134" t="str">
        <f>VLOOKUP(F29,'Activity List CSI'!$B$4:$D$146,3,0)</f>
        <v>09900-04</v>
      </c>
      <c r="F29" s="1" t="s">
        <v>48</v>
      </c>
      <c r="G29" s="1" t="str">
        <f>VLOOKUP($E29,'Activity List CSI'!$D$4:$J$146,'Mat. List CSI'!G$1,0)</f>
        <v>02</v>
      </c>
      <c r="H29" s="1" t="str">
        <f>VLOOKUP($E29,'Activity List CSI'!$D$4:$J$146,'Mat. List CSI'!H$1,0)</f>
        <v>EarthWork</v>
      </c>
      <c r="I29" s="1" t="str">
        <f>VLOOKUP(D29,'Activity List CSI'!$C$4:$H$146,6,0)</f>
        <v>09900</v>
      </c>
      <c r="J29" s="1" t="str">
        <f>VLOOKUP($E29,'Activity List CSI'!$D$4:$J$146,'Mat. List CSI'!J$1,0)</f>
        <v>Paints &amp; Coatings</v>
      </c>
      <c r="K29" s="1" t="s">
        <v>423</v>
      </c>
      <c r="L29" s="1">
        <v>105</v>
      </c>
      <c r="M29" s="1" t="str">
        <f t="shared" si="0"/>
        <v>09900105</v>
      </c>
      <c r="N29" s="12" t="str">
        <f t="shared" si="2"/>
        <v>09900105</v>
      </c>
    </row>
    <row r="30" spans="4:14" x14ac:dyDescent="0.25">
      <c r="D30" s="11" t="s">
        <v>248</v>
      </c>
      <c r="E30" s="134" t="str">
        <f>VLOOKUP(F30,'Activity List CSI'!$B$4:$D$146,3,0)</f>
        <v>02700-10</v>
      </c>
      <c r="F30" s="1" t="s">
        <v>49</v>
      </c>
      <c r="G30" s="1" t="str">
        <f>VLOOKUP($E30,'Activity List CSI'!$D$4:$J$146,'Mat. List CSI'!G$1,0)</f>
        <v>02</v>
      </c>
      <c r="H30" s="1" t="str">
        <f>VLOOKUP($E30,'Activity List CSI'!$D$4:$J$146,'Mat. List CSI'!H$1,0)</f>
        <v>EarthWork</v>
      </c>
      <c r="I30" s="1" t="str">
        <f>VLOOKUP(D30,'Activity List CSI'!$C$4:$H$146,6,0)</f>
        <v>02700</v>
      </c>
      <c r="J30" s="1" t="str">
        <f>VLOOKUP($E30,'Activity List CSI'!$D$4:$J$146,'Mat. List CSI'!J$1,0)</f>
        <v>Bases, Ballast,Pavement &amp; Appurtenances</v>
      </c>
      <c r="K30" s="1" t="s">
        <v>424</v>
      </c>
      <c r="L30" s="1">
        <v>125</v>
      </c>
      <c r="M30" s="1" t="str">
        <f t="shared" si="0"/>
        <v>02700125</v>
      </c>
      <c r="N30" s="12" t="str">
        <f t="shared" si="2"/>
        <v>02700125</v>
      </c>
    </row>
    <row r="31" spans="4:14" x14ac:dyDescent="0.25">
      <c r="D31" s="11" t="s">
        <v>249</v>
      </c>
      <c r="E31" s="134" t="str">
        <f>VLOOKUP(F31,'Activity List CSI'!$B$4:$D$146,3,0)</f>
        <v>10100-02</v>
      </c>
      <c r="F31" s="1" t="s">
        <v>50</v>
      </c>
      <c r="G31" s="1" t="str">
        <f>VLOOKUP($E31,'Activity List CSI'!$D$4:$J$146,'Mat. List CSI'!G$1,0)</f>
        <v>02</v>
      </c>
      <c r="H31" s="1" t="str">
        <f>VLOOKUP($E31,'Activity List CSI'!$D$4:$J$146,'Mat. List CSI'!H$1,0)</f>
        <v>EarthWork</v>
      </c>
      <c r="I31" s="1" t="str">
        <f>VLOOKUP(D31,'Activity List CSI'!$C$4:$H$146,6,0)</f>
        <v>10100</v>
      </c>
      <c r="J31" s="1" t="str">
        <f>VLOOKUP($E31,'Activity List CSI'!$D$4:$J$146,'Mat. List CSI'!J$1,0)</f>
        <v>Visual Display Boards</v>
      </c>
      <c r="K31" s="1" t="s">
        <v>425</v>
      </c>
      <c r="L31" s="1">
        <v>105</v>
      </c>
      <c r="M31" s="1" t="str">
        <f t="shared" si="0"/>
        <v>10100105</v>
      </c>
      <c r="N31" s="12" t="str">
        <f t="shared" si="2"/>
        <v>10100105</v>
      </c>
    </row>
    <row r="32" spans="4:14" x14ac:dyDescent="0.25">
      <c r="D32" s="11" t="s">
        <v>250</v>
      </c>
      <c r="E32" s="134" t="str">
        <f>VLOOKUP(F32,'Activity List CSI'!$B$4:$D$146,3,0)</f>
        <v>05650-01</v>
      </c>
      <c r="F32" s="1" t="s">
        <v>51</v>
      </c>
      <c r="G32" s="1" t="str">
        <f>VLOOKUP($E32,'Activity List CSI'!$D$4:$J$146,'Mat. List CSI'!G$1,0)</f>
        <v>02</v>
      </c>
      <c r="H32" s="1" t="str">
        <f>VLOOKUP($E32,'Activity List CSI'!$D$4:$J$146,'Mat. List CSI'!H$1,0)</f>
        <v>EarthWork</v>
      </c>
      <c r="I32" s="1" t="str">
        <f>VLOOKUP(D32,'Activity List CSI'!$C$4:$H$146,6,0)</f>
        <v>05650</v>
      </c>
      <c r="J32" s="1" t="str">
        <f>VLOOKUP($E32,'Activity List CSI'!$D$4:$J$146,'Mat. List CSI'!J$1,0)</f>
        <v>Railroad Track &amp; Accessories</v>
      </c>
      <c r="K32" s="1" t="s">
        <v>426</v>
      </c>
      <c r="L32" s="1">
        <v>105</v>
      </c>
      <c r="M32" s="1" t="str">
        <f t="shared" si="0"/>
        <v>05650105</v>
      </c>
      <c r="N32" s="12" t="str">
        <f t="shared" si="2"/>
        <v>05650105</v>
      </c>
    </row>
    <row r="33" spans="4:14" x14ac:dyDescent="0.25">
      <c r="D33" s="11" t="s">
        <v>75</v>
      </c>
      <c r="E33" s="134" t="str">
        <f>VLOOKUP(F33,'Activity List CSI'!$B$4:$D$146,3,0)</f>
        <v>03300-01</v>
      </c>
      <c r="F33" s="1" t="s">
        <v>76</v>
      </c>
      <c r="G33" s="1" t="str">
        <f>VLOOKUP($E33,'Activity List CSI'!$D$4:$J$146,'Mat. List CSI'!G$1,0)</f>
        <v>03</v>
      </c>
      <c r="H33" s="1" t="str">
        <f>VLOOKUP($E33,'Activity List CSI'!$D$4:$J$146,'Mat. List CSI'!H$1,0)</f>
        <v>ConcreteWork</v>
      </c>
      <c r="I33" s="1" t="str">
        <f>VLOOKUP(D33,'Activity List CSI'!$C$4:$H$146,6,0)</f>
        <v>03300</v>
      </c>
      <c r="J33" s="1" t="str">
        <f>VLOOKUP($E33,'Activity List CSI'!$D$4:$J$146,'Mat. List CSI'!J$1,0)</f>
        <v>Cast-In-Place Concrete</v>
      </c>
      <c r="K33" s="1" t="s">
        <v>427</v>
      </c>
      <c r="L33" s="1">
        <v>125</v>
      </c>
      <c r="M33" s="1" t="str">
        <f t="shared" si="0"/>
        <v>03300125</v>
      </c>
      <c r="N33" s="12" t="str">
        <f t="shared" si="2"/>
        <v>03300125</v>
      </c>
    </row>
    <row r="34" spans="4:14" x14ac:dyDescent="0.25">
      <c r="D34" s="11" t="s">
        <v>77</v>
      </c>
      <c r="E34" s="134" t="str">
        <f>VLOOKUP(F34,'Activity List CSI'!$B$4:$D$146,3,0)</f>
        <v>03300-02</v>
      </c>
      <c r="F34" s="1" t="s">
        <v>78</v>
      </c>
      <c r="G34" s="1" t="str">
        <f>VLOOKUP($E34,'Activity List CSI'!$D$4:$J$146,'Mat. List CSI'!G$1,0)</f>
        <v>03</v>
      </c>
      <c r="H34" s="1" t="str">
        <f>VLOOKUP($E34,'Activity List CSI'!$D$4:$J$146,'Mat. List CSI'!H$1,0)</f>
        <v>ConcreteWork</v>
      </c>
      <c r="I34" s="1" t="str">
        <f>VLOOKUP(D34,'Activity List CSI'!$C$4:$H$146,6,0)</f>
        <v>03300</v>
      </c>
      <c r="J34" s="1" t="str">
        <f>VLOOKUP($E34,'Activity List CSI'!$D$4:$J$146,'Mat. List CSI'!J$1,0)</f>
        <v>Cast-In-Place Concrete</v>
      </c>
      <c r="K34" s="1" t="s">
        <v>428</v>
      </c>
      <c r="L34" s="1">
        <v>130</v>
      </c>
      <c r="M34" s="1" t="str">
        <f t="shared" si="0"/>
        <v>03300130</v>
      </c>
      <c r="N34" s="12" t="str">
        <f t="shared" si="2"/>
        <v>03300130</v>
      </c>
    </row>
    <row r="35" spans="4:14" x14ac:dyDescent="0.25">
      <c r="D35" s="11" t="s">
        <v>77</v>
      </c>
      <c r="E35" s="134" t="str">
        <f>VLOOKUP(F35,'Activity List CSI'!$B$4:$D$146,3,0)</f>
        <v>03300-02</v>
      </c>
      <c r="F35" s="1" t="s">
        <v>78</v>
      </c>
      <c r="G35" s="1" t="str">
        <f>VLOOKUP($E35,'Activity List CSI'!$D$4:$J$146,'Mat. List CSI'!G$1,0)</f>
        <v>03</v>
      </c>
      <c r="H35" s="1" t="str">
        <f>VLOOKUP($E35,'Activity List CSI'!$D$4:$J$146,'Mat. List CSI'!H$1,0)</f>
        <v>ConcreteWork</v>
      </c>
      <c r="I35" s="1" t="str">
        <f>VLOOKUP(D35,'Activity List CSI'!$C$4:$H$146,6,0)</f>
        <v>03300</v>
      </c>
      <c r="J35" s="1" t="str">
        <f>VLOOKUP($E35,'Activity List CSI'!$D$4:$J$146,'Mat. List CSI'!J$1,0)</f>
        <v>Cast-In-Place Concrete</v>
      </c>
      <c r="K35" s="1" t="s">
        <v>429</v>
      </c>
      <c r="L35" s="1">
        <v>105</v>
      </c>
      <c r="M35" s="1" t="str">
        <f t="shared" si="0"/>
        <v>03300105</v>
      </c>
      <c r="N35" s="12" t="str">
        <f t="shared" si="2"/>
        <v>03300105</v>
      </c>
    </row>
    <row r="36" spans="4:14" x14ac:dyDescent="0.25">
      <c r="D36" s="11" t="s">
        <v>77</v>
      </c>
      <c r="E36" s="134" t="str">
        <f>VLOOKUP(F36,'Activity List CSI'!$B$4:$D$146,3,0)</f>
        <v>03300-02</v>
      </c>
      <c r="F36" s="1" t="s">
        <v>78</v>
      </c>
      <c r="G36" s="1" t="str">
        <f>VLOOKUP($E36,'Activity List CSI'!$D$4:$J$146,'Mat. List CSI'!G$1,0)</f>
        <v>03</v>
      </c>
      <c r="H36" s="1" t="str">
        <f>VLOOKUP($E36,'Activity List CSI'!$D$4:$J$146,'Mat. List CSI'!H$1,0)</f>
        <v>ConcreteWork</v>
      </c>
      <c r="I36" s="1" t="str">
        <f>VLOOKUP(D36,'Activity List CSI'!$C$4:$H$146,6,0)</f>
        <v>03300</v>
      </c>
      <c r="J36" s="1" t="str">
        <f>VLOOKUP($E36,'Activity List CSI'!$D$4:$J$146,'Mat. List CSI'!J$1,0)</f>
        <v>Cast-In-Place Concrete</v>
      </c>
      <c r="K36" s="1" t="s">
        <v>430</v>
      </c>
      <c r="L36" s="1">
        <v>115</v>
      </c>
      <c r="M36" s="1" t="str">
        <f t="shared" si="0"/>
        <v>03300115</v>
      </c>
      <c r="N36" s="12" t="str">
        <f t="shared" si="2"/>
        <v>03300115</v>
      </c>
    </row>
    <row r="37" spans="4:14" x14ac:dyDescent="0.25">
      <c r="D37" s="11" t="s">
        <v>77</v>
      </c>
      <c r="E37" s="134" t="str">
        <f>VLOOKUP(F37,'Activity List CSI'!$B$4:$D$146,3,0)</f>
        <v>03300-02</v>
      </c>
      <c r="F37" s="1" t="s">
        <v>78</v>
      </c>
      <c r="G37" s="1" t="str">
        <f>VLOOKUP($E37,'Activity List CSI'!$D$4:$J$146,'Mat. List CSI'!G$1,0)</f>
        <v>03</v>
      </c>
      <c r="H37" s="1" t="str">
        <f>VLOOKUP($E37,'Activity List CSI'!$D$4:$J$146,'Mat. List CSI'!H$1,0)</f>
        <v>ConcreteWork</v>
      </c>
      <c r="I37" s="1" t="str">
        <f>VLOOKUP(D37,'Activity List CSI'!$C$4:$H$146,6,0)</f>
        <v>03300</v>
      </c>
      <c r="J37" s="1" t="str">
        <f>VLOOKUP($E37,'Activity List CSI'!$D$4:$J$146,'Mat. List CSI'!J$1,0)</f>
        <v>Cast-In-Place Concrete</v>
      </c>
      <c r="K37" s="1" t="s">
        <v>431</v>
      </c>
      <c r="L37" s="1">
        <v>110</v>
      </c>
      <c r="M37" s="1" t="str">
        <f t="shared" si="0"/>
        <v>03300110</v>
      </c>
      <c r="N37" s="12" t="str">
        <f t="shared" si="2"/>
        <v>03300110</v>
      </c>
    </row>
    <row r="38" spans="4:14" x14ac:dyDescent="0.25">
      <c r="D38" s="11" t="s">
        <v>77</v>
      </c>
      <c r="E38" s="134" t="str">
        <f>VLOOKUP(F38,'Activity List CSI'!$B$4:$D$146,3,0)</f>
        <v>03300-02</v>
      </c>
      <c r="F38" s="1" t="s">
        <v>78</v>
      </c>
      <c r="G38" s="1" t="str">
        <f>VLOOKUP($E38,'Activity List CSI'!$D$4:$J$146,'Mat. List CSI'!G$1,0)</f>
        <v>03</v>
      </c>
      <c r="H38" s="1" t="str">
        <f>VLOOKUP($E38,'Activity List CSI'!$D$4:$J$146,'Mat. List CSI'!H$1,0)</f>
        <v>ConcreteWork</v>
      </c>
      <c r="I38" s="1" t="str">
        <f>VLOOKUP(D38,'Activity List CSI'!$C$4:$H$146,6,0)</f>
        <v>03300</v>
      </c>
      <c r="J38" s="1" t="str">
        <f>VLOOKUP($E38,'Activity List CSI'!$D$4:$J$146,'Mat. List CSI'!J$1,0)</f>
        <v>Cast-In-Place Concrete</v>
      </c>
      <c r="K38" s="1" t="s">
        <v>432</v>
      </c>
      <c r="L38" s="1">
        <v>135</v>
      </c>
      <c r="M38" s="1" t="str">
        <f t="shared" si="0"/>
        <v>03300135</v>
      </c>
      <c r="N38" s="12" t="str">
        <f t="shared" si="2"/>
        <v>03300135</v>
      </c>
    </row>
    <row r="39" spans="4:14" x14ac:dyDescent="0.25">
      <c r="D39" s="11" t="s">
        <v>77</v>
      </c>
      <c r="E39" s="134" t="str">
        <f>VLOOKUP(F39,'Activity List CSI'!$B$4:$D$146,3,0)</f>
        <v>03300-02</v>
      </c>
      <c r="F39" s="1" t="s">
        <v>78</v>
      </c>
      <c r="G39" s="1" t="str">
        <f>VLOOKUP($E39,'Activity List CSI'!$D$4:$J$146,'Mat. List CSI'!G$1,0)</f>
        <v>03</v>
      </c>
      <c r="H39" s="1" t="str">
        <f>VLOOKUP($E39,'Activity List CSI'!$D$4:$J$146,'Mat. List CSI'!H$1,0)</f>
        <v>ConcreteWork</v>
      </c>
      <c r="I39" s="1" t="str">
        <f>VLOOKUP(D39,'Activity List CSI'!$C$4:$H$146,6,0)</f>
        <v>03300</v>
      </c>
      <c r="J39" s="1" t="str">
        <f>VLOOKUP($E39,'Activity List CSI'!$D$4:$J$146,'Mat. List CSI'!J$1,0)</f>
        <v>Cast-In-Place Concrete</v>
      </c>
      <c r="K39" s="1" t="s">
        <v>430</v>
      </c>
      <c r="L39" s="1">
        <v>115</v>
      </c>
      <c r="M39" s="1" t="str">
        <f t="shared" si="0"/>
        <v>03300115</v>
      </c>
      <c r="N39" s="12" t="str">
        <f t="shared" si="2"/>
        <v>03300115</v>
      </c>
    </row>
    <row r="40" spans="4:14" x14ac:dyDescent="0.25">
      <c r="D40" s="11" t="s">
        <v>77</v>
      </c>
      <c r="E40" s="134" t="str">
        <f>VLOOKUP(F40,'Activity List CSI'!$B$4:$D$146,3,0)</f>
        <v>03300-02</v>
      </c>
      <c r="F40" s="1" t="s">
        <v>78</v>
      </c>
      <c r="G40" s="1" t="str">
        <f>VLOOKUP($E40,'Activity List CSI'!$D$4:$J$146,'Mat. List CSI'!G$1,0)</f>
        <v>03</v>
      </c>
      <c r="H40" s="1" t="str">
        <f>VLOOKUP($E40,'Activity List CSI'!$D$4:$J$146,'Mat. List CSI'!H$1,0)</f>
        <v>ConcreteWork</v>
      </c>
      <c r="I40" s="1" t="str">
        <f>VLOOKUP(D40,'Activity List CSI'!$C$4:$H$146,6,0)</f>
        <v>03300</v>
      </c>
      <c r="J40" s="1" t="str">
        <f>VLOOKUP($E40,'Activity List CSI'!$D$4:$J$146,'Mat. List CSI'!J$1,0)</f>
        <v>Cast-In-Place Concrete</v>
      </c>
      <c r="K40" s="1" t="s">
        <v>431</v>
      </c>
      <c r="L40" s="1">
        <v>110</v>
      </c>
      <c r="M40" s="1" t="str">
        <f t="shared" si="0"/>
        <v>03300110</v>
      </c>
      <c r="N40" s="12" t="str">
        <f t="shared" si="2"/>
        <v>03300110</v>
      </c>
    </row>
    <row r="41" spans="4:14" x14ac:dyDescent="0.25">
      <c r="D41" s="11" t="s">
        <v>77</v>
      </c>
      <c r="E41" s="134" t="str">
        <f>VLOOKUP(F41,'Activity List CSI'!$B$4:$D$146,3,0)</f>
        <v>03300-02</v>
      </c>
      <c r="F41" s="1" t="s">
        <v>78</v>
      </c>
      <c r="G41" s="1" t="str">
        <f>VLOOKUP($E41,'Activity List CSI'!$D$4:$J$146,'Mat. List CSI'!G$1,0)</f>
        <v>03</v>
      </c>
      <c r="H41" s="1" t="str">
        <f>VLOOKUP($E41,'Activity List CSI'!$D$4:$J$146,'Mat. List CSI'!H$1,0)</f>
        <v>ConcreteWork</v>
      </c>
      <c r="I41" s="1" t="str">
        <f>VLOOKUP(D41,'Activity List CSI'!$C$4:$H$146,6,0)</f>
        <v>03300</v>
      </c>
      <c r="J41" s="1" t="str">
        <f>VLOOKUP($E41,'Activity List CSI'!$D$4:$J$146,'Mat. List CSI'!J$1,0)</f>
        <v>Cast-In-Place Concrete</v>
      </c>
      <c r="K41" s="1" t="s">
        <v>432</v>
      </c>
      <c r="L41" s="1">
        <v>135</v>
      </c>
      <c r="M41" s="1" t="str">
        <f t="shared" si="0"/>
        <v>03300135</v>
      </c>
      <c r="N41" s="12" t="str">
        <f t="shared" si="2"/>
        <v>03300135</v>
      </c>
    </row>
    <row r="42" spans="4:14" x14ac:dyDescent="0.25">
      <c r="D42" s="11" t="s">
        <v>79</v>
      </c>
      <c r="E42" s="134" t="str">
        <f>VLOOKUP(F42,'Activity List CSI'!$B$4:$D$146,3,0)</f>
        <v>03300-03</v>
      </c>
      <c r="F42" s="1" t="s">
        <v>80</v>
      </c>
      <c r="G42" s="1" t="str">
        <f>VLOOKUP($E42,'Activity List CSI'!$D$4:$J$146,'Mat. List CSI'!G$1,0)</f>
        <v>03</v>
      </c>
      <c r="H42" s="1" t="str">
        <f>VLOOKUP($E42,'Activity List CSI'!$D$4:$J$146,'Mat. List CSI'!H$1,0)</f>
        <v>ConcreteWork</v>
      </c>
      <c r="I42" s="1" t="str">
        <f>VLOOKUP(D42,'Activity List CSI'!$C$4:$H$146,6,0)</f>
        <v>03300</v>
      </c>
      <c r="J42" s="1" t="str">
        <f>VLOOKUP($E42,'Activity List CSI'!$D$4:$J$146,'Mat. List CSI'!J$1,0)</f>
        <v>Cast-In-Place Concrete</v>
      </c>
      <c r="K42" s="1" t="s">
        <v>428</v>
      </c>
      <c r="L42" s="1">
        <v>130</v>
      </c>
      <c r="M42" s="1" t="str">
        <f t="shared" si="0"/>
        <v>03300130</v>
      </c>
      <c r="N42" s="12" t="str">
        <f t="shared" si="2"/>
        <v>03300130</v>
      </c>
    </row>
    <row r="43" spans="4:14" x14ac:dyDescent="0.25">
      <c r="D43" s="11" t="s">
        <v>79</v>
      </c>
      <c r="E43" s="134" t="str">
        <f>VLOOKUP(F43,'Activity List CSI'!$B$4:$D$146,3,0)</f>
        <v>03300-03</v>
      </c>
      <c r="F43" s="1" t="s">
        <v>80</v>
      </c>
      <c r="G43" s="1" t="str">
        <f>VLOOKUP($E43,'Activity List CSI'!$D$4:$J$146,'Mat. List CSI'!G$1,0)</f>
        <v>03</v>
      </c>
      <c r="H43" s="1" t="str">
        <f>VLOOKUP($E43,'Activity List CSI'!$D$4:$J$146,'Mat. List CSI'!H$1,0)</f>
        <v>ConcreteWork</v>
      </c>
      <c r="I43" s="1" t="str">
        <f>VLOOKUP(D43,'Activity List CSI'!$C$4:$H$146,6,0)</f>
        <v>03300</v>
      </c>
      <c r="J43" s="1" t="str">
        <f>VLOOKUP($E43,'Activity List CSI'!$D$4:$J$146,'Mat. List CSI'!J$1,0)</f>
        <v>Cast-In-Place Concrete</v>
      </c>
      <c r="K43" s="1" t="s">
        <v>429</v>
      </c>
      <c r="L43" s="1">
        <v>105</v>
      </c>
      <c r="M43" s="1" t="str">
        <f t="shared" si="0"/>
        <v>03300105</v>
      </c>
      <c r="N43" s="12" t="str">
        <f t="shared" si="2"/>
        <v>03300105</v>
      </c>
    </row>
    <row r="44" spans="4:14" x14ac:dyDescent="0.25">
      <c r="D44" s="11" t="s">
        <v>79</v>
      </c>
      <c r="E44" s="134" t="str">
        <f>VLOOKUP(F44,'Activity List CSI'!$B$4:$D$146,3,0)</f>
        <v>03300-03</v>
      </c>
      <c r="F44" s="1" t="s">
        <v>80</v>
      </c>
      <c r="G44" s="1" t="str">
        <f>VLOOKUP($E44,'Activity List CSI'!$D$4:$J$146,'Mat. List CSI'!G$1,0)</f>
        <v>03</v>
      </c>
      <c r="H44" s="1" t="str">
        <f>VLOOKUP($E44,'Activity List CSI'!$D$4:$J$146,'Mat. List CSI'!H$1,0)</f>
        <v>ConcreteWork</v>
      </c>
      <c r="I44" s="1" t="str">
        <f>VLOOKUP(D44,'Activity List CSI'!$C$4:$H$146,6,0)</f>
        <v>03300</v>
      </c>
      <c r="J44" s="1" t="str">
        <f>VLOOKUP($E44,'Activity List CSI'!$D$4:$J$146,'Mat. List CSI'!J$1,0)</f>
        <v>Cast-In-Place Concrete</v>
      </c>
      <c r="K44" s="1" t="s">
        <v>430</v>
      </c>
      <c r="L44" s="1">
        <v>115</v>
      </c>
      <c r="M44" s="1" t="str">
        <f t="shared" si="0"/>
        <v>03300115</v>
      </c>
      <c r="N44" s="12" t="str">
        <f t="shared" si="2"/>
        <v>03300115</v>
      </c>
    </row>
    <row r="45" spans="4:14" x14ac:dyDescent="0.25">
      <c r="D45" s="11" t="s">
        <v>79</v>
      </c>
      <c r="E45" s="134" t="str">
        <f>VLOOKUP(F45,'Activity List CSI'!$B$4:$D$146,3,0)</f>
        <v>03300-03</v>
      </c>
      <c r="F45" s="1" t="s">
        <v>80</v>
      </c>
      <c r="G45" s="1" t="str">
        <f>VLOOKUP($E45,'Activity List CSI'!$D$4:$J$146,'Mat. List CSI'!G$1,0)</f>
        <v>03</v>
      </c>
      <c r="H45" s="1" t="str">
        <f>VLOOKUP($E45,'Activity List CSI'!$D$4:$J$146,'Mat. List CSI'!H$1,0)</f>
        <v>ConcreteWork</v>
      </c>
      <c r="I45" s="1" t="str">
        <f>VLOOKUP(D45,'Activity List CSI'!$C$4:$H$146,6,0)</f>
        <v>03300</v>
      </c>
      <c r="J45" s="1" t="str">
        <f>VLOOKUP($E45,'Activity List CSI'!$D$4:$J$146,'Mat. List CSI'!J$1,0)</f>
        <v>Cast-In-Place Concrete</v>
      </c>
      <c r="K45" s="1" t="s">
        <v>431</v>
      </c>
      <c r="L45" s="1">
        <v>110</v>
      </c>
      <c r="M45" s="1" t="str">
        <f t="shared" si="0"/>
        <v>03300110</v>
      </c>
      <c r="N45" s="12" t="str">
        <f t="shared" si="2"/>
        <v>03300110</v>
      </c>
    </row>
    <row r="46" spans="4:14" x14ac:dyDescent="0.25">
      <c r="D46" s="11" t="s">
        <v>79</v>
      </c>
      <c r="E46" s="134" t="str">
        <f>VLOOKUP(F46,'Activity List CSI'!$B$4:$D$146,3,0)</f>
        <v>03300-03</v>
      </c>
      <c r="F46" s="1" t="s">
        <v>80</v>
      </c>
      <c r="G46" s="1" t="str">
        <f>VLOOKUP($E46,'Activity List CSI'!$D$4:$J$146,'Mat. List CSI'!G$1,0)</f>
        <v>03</v>
      </c>
      <c r="H46" s="1" t="str">
        <f>VLOOKUP($E46,'Activity List CSI'!$D$4:$J$146,'Mat. List CSI'!H$1,0)</f>
        <v>ConcreteWork</v>
      </c>
      <c r="I46" s="1" t="str">
        <f>VLOOKUP(D46,'Activity List CSI'!$C$4:$H$146,6,0)</f>
        <v>03300</v>
      </c>
      <c r="J46" s="1" t="str">
        <f>VLOOKUP($E46,'Activity List CSI'!$D$4:$J$146,'Mat. List CSI'!J$1,0)</f>
        <v>Cast-In-Place Concrete</v>
      </c>
      <c r="K46" s="1" t="s">
        <v>432</v>
      </c>
      <c r="L46" s="1">
        <v>135</v>
      </c>
      <c r="M46" s="1" t="str">
        <f t="shared" si="0"/>
        <v>03300135</v>
      </c>
      <c r="N46" s="12" t="str">
        <f t="shared" si="2"/>
        <v>03300135</v>
      </c>
    </row>
    <row r="47" spans="4:14" x14ac:dyDescent="0.25">
      <c r="D47" s="11" t="s">
        <v>79</v>
      </c>
      <c r="E47" s="134" t="str">
        <f>VLOOKUP(F47,'Activity List CSI'!$B$4:$D$146,3,0)</f>
        <v>03300-03</v>
      </c>
      <c r="F47" s="1" t="s">
        <v>80</v>
      </c>
      <c r="G47" s="1" t="str">
        <f>VLOOKUP($E47,'Activity List CSI'!$D$4:$J$146,'Mat. List CSI'!G$1,0)</f>
        <v>03</v>
      </c>
      <c r="H47" s="1" t="str">
        <f>VLOOKUP($E47,'Activity List CSI'!$D$4:$J$146,'Mat. List CSI'!H$1,0)</f>
        <v>ConcreteWork</v>
      </c>
      <c r="I47" s="1" t="str">
        <f>VLOOKUP(D47,'Activity List CSI'!$C$4:$H$146,6,0)</f>
        <v>03300</v>
      </c>
      <c r="J47" s="1" t="str">
        <f>VLOOKUP($E47,'Activity List CSI'!$D$4:$J$146,'Mat. List CSI'!J$1,0)</f>
        <v>Cast-In-Place Concrete</v>
      </c>
      <c r="K47" s="1" t="s">
        <v>430</v>
      </c>
      <c r="L47" s="1">
        <v>115</v>
      </c>
      <c r="M47" s="1" t="str">
        <f t="shared" si="0"/>
        <v>03300115</v>
      </c>
      <c r="N47" s="12" t="str">
        <f t="shared" si="2"/>
        <v>03300115</v>
      </c>
    </row>
    <row r="48" spans="4:14" x14ac:dyDescent="0.25">
      <c r="D48" s="11" t="s">
        <v>79</v>
      </c>
      <c r="E48" s="134" t="str">
        <f>VLOOKUP(F48,'Activity List CSI'!$B$4:$D$146,3,0)</f>
        <v>03300-03</v>
      </c>
      <c r="F48" s="1" t="s">
        <v>80</v>
      </c>
      <c r="G48" s="1" t="str">
        <f>VLOOKUP($E48,'Activity List CSI'!$D$4:$J$146,'Mat. List CSI'!G$1,0)</f>
        <v>03</v>
      </c>
      <c r="H48" s="1" t="str">
        <f>VLOOKUP($E48,'Activity List CSI'!$D$4:$J$146,'Mat. List CSI'!H$1,0)</f>
        <v>ConcreteWork</v>
      </c>
      <c r="I48" s="1" t="str">
        <f>VLOOKUP(D48,'Activity List CSI'!$C$4:$H$146,6,0)</f>
        <v>03300</v>
      </c>
      <c r="J48" s="1" t="str">
        <f>VLOOKUP($E48,'Activity List CSI'!$D$4:$J$146,'Mat. List CSI'!J$1,0)</f>
        <v>Cast-In-Place Concrete</v>
      </c>
      <c r="K48" s="1" t="s">
        <v>431</v>
      </c>
      <c r="L48" s="1">
        <v>110</v>
      </c>
      <c r="M48" s="1" t="str">
        <f t="shared" si="0"/>
        <v>03300110</v>
      </c>
      <c r="N48" s="12" t="str">
        <f t="shared" si="2"/>
        <v>03300110</v>
      </c>
    </row>
    <row r="49" spans="4:14" x14ac:dyDescent="0.25">
      <c r="D49" s="11" t="s">
        <v>79</v>
      </c>
      <c r="E49" s="134" t="str">
        <f>VLOOKUP(F49,'Activity List CSI'!$B$4:$D$146,3,0)</f>
        <v>03300-03</v>
      </c>
      <c r="F49" s="1" t="s">
        <v>80</v>
      </c>
      <c r="G49" s="1" t="str">
        <f>VLOOKUP($E49,'Activity List CSI'!$D$4:$J$146,'Mat. List CSI'!G$1,0)</f>
        <v>03</v>
      </c>
      <c r="H49" s="1" t="str">
        <f>VLOOKUP($E49,'Activity List CSI'!$D$4:$J$146,'Mat. List CSI'!H$1,0)</f>
        <v>ConcreteWork</v>
      </c>
      <c r="I49" s="1" t="str">
        <f>VLOOKUP(D49,'Activity List CSI'!$C$4:$H$146,6,0)</f>
        <v>03300</v>
      </c>
      <c r="J49" s="1" t="str">
        <f>VLOOKUP($E49,'Activity List CSI'!$D$4:$J$146,'Mat. List CSI'!J$1,0)</f>
        <v>Cast-In-Place Concrete</v>
      </c>
      <c r="K49" s="1" t="s">
        <v>432</v>
      </c>
      <c r="L49" s="1">
        <v>135</v>
      </c>
      <c r="M49" s="1" t="str">
        <f t="shared" si="0"/>
        <v>03300135</v>
      </c>
      <c r="N49" s="12" t="str">
        <f t="shared" si="2"/>
        <v>03300135</v>
      </c>
    </row>
    <row r="50" spans="4:14" x14ac:dyDescent="0.25">
      <c r="D50" s="11" t="s">
        <v>81</v>
      </c>
      <c r="E50" s="134" t="str">
        <f>VLOOKUP(F50,'Activity List CSI'!$B$4:$D$146,3,0)</f>
        <v>03300-04</v>
      </c>
      <c r="F50" s="1" t="s">
        <v>82</v>
      </c>
      <c r="G50" s="1" t="str">
        <f>VLOOKUP($E50,'Activity List CSI'!$D$4:$J$146,'Mat. List CSI'!G$1,0)</f>
        <v>03</v>
      </c>
      <c r="H50" s="1" t="str">
        <f>VLOOKUP($E50,'Activity List CSI'!$D$4:$J$146,'Mat. List CSI'!H$1,0)</f>
        <v>ConcreteWork</v>
      </c>
      <c r="I50" s="1" t="str">
        <f>VLOOKUP(D50,'Activity List CSI'!$C$4:$H$146,6,0)</f>
        <v>03300</v>
      </c>
      <c r="J50" s="1" t="str">
        <f>VLOOKUP($E50,'Activity List CSI'!$D$4:$J$146,'Mat. List CSI'!J$1,0)</f>
        <v>Cast-In-Place Concrete</v>
      </c>
      <c r="K50" s="1" t="s">
        <v>428</v>
      </c>
      <c r="L50" s="1">
        <v>130</v>
      </c>
      <c r="M50" s="1" t="str">
        <f t="shared" si="0"/>
        <v>03300130</v>
      </c>
      <c r="N50" s="12" t="str">
        <f t="shared" si="2"/>
        <v>03300130</v>
      </c>
    </row>
    <row r="51" spans="4:14" x14ac:dyDescent="0.25">
      <c r="D51" s="11" t="s">
        <v>81</v>
      </c>
      <c r="E51" s="134" t="str">
        <f>VLOOKUP(F51,'Activity List CSI'!$B$4:$D$146,3,0)</f>
        <v>03300-04</v>
      </c>
      <c r="F51" s="1" t="s">
        <v>82</v>
      </c>
      <c r="G51" s="1" t="str">
        <f>VLOOKUP($E51,'Activity List CSI'!$D$4:$J$146,'Mat. List CSI'!G$1,0)</f>
        <v>03</v>
      </c>
      <c r="H51" s="1" t="str">
        <f>VLOOKUP($E51,'Activity List CSI'!$D$4:$J$146,'Mat. List CSI'!H$1,0)</f>
        <v>ConcreteWork</v>
      </c>
      <c r="I51" s="1" t="str">
        <f>VLOOKUP(D51,'Activity List CSI'!$C$4:$H$146,6,0)</f>
        <v>03300</v>
      </c>
      <c r="J51" s="1" t="str">
        <f>VLOOKUP($E51,'Activity List CSI'!$D$4:$J$146,'Mat. List CSI'!J$1,0)</f>
        <v>Cast-In-Place Concrete</v>
      </c>
      <c r="K51" s="1" t="s">
        <v>429</v>
      </c>
      <c r="L51" s="1">
        <v>105</v>
      </c>
      <c r="M51" s="1" t="str">
        <f t="shared" si="0"/>
        <v>03300105</v>
      </c>
      <c r="N51" s="12" t="str">
        <f t="shared" si="2"/>
        <v>03300105</v>
      </c>
    </row>
    <row r="52" spans="4:14" x14ac:dyDescent="0.25">
      <c r="D52" s="11" t="s">
        <v>81</v>
      </c>
      <c r="E52" s="134" t="str">
        <f>VLOOKUP(F52,'Activity List CSI'!$B$4:$D$146,3,0)</f>
        <v>03300-04</v>
      </c>
      <c r="F52" s="1" t="s">
        <v>82</v>
      </c>
      <c r="G52" s="1" t="str">
        <f>VLOOKUP($E52,'Activity List CSI'!$D$4:$J$146,'Mat. List CSI'!G$1,0)</f>
        <v>03</v>
      </c>
      <c r="H52" s="1" t="str">
        <f>VLOOKUP($E52,'Activity List CSI'!$D$4:$J$146,'Mat. List CSI'!H$1,0)</f>
        <v>ConcreteWork</v>
      </c>
      <c r="I52" s="1" t="str">
        <f>VLOOKUP(D52,'Activity List CSI'!$C$4:$H$146,6,0)</f>
        <v>03300</v>
      </c>
      <c r="J52" s="1" t="str">
        <f>VLOOKUP($E52,'Activity List CSI'!$D$4:$J$146,'Mat. List CSI'!J$1,0)</f>
        <v>Cast-In-Place Concrete</v>
      </c>
      <c r="K52" s="1" t="s">
        <v>430</v>
      </c>
      <c r="L52" s="1">
        <v>115</v>
      </c>
      <c r="M52" s="1" t="str">
        <f t="shared" si="0"/>
        <v>03300115</v>
      </c>
      <c r="N52" s="12" t="str">
        <f t="shared" si="2"/>
        <v>03300115</v>
      </c>
    </row>
    <row r="53" spans="4:14" x14ac:dyDescent="0.25">
      <c r="D53" s="11" t="s">
        <v>81</v>
      </c>
      <c r="E53" s="134" t="str">
        <f>VLOOKUP(F53,'Activity List CSI'!$B$4:$D$146,3,0)</f>
        <v>03300-04</v>
      </c>
      <c r="F53" s="1" t="s">
        <v>82</v>
      </c>
      <c r="G53" s="1" t="str">
        <f>VLOOKUP($E53,'Activity List CSI'!$D$4:$J$146,'Mat. List CSI'!G$1,0)</f>
        <v>03</v>
      </c>
      <c r="H53" s="1" t="str">
        <f>VLOOKUP($E53,'Activity List CSI'!$D$4:$J$146,'Mat. List CSI'!H$1,0)</f>
        <v>ConcreteWork</v>
      </c>
      <c r="I53" s="1" t="str">
        <f>VLOOKUP(D53,'Activity List CSI'!$C$4:$H$146,6,0)</f>
        <v>03300</v>
      </c>
      <c r="J53" s="1" t="str">
        <f>VLOOKUP($E53,'Activity List CSI'!$D$4:$J$146,'Mat. List CSI'!J$1,0)</f>
        <v>Cast-In-Place Concrete</v>
      </c>
      <c r="K53" s="1" t="s">
        <v>431</v>
      </c>
      <c r="L53" s="1">
        <v>110</v>
      </c>
      <c r="M53" s="1" t="str">
        <f t="shared" si="0"/>
        <v>03300110</v>
      </c>
      <c r="N53" s="12" t="str">
        <f t="shared" si="2"/>
        <v>03300110</v>
      </c>
    </row>
    <row r="54" spans="4:14" x14ac:dyDescent="0.25">
      <c r="D54" s="11" t="s">
        <v>81</v>
      </c>
      <c r="E54" s="134" t="str">
        <f>VLOOKUP(F54,'Activity List CSI'!$B$4:$D$146,3,0)</f>
        <v>03300-04</v>
      </c>
      <c r="F54" s="1" t="s">
        <v>82</v>
      </c>
      <c r="G54" s="1" t="str">
        <f>VLOOKUP($E54,'Activity List CSI'!$D$4:$J$146,'Mat. List CSI'!G$1,0)</f>
        <v>03</v>
      </c>
      <c r="H54" s="1" t="str">
        <f>VLOOKUP($E54,'Activity List CSI'!$D$4:$J$146,'Mat. List CSI'!H$1,0)</f>
        <v>ConcreteWork</v>
      </c>
      <c r="I54" s="1" t="str">
        <f>VLOOKUP(D54,'Activity List CSI'!$C$4:$H$146,6,0)</f>
        <v>03300</v>
      </c>
      <c r="J54" s="1" t="str">
        <f>VLOOKUP($E54,'Activity List CSI'!$D$4:$J$146,'Mat. List CSI'!J$1,0)</f>
        <v>Cast-In-Place Concrete</v>
      </c>
      <c r="K54" s="1" t="s">
        <v>432</v>
      </c>
      <c r="L54" s="1">
        <v>135</v>
      </c>
      <c r="M54" s="1" t="str">
        <f t="shared" si="0"/>
        <v>03300135</v>
      </c>
      <c r="N54" s="12" t="str">
        <f t="shared" si="2"/>
        <v>03300135</v>
      </c>
    </row>
    <row r="55" spans="4:14" x14ac:dyDescent="0.25">
      <c r="D55" s="11" t="s">
        <v>81</v>
      </c>
      <c r="E55" s="134" t="str">
        <f>VLOOKUP(F55,'Activity List CSI'!$B$4:$D$146,3,0)</f>
        <v>03300-04</v>
      </c>
      <c r="F55" s="1" t="s">
        <v>82</v>
      </c>
      <c r="G55" s="1" t="str">
        <f>VLOOKUP($E55,'Activity List CSI'!$D$4:$J$146,'Mat. List CSI'!G$1,0)</f>
        <v>03</v>
      </c>
      <c r="H55" s="1" t="str">
        <f>VLOOKUP($E55,'Activity List CSI'!$D$4:$J$146,'Mat. List CSI'!H$1,0)</f>
        <v>ConcreteWork</v>
      </c>
      <c r="I55" s="1" t="str">
        <f>VLOOKUP(D55,'Activity List CSI'!$C$4:$H$146,6,0)</f>
        <v>03300</v>
      </c>
      <c r="J55" s="1" t="str">
        <f>VLOOKUP($E55,'Activity List CSI'!$D$4:$J$146,'Mat. List CSI'!J$1,0)</f>
        <v>Cast-In-Place Concrete</v>
      </c>
      <c r="K55" s="1" t="s">
        <v>430</v>
      </c>
      <c r="L55" s="1">
        <v>115</v>
      </c>
      <c r="M55" s="1" t="str">
        <f t="shared" si="0"/>
        <v>03300115</v>
      </c>
      <c r="N55" s="12" t="str">
        <f t="shared" si="2"/>
        <v>03300115</v>
      </c>
    </row>
    <row r="56" spans="4:14" x14ac:dyDescent="0.25">
      <c r="D56" s="11" t="s">
        <v>81</v>
      </c>
      <c r="E56" s="134" t="str">
        <f>VLOOKUP(F56,'Activity List CSI'!$B$4:$D$146,3,0)</f>
        <v>03300-04</v>
      </c>
      <c r="F56" s="1" t="s">
        <v>82</v>
      </c>
      <c r="G56" s="1" t="str">
        <f>VLOOKUP($E56,'Activity List CSI'!$D$4:$J$146,'Mat. List CSI'!G$1,0)</f>
        <v>03</v>
      </c>
      <c r="H56" s="1" t="str">
        <f>VLOOKUP($E56,'Activity List CSI'!$D$4:$J$146,'Mat. List CSI'!H$1,0)</f>
        <v>ConcreteWork</v>
      </c>
      <c r="I56" s="1" t="str">
        <f>VLOOKUP(D56,'Activity List CSI'!$C$4:$H$146,6,0)</f>
        <v>03300</v>
      </c>
      <c r="J56" s="1" t="str">
        <f>VLOOKUP($E56,'Activity List CSI'!$D$4:$J$146,'Mat. List CSI'!J$1,0)</f>
        <v>Cast-In-Place Concrete</v>
      </c>
      <c r="K56" s="1" t="s">
        <v>431</v>
      </c>
      <c r="L56" s="1">
        <v>110</v>
      </c>
      <c r="M56" s="1" t="str">
        <f t="shared" si="0"/>
        <v>03300110</v>
      </c>
      <c r="N56" s="12" t="str">
        <f t="shared" si="2"/>
        <v>03300110</v>
      </c>
    </row>
    <row r="57" spans="4:14" x14ac:dyDescent="0.25">
      <c r="D57" s="11" t="s">
        <v>81</v>
      </c>
      <c r="E57" s="134" t="str">
        <f>VLOOKUP(F57,'Activity List CSI'!$B$4:$D$146,3,0)</f>
        <v>03300-04</v>
      </c>
      <c r="F57" s="1" t="s">
        <v>82</v>
      </c>
      <c r="G57" s="1" t="str">
        <f>VLOOKUP($E57,'Activity List CSI'!$D$4:$J$146,'Mat. List CSI'!G$1,0)</f>
        <v>03</v>
      </c>
      <c r="H57" s="1" t="str">
        <f>VLOOKUP($E57,'Activity List CSI'!$D$4:$J$146,'Mat. List CSI'!H$1,0)</f>
        <v>ConcreteWork</v>
      </c>
      <c r="I57" s="1" t="str">
        <f>VLOOKUP(D57,'Activity List CSI'!$C$4:$H$146,6,0)</f>
        <v>03300</v>
      </c>
      <c r="J57" s="1" t="str">
        <f>VLOOKUP($E57,'Activity List CSI'!$D$4:$J$146,'Mat. List CSI'!J$1,0)</f>
        <v>Cast-In-Place Concrete</v>
      </c>
      <c r="K57" s="1" t="s">
        <v>432</v>
      </c>
      <c r="L57" s="1">
        <v>135</v>
      </c>
      <c r="M57" s="1" t="str">
        <f t="shared" si="0"/>
        <v>03300135</v>
      </c>
      <c r="N57" s="12" t="str">
        <f t="shared" si="2"/>
        <v>03300135</v>
      </c>
    </row>
    <row r="58" spans="4:14" x14ac:dyDescent="0.25">
      <c r="D58" s="11" t="s">
        <v>83</v>
      </c>
      <c r="E58" s="134" t="str">
        <f>VLOOKUP(F58,'Activity List CSI'!$B$4:$D$146,3,0)</f>
        <v>03300-05</v>
      </c>
      <c r="F58" s="1" t="s">
        <v>84</v>
      </c>
      <c r="G58" s="1" t="str">
        <f>VLOOKUP($E58,'Activity List CSI'!$D$4:$J$146,'Mat. List CSI'!G$1,0)</f>
        <v>03</v>
      </c>
      <c r="H58" s="1" t="str">
        <f>VLOOKUP($E58,'Activity List CSI'!$D$4:$J$146,'Mat. List CSI'!H$1,0)</f>
        <v>ConcreteWork</v>
      </c>
      <c r="I58" s="1" t="str">
        <f>VLOOKUP(D58,'Activity List CSI'!$C$4:$H$146,6,0)</f>
        <v>03300</v>
      </c>
      <c r="J58" s="1" t="str">
        <f>VLOOKUP($E58,'Activity List CSI'!$D$4:$J$146,'Mat. List CSI'!J$1,0)</f>
        <v>Cast-In-Place Concrete</v>
      </c>
      <c r="K58" s="1" t="s">
        <v>428</v>
      </c>
      <c r="L58" s="1">
        <v>130</v>
      </c>
      <c r="M58" s="1" t="str">
        <f t="shared" si="0"/>
        <v>03300130</v>
      </c>
      <c r="N58" s="12" t="str">
        <f t="shared" si="2"/>
        <v>03300130</v>
      </c>
    </row>
    <row r="59" spans="4:14" x14ac:dyDescent="0.25">
      <c r="D59" s="11" t="s">
        <v>83</v>
      </c>
      <c r="E59" s="134" t="str">
        <f>VLOOKUP(F59,'Activity List CSI'!$B$4:$D$146,3,0)</f>
        <v>03300-05</v>
      </c>
      <c r="F59" s="1" t="s">
        <v>84</v>
      </c>
      <c r="G59" s="1" t="str">
        <f>VLOOKUP($E59,'Activity List CSI'!$D$4:$J$146,'Mat. List CSI'!G$1,0)</f>
        <v>03</v>
      </c>
      <c r="H59" s="1" t="str">
        <f>VLOOKUP($E59,'Activity List CSI'!$D$4:$J$146,'Mat. List CSI'!H$1,0)</f>
        <v>ConcreteWork</v>
      </c>
      <c r="I59" s="1" t="str">
        <f>VLOOKUP(D59,'Activity List CSI'!$C$4:$H$146,6,0)</f>
        <v>03300</v>
      </c>
      <c r="J59" s="1" t="str">
        <f>VLOOKUP($E59,'Activity List CSI'!$D$4:$J$146,'Mat. List CSI'!J$1,0)</f>
        <v>Cast-In-Place Concrete</v>
      </c>
      <c r="K59" s="1" t="s">
        <v>429</v>
      </c>
      <c r="L59" s="1">
        <v>105</v>
      </c>
      <c r="M59" s="1" t="str">
        <f t="shared" si="0"/>
        <v>03300105</v>
      </c>
      <c r="N59" s="12" t="str">
        <f t="shared" si="2"/>
        <v>03300105</v>
      </c>
    </row>
    <row r="60" spans="4:14" x14ac:dyDescent="0.25">
      <c r="D60" s="11" t="s">
        <v>83</v>
      </c>
      <c r="E60" s="134" t="str">
        <f>VLOOKUP(F60,'Activity List CSI'!$B$4:$D$146,3,0)</f>
        <v>03300-05</v>
      </c>
      <c r="F60" s="1" t="s">
        <v>84</v>
      </c>
      <c r="G60" s="1" t="str">
        <f>VLOOKUP($E60,'Activity List CSI'!$D$4:$J$146,'Mat. List CSI'!G$1,0)</f>
        <v>03</v>
      </c>
      <c r="H60" s="1" t="str">
        <f>VLOOKUP($E60,'Activity List CSI'!$D$4:$J$146,'Mat. List CSI'!H$1,0)</f>
        <v>ConcreteWork</v>
      </c>
      <c r="I60" s="1" t="str">
        <f>VLOOKUP(D60,'Activity List CSI'!$C$4:$H$146,6,0)</f>
        <v>03300</v>
      </c>
      <c r="J60" s="1" t="str">
        <f>VLOOKUP($E60,'Activity List CSI'!$D$4:$J$146,'Mat. List CSI'!J$1,0)</f>
        <v>Cast-In-Place Concrete</v>
      </c>
      <c r="K60" s="1" t="s">
        <v>430</v>
      </c>
      <c r="L60" s="1">
        <v>115</v>
      </c>
      <c r="M60" s="1" t="str">
        <f t="shared" si="0"/>
        <v>03300115</v>
      </c>
      <c r="N60" s="12" t="str">
        <f t="shared" si="2"/>
        <v>03300115</v>
      </c>
    </row>
    <row r="61" spans="4:14" x14ac:dyDescent="0.25">
      <c r="D61" s="11" t="s">
        <v>83</v>
      </c>
      <c r="E61" s="134" t="str">
        <f>VLOOKUP(F61,'Activity List CSI'!$B$4:$D$146,3,0)</f>
        <v>03300-05</v>
      </c>
      <c r="F61" s="1" t="s">
        <v>84</v>
      </c>
      <c r="G61" s="1" t="str">
        <f>VLOOKUP($E61,'Activity List CSI'!$D$4:$J$146,'Mat. List CSI'!G$1,0)</f>
        <v>03</v>
      </c>
      <c r="H61" s="1" t="str">
        <f>VLOOKUP($E61,'Activity List CSI'!$D$4:$J$146,'Mat. List CSI'!H$1,0)</f>
        <v>ConcreteWork</v>
      </c>
      <c r="I61" s="1" t="str">
        <f>VLOOKUP(D61,'Activity List CSI'!$C$4:$H$146,6,0)</f>
        <v>03300</v>
      </c>
      <c r="J61" s="1" t="str">
        <f>VLOOKUP($E61,'Activity List CSI'!$D$4:$J$146,'Mat. List CSI'!J$1,0)</f>
        <v>Cast-In-Place Concrete</v>
      </c>
      <c r="K61" s="1" t="s">
        <v>431</v>
      </c>
      <c r="L61" s="1">
        <v>110</v>
      </c>
      <c r="M61" s="1" t="str">
        <f t="shared" si="0"/>
        <v>03300110</v>
      </c>
      <c r="N61" s="12" t="str">
        <f t="shared" si="2"/>
        <v>03300110</v>
      </c>
    </row>
    <row r="62" spans="4:14" x14ac:dyDescent="0.25">
      <c r="D62" s="11" t="s">
        <v>83</v>
      </c>
      <c r="E62" s="134" t="str">
        <f>VLOOKUP(F62,'Activity List CSI'!$B$4:$D$146,3,0)</f>
        <v>03300-05</v>
      </c>
      <c r="F62" s="1" t="s">
        <v>84</v>
      </c>
      <c r="G62" s="1" t="str">
        <f>VLOOKUP($E62,'Activity List CSI'!$D$4:$J$146,'Mat. List CSI'!G$1,0)</f>
        <v>03</v>
      </c>
      <c r="H62" s="1" t="str">
        <f>VLOOKUP($E62,'Activity List CSI'!$D$4:$J$146,'Mat. List CSI'!H$1,0)</f>
        <v>ConcreteWork</v>
      </c>
      <c r="I62" s="1" t="str">
        <f>VLOOKUP(D62,'Activity List CSI'!$C$4:$H$146,6,0)</f>
        <v>03300</v>
      </c>
      <c r="J62" s="1" t="str">
        <f>VLOOKUP($E62,'Activity List CSI'!$D$4:$J$146,'Mat. List CSI'!J$1,0)</f>
        <v>Cast-In-Place Concrete</v>
      </c>
      <c r="K62" s="1" t="s">
        <v>432</v>
      </c>
      <c r="L62" s="1">
        <v>135</v>
      </c>
      <c r="M62" s="1" t="str">
        <f t="shared" si="0"/>
        <v>03300135</v>
      </c>
      <c r="N62" s="12" t="str">
        <f t="shared" si="2"/>
        <v>03300135</v>
      </c>
    </row>
    <row r="63" spans="4:14" x14ac:dyDescent="0.25">
      <c r="D63" s="11" t="s">
        <v>83</v>
      </c>
      <c r="E63" s="134" t="str">
        <f>VLOOKUP(F63,'Activity List CSI'!$B$4:$D$146,3,0)</f>
        <v>03300-05</v>
      </c>
      <c r="F63" s="1" t="s">
        <v>84</v>
      </c>
      <c r="G63" s="1" t="str">
        <f>VLOOKUP($E63,'Activity List CSI'!$D$4:$J$146,'Mat. List CSI'!G$1,0)</f>
        <v>03</v>
      </c>
      <c r="H63" s="1" t="str">
        <f>VLOOKUP($E63,'Activity List CSI'!$D$4:$J$146,'Mat. List CSI'!H$1,0)</f>
        <v>ConcreteWork</v>
      </c>
      <c r="I63" s="1" t="str">
        <f>VLOOKUP(D63,'Activity List CSI'!$C$4:$H$146,6,0)</f>
        <v>03300</v>
      </c>
      <c r="J63" s="1" t="str">
        <f>VLOOKUP($E63,'Activity List CSI'!$D$4:$J$146,'Mat. List CSI'!J$1,0)</f>
        <v>Cast-In-Place Concrete</v>
      </c>
      <c r="K63" s="1" t="s">
        <v>430</v>
      </c>
      <c r="L63" s="1">
        <v>115</v>
      </c>
      <c r="M63" s="1" t="str">
        <f t="shared" si="0"/>
        <v>03300115</v>
      </c>
      <c r="N63" s="12" t="str">
        <f t="shared" si="2"/>
        <v>03300115</v>
      </c>
    </row>
    <row r="64" spans="4:14" x14ac:dyDescent="0.25">
      <c r="D64" s="11" t="s">
        <v>83</v>
      </c>
      <c r="E64" s="134" t="str">
        <f>VLOOKUP(F64,'Activity List CSI'!$B$4:$D$146,3,0)</f>
        <v>03300-05</v>
      </c>
      <c r="F64" s="1" t="s">
        <v>84</v>
      </c>
      <c r="G64" s="1" t="str">
        <f>VLOOKUP($E64,'Activity List CSI'!$D$4:$J$146,'Mat. List CSI'!G$1,0)</f>
        <v>03</v>
      </c>
      <c r="H64" s="1" t="str">
        <f>VLOOKUP($E64,'Activity List CSI'!$D$4:$J$146,'Mat. List CSI'!H$1,0)</f>
        <v>ConcreteWork</v>
      </c>
      <c r="I64" s="1" t="str">
        <f>VLOOKUP(D64,'Activity List CSI'!$C$4:$H$146,6,0)</f>
        <v>03300</v>
      </c>
      <c r="J64" s="1" t="str">
        <f>VLOOKUP($E64,'Activity List CSI'!$D$4:$J$146,'Mat. List CSI'!J$1,0)</f>
        <v>Cast-In-Place Concrete</v>
      </c>
      <c r="K64" s="1" t="s">
        <v>431</v>
      </c>
      <c r="L64" s="1">
        <v>110</v>
      </c>
      <c r="M64" s="1" t="str">
        <f t="shared" si="0"/>
        <v>03300110</v>
      </c>
      <c r="N64" s="12" t="str">
        <f t="shared" si="2"/>
        <v>03300110</v>
      </c>
    </row>
    <row r="65" spans="4:14" x14ac:dyDescent="0.25">
      <c r="D65" s="11" t="s">
        <v>83</v>
      </c>
      <c r="E65" s="134" t="str">
        <f>VLOOKUP(F65,'Activity List CSI'!$B$4:$D$146,3,0)</f>
        <v>03300-05</v>
      </c>
      <c r="F65" s="1" t="s">
        <v>84</v>
      </c>
      <c r="G65" s="1" t="str">
        <f>VLOOKUP($E65,'Activity List CSI'!$D$4:$J$146,'Mat. List CSI'!G$1,0)</f>
        <v>03</v>
      </c>
      <c r="H65" s="1" t="str">
        <f>VLOOKUP($E65,'Activity List CSI'!$D$4:$J$146,'Mat. List CSI'!H$1,0)</f>
        <v>ConcreteWork</v>
      </c>
      <c r="I65" s="1" t="str">
        <f>VLOOKUP(D65,'Activity List CSI'!$C$4:$H$146,6,0)</f>
        <v>03300</v>
      </c>
      <c r="J65" s="1" t="str">
        <f>VLOOKUP($E65,'Activity List CSI'!$D$4:$J$146,'Mat. List CSI'!J$1,0)</f>
        <v>Cast-In-Place Concrete</v>
      </c>
      <c r="K65" s="1" t="s">
        <v>432</v>
      </c>
      <c r="L65" s="1">
        <v>135</v>
      </c>
      <c r="M65" s="1" t="str">
        <f t="shared" si="0"/>
        <v>03300135</v>
      </c>
      <c r="N65" s="12" t="str">
        <f t="shared" si="2"/>
        <v>03300135</v>
      </c>
    </row>
    <row r="66" spans="4:14" x14ac:dyDescent="0.25">
      <c r="D66" s="11" t="s">
        <v>85</v>
      </c>
      <c r="E66" s="134" t="str">
        <f>VLOOKUP(F66,'Activity List CSI'!$B$4:$D$146,3,0)</f>
        <v>03300-06</v>
      </c>
      <c r="F66" s="1" t="s">
        <v>86</v>
      </c>
      <c r="G66" s="1" t="str">
        <f>VLOOKUP($E66,'Activity List CSI'!$D$4:$J$146,'Mat. List CSI'!G$1,0)</f>
        <v>03</v>
      </c>
      <c r="H66" s="1" t="str">
        <f>VLOOKUP($E66,'Activity List CSI'!$D$4:$J$146,'Mat. List CSI'!H$1,0)</f>
        <v>ConcreteWork</v>
      </c>
      <c r="I66" s="1" t="str">
        <f>VLOOKUP(D66,'Activity List CSI'!$C$4:$H$146,6,0)</f>
        <v>03300</v>
      </c>
      <c r="J66" s="1" t="str">
        <f>VLOOKUP($E66,'Activity List CSI'!$D$4:$J$146,'Mat. List CSI'!J$1,0)</f>
        <v>Cast-In-Place Concrete</v>
      </c>
      <c r="K66" s="1" t="s">
        <v>428</v>
      </c>
      <c r="L66" s="1">
        <v>130</v>
      </c>
      <c r="M66" s="1" t="str">
        <f t="shared" si="0"/>
        <v>03300130</v>
      </c>
      <c r="N66" s="12" t="str">
        <f t="shared" si="2"/>
        <v>03300130</v>
      </c>
    </row>
    <row r="67" spans="4:14" x14ac:dyDescent="0.25">
      <c r="D67" s="11" t="s">
        <v>85</v>
      </c>
      <c r="E67" s="134" t="str">
        <f>VLOOKUP(F67,'Activity List CSI'!$B$4:$D$146,3,0)</f>
        <v>03300-06</v>
      </c>
      <c r="F67" s="1" t="s">
        <v>86</v>
      </c>
      <c r="G67" s="1" t="str">
        <f>VLOOKUP($E67,'Activity List CSI'!$D$4:$J$146,'Mat. List CSI'!G$1,0)</f>
        <v>03</v>
      </c>
      <c r="H67" s="1" t="str">
        <f>VLOOKUP($E67,'Activity List CSI'!$D$4:$J$146,'Mat. List CSI'!H$1,0)</f>
        <v>ConcreteWork</v>
      </c>
      <c r="I67" s="1" t="str">
        <f>VLOOKUP(D67,'Activity List CSI'!$C$4:$H$146,6,0)</f>
        <v>03300</v>
      </c>
      <c r="J67" s="1" t="str">
        <f>VLOOKUP($E67,'Activity List CSI'!$D$4:$J$146,'Mat. List CSI'!J$1,0)</f>
        <v>Cast-In-Place Concrete</v>
      </c>
      <c r="K67" s="1" t="s">
        <v>429</v>
      </c>
      <c r="L67" s="1">
        <v>105</v>
      </c>
      <c r="M67" s="1" t="str">
        <f t="shared" si="0"/>
        <v>03300105</v>
      </c>
      <c r="N67" s="12" t="str">
        <f t="shared" si="2"/>
        <v>03300105</v>
      </c>
    </row>
    <row r="68" spans="4:14" x14ac:dyDescent="0.25">
      <c r="D68" s="11" t="s">
        <v>85</v>
      </c>
      <c r="E68" s="134" t="str">
        <f>VLOOKUP(F68,'Activity List CSI'!$B$4:$D$146,3,0)</f>
        <v>03300-06</v>
      </c>
      <c r="F68" s="1" t="s">
        <v>86</v>
      </c>
      <c r="G68" s="1" t="str">
        <f>VLOOKUP($E68,'Activity List CSI'!$D$4:$J$146,'Mat. List CSI'!G$1,0)</f>
        <v>03</v>
      </c>
      <c r="H68" s="1" t="str">
        <f>VLOOKUP($E68,'Activity List CSI'!$D$4:$J$146,'Mat. List CSI'!H$1,0)</f>
        <v>ConcreteWork</v>
      </c>
      <c r="I68" s="1" t="str">
        <f>VLOOKUP(D68,'Activity List CSI'!$C$4:$H$146,6,0)</f>
        <v>03300</v>
      </c>
      <c r="J68" s="1" t="str">
        <f>VLOOKUP($E68,'Activity List CSI'!$D$4:$J$146,'Mat. List CSI'!J$1,0)</f>
        <v>Cast-In-Place Concrete</v>
      </c>
      <c r="K68" s="1" t="s">
        <v>430</v>
      </c>
      <c r="L68" s="1">
        <v>115</v>
      </c>
      <c r="M68" s="1" t="str">
        <f t="shared" ref="M68:M131" si="3">I68&amp;L68</f>
        <v>03300115</v>
      </c>
      <c r="N68" s="12" t="str">
        <f t="shared" si="2"/>
        <v>03300115</v>
      </c>
    </row>
    <row r="69" spans="4:14" x14ac:dyDescent="0.25">
      <c r="D69" s="11" t="s">
        <v>85</v>
      </c>
      <c r="E69" s="134" t="str">
        <f>VLOOKUP(F69,'Activity List CSI'!$B$4:$D$146,3,0)</f>
        <v>03300-06</v>
      </c>
      <c r="F69" s="1" t="s">
        <v>86</v>
      </c>
      <c r="G69" s="1" t="str">
        <f>VLOOKUP($E69,'Activity List CSI'!$D$4:$J$146,'Mat. List CSI'!G$1,0)</f>
        <v>03</v>
      </c>
      <c r="H69" s="1" t="str">
        <f>VLOOKUP($E69,'Activity List CSI'!$D$4:$J$146,'Mat. List CSI'!H$1,0)</f>
        <v>ConcreteWork</v>
      </c>
      <c r="I69" s="1" t="str">
        <f>VLOOKUP(D69,'Activity List CSI'!$C$4:$H$146,6,0)</f>
        <v>03300</v>
      </c>
      <c r="J69" s="1" t="str">
        <f>VLOOKUP($E69,'Activity List CSI'!$D$4:$J$146,'Mat. List CSI'!J$1,0)</f>
        <v>Cast-In-Place Concrete</v>
      </c>
      <c r="K69" s="1" t="s">
        <v>431</v>
      </c>
      <c r="L69" s="1">
        <v>110</v>
      </c>
      <c r="M69" s="1" t="str">
        <f t="shared" si="3"/>
        <v>03300110</v>
      </c>
      <c r="N69" s="12" t="str">
        <f t="shared" si="2"/>
        <v>03300110</v>
      </c>
    </row>
    <row r="70" spans="4:14" x14ac:dyDescent="0.25">
      <c r="D70" s="11" t="s">
        <v>85</v>
      </c>
      <c r="E70" s="134" t="str">
        <f>VLOOKUP(F70,'Activity List CSI'!$B$4:$D$146,3,0)</f>
        <v>03300-06</v>
      </c>
      <c r="F70" s="1" t="s">
        <v>86</v>
      </c>
      <c r="G70" s="1" t="str">
        <f>VLOOKUP($E70,'Activity List CSI'!$D$4:$J$146,'Mat. List CSI'!G$1,0)</f>
        <v>03</v>
      </c>
      <c r="H70" s="1" t="str">
        <f>VLOOKUP($E70,'Activity List CSI'!$D$4:$J$146,'Mat. List CSI'!H$1,0)</f>
        <v>ConcreteWork</v>
      </c>
      <c r="I70" s="1" t="str">
        <f>VLOOKUP(D70,'Activity List CSI'!$C$4:$H$146,6,0)</f>
        <v>03300</v>
      </c>
      <c r="J70" s="1" t="str">
        <f>VLOOKUP($E70,'Activity List CSI'!$D$4:$J$146,'Mat. List CSI'!J$1,0)</f>
        <v>Cast-In-Place Concrete</v>
      </c>
      <c r="K70" s="1" t="s">
        <v>432</v>
      </c>
      <c r="L70" s="1">
        <v>135</v>
      </c>
      <c r="M70" s="1" t="str">
        <f t="shared" si="3"/>
        <v>03300135</v>
      </c>
      <c r="N70" s="12" t="str">
        <f t="shared" si="2"/>
        <v>03300135</v>
      </c>
    </row>
    <row r="71" spans="4:14" x14ac:dyDescent="0.25">
      <c r="D71" s="11" t="s">
        <v>85</v>
      </c>
      <c r="E71" s="134" t="str">
        <f>VLOOKUP(F71,'Activity List CSI'!$B$4:$D$146,3,0)</f>
        <v>03300-06</v>
      </c>
      <c r="F71" s="1" t="s">
        <v>86</v>
      </c>
      <c r="G71" s="1" t="str">
        <f>VLOOKUP($E71,'Activity List CSI'!$D$4:$J$146,'Mat. List CSI'!G$1,0)</f>
        <v>03</v>
      </c>
      <c r="H71" s="1" t="str">
        <f>VLOOKUP($E71,'Activity List CSI'!$D$4:$J$146,'Mat. List CSI'!H$1,0)</f>
        <v>ConcreteWork</v>
      </c>
      <c r="I71" s="1" t="str">
        <f>VLOOKUP(D71,'Activity List CSI'!$C$4:$H$146,6,0)</f>
        <v>03300</v>
      </c>
      <c r="J71" s="1" t="str">
        <f>VLOOKUP($E71,'Activity List CSI'!$D$4:$J$146,'Mat. List CSI'!J$1,0)</f>
        <v>Cast-In-Place Concrete</v>
      </c>
      <c r="K71" s="1" t="s">
        <v>430</v>
      </c>
      <c r="L71" s="1">
        <v>115</v>
      </c>
      <c r="M71" s="1" t="str">
        <f t="shared" si="3"/>
        <v>03300115</v>
      </c>
      <c r="N71" s="12" t="str">
        <f t="shared" si="2"/>
        <v>03300115</v>
      </c>
    </row>
    <row r="72" spans="4:14" x14ac:dyDescent="0.25">
      <c r="D72" s="11" t="s">
        <v>85</v>
      </c>
      <c r="E72" s="134" t="str">
        <f>VLOOKUP(F72,'Activity List CSI'!$B$4:$D$146,3,0)</f>
        <v>03300-06</v>
      </c>
      <c r="F72" s="1" t="s">
        <v>86</v>
      </c>
      <c r="G72" s="1" t="str">
        <f>VLOOKUP($E72,'Activity List CSI'!$D$4:$J$146,'Mat. List CSI'!G$1,0)</f>
        <v>03</v>
      </c>
      <c r="H72" s="1" t="str">
        <f>VLOOKUP($E72,'Activity List CSI'!$D$4:$J$146,'Mat. List CSI'!H$1,0)</f>
        <v>ConcreteWork</v>
      </c>
      <c r="I72" s="1" t="str">
        <f>VLOOKUP(D72,'Activity List CSI'!$C$4:$H$146,6,0)</f>
        <v>03300</v>
      </c>
      <c r="J72" s="1" t="str">
        <f>VLOOKUP($E72,'Activity List CSI'!$D$4:$J$146,'Mat. List CSI'!J$1,0)</f>
        <v>Cast-In-Place Concrete</v>
      </c>
      <c r="K72" s="1" t="s">
        <v>431</v>
      </c>
      <c r="L72" s="1">
        <v>110</v>
      </c>
      <c r="M72" s="1" t="str">
        <f t="shared" si="3"/>
        <v>03300110</v>
      </c>
      <c r="N72" s="12" t="str">
        <f t="shared" si="2"/>
        <v>03300110</v>
      </c>
    </row>
    <row r="73" spans="4:14" x14ac:dyDescent="0.25">
      <c r="D73" s="11" t="s">
        <v>85</v>
      </c>
      <c r="E73" s="134" t="str">
        <f>VLOOKUP(F73,'Activity List CSI'!$B$4:$D$146,3,0)</f>
        <v>03300-06</v>
      </c>
      <c r="F73" s="1" t="s">
        <v>86</v>
      </c>
      <c r="G73" s="1" t="str">
        <f>VLOOKUP($E73,'Activity List CSI'!$D$4:$J$146,'Mat. List CSI'!G$1,0)</f>
        <v>03</v>
      </c>
      <c r="H73" s="1" t="str">
        <f>VLOOKUP($E73,'Activity List CSI'!$D$4:$J$146,'Mat. List CSI'!H$1,0)</f>
        <v>ConcreteWork</v>
      </c>
      <c r="I73" s="1" t="str">
        <f>VLOOKUP(D73,'Activity List CSI'!$C$4:$H$146,6,0)</f>
        <v>03300</v>
      </c>
      <c r="J73" s="1" t="str">
        <f>VLOOKUP($E73,'Activity List CSI'!$D$4:$J$146,'Mat. List CSI'!J$1,0)</f>
        <v>Cast-In-Place Concrete</v>
      </c>
      <c r="K73" s="1" t="s">
        <v>432</v>
      </c>
      <c r="L73" s="1">
        <v>135</v>
      </c>
      <c r="M73" s="1" t="str">
        <f t="shared" si="3"/>
        <v>03300135</v>
      </c>
      <c r="N73" s="12" t="str">
        <f t="shared" si="2"/>
        <v>03300135</v>
      </c>
    </row>
    <row r="74" spans="4:14" x14ac:dyDescent="0.25">
      <c r="D74" s="11" t="s">
        <v>87</v>
      </c>
      <c r="E74" s="134" t="str">
        <f>VLOOKUP(F74,'Activity List CSI'!$B$4:$D$146,3,0)</f>
        <v>03300-07</v>
      </c>
      <c r="F74" s="1" t="s">
        <v>88</v>
      </c>
      <c r="G74" s="1" t="str">
        <f>VLOOKUP($E74,'Activity List CSI'!$D$4:$J$146,'Mat. List CSI'!G$1,0)</f>
        <v>03</v>
      </c>
      <c r="H74" s="1" t="str">
        <f>VLOOKUP($E74,'Activity List CSI'!$D$4:$J$146,'Mat. List CSI'!H$1,0)</f>
        <v>ConcreteWork</v>
      </c>
      <c r="I74" s="1" t="str">
        <f>VLOOKUP(D74,'Activity List CSI'!$C$4:$H$146,6,0)</f>
        <v>03300</v>
      </c>
      <c r="J74" s="1" t="str">
        <f>VLOOKUP($E74,'Activity List CSI'!$D$4:$J$146,'Mat. List CSI'!J$1,0)</f>
        <v>Cast-In-Place Concrete</v>
      </c>
      <c r="K74" s="1" t="s">
        <v>428</v>
      </c>
      <c r="L74" s="1">
        <v>130</v>
      </c>
      <c r="M74" s="1" t="str">
        <f t="shared" si="3"/>
        <v>03300130</v>
      </c>
      <c r="N74" s="12" t="str">
        <f t="shared" si="2"/>
        <v>03300130</v>
      </c>
    </row>
    <row r="75" spans="4:14" x14ac:dyDescent="0.25">
      <c r="D75" s="11" t="s">
        <v>87</v>
      </c>
      <c r="E75" s="134" t="str">
        <f>VLOOKUP(F75,'Activity List CSI'!$B$4:$D$146,3,0)</f>
        <v>03300-07</v>
      </c>
      <c r="F75" s="1" t="s">
        <v>88</v>
      </c>
      <c r="G75" s="1" t="str">
        <f>VLOOKUP($E75,'Activity List CSI'!$D$4:$J$146,'Mat. List CSI'!G$1,0)</f>
        <v>03</v>
      </c>
      <c r="H75" s="1" t="str">
        <f>VLOOKUP($E75,'Activity List CSI'!$D$4:$J$146,'Mat. List CSI'!H$1,0)</f>
        <v>ConcreteWork</v>
      </c>
      <c r="I75" s="1" t="str">
        <f>VLOOKUP(D75,'Activity List CSI'!$C$4:$H$146,6,0)</f>
        <v>03300</v>
      </c>
      <c r="J75" s="1" t="str">
        <f>VLOOKUP($E75,'Activity List CSI'!$D$4:$J$146,'Mat. List CSI'!J$1,0)</f>
        <v>Cast-In-Place Concrete</v>
      </c>
      <c r="K75" s="1" t="s">
        <v>429</v>
      </c>
      <c r="L75" s="1">
        <v>105</v>
      </c>
      <c r="M75" s="1" t="str">
        <f t="shared" si="3"/>
        <v>03300105</v>
      </c>
      <c r="N75" s="12" t="str">
        <f t="shared" si="2"/>
        <v>03300105</v>
      </c>
    </row>
    <row r="76" spans="4:14" x14ac:dyDescent="0.25">
      <c r="D76" s="11" t="s">
        <v>87</v>
      </c>
      <c r="E76" s="134" t="str">
        <f>VLOOKUP(F76,'Activity List CSI'!$B$4:$D$146,3,0)</f>
        <v>03300-07</v>
      </c>
      <c r="F76" s="1" t="s">
        <v>88</v>
      </c>
      <c r="G76" s="1" t="str">
        <f>VLOOKUP($E76,'Activity List CSI'!$D$4:$J$146,'Mat. List CSI'!G$1,0)</f>
        <v>03</v>
      </c>
      <c r="H76" s="1" t="str">
        <f>VLOOKUP($E76,'Activity List CSI'!$D$4:$J$146,'Mat. List CSI'!H$1,0)</f>
        <v>ConcreteWork</v>
      </c>
      <c r="I76" s="1" t="str">
        <f>VLOOKUP(D76,'Activity List CSI'!$C$4:$H$146,6,0)</f>
        <v>03300</v>
      </c>
      <c r="J76" s="1" t="str">
        <f>VLOOKUP($E76,'Activity List CSI'!$D$4:$J$146,'Mat. List CSI'!J$1,0)</f>
        <v>Cast-In-Place Concrete</v>
      </c>
      <c r="K76" s="1" t="s">
        <v>430</v>
      </c>
      <c r="L76" s="1">
        <v>115</v>
      </c>
      <c r="M76" s="1" t="str">
        <f t="shared" si="3"/>
        <v>03300115</v>
      </c>
      <c r="N76" s="12" t="str">
        <f t="shared" si="2"/>
        <v>03300115</v>
      </c>
    </row>
    <row r="77" spans="4:14" x14ac:dyDescent="0.25">
      <c r="D77" s="11" t="s">
        <v>87</v>
      </c>
      <c r="E77" s="134" t="str">
        <f>VLOOKUP(F77,'Activity List CSI'!$B$4:$D$146,3,0)</f>
        <v>03300-07</v>
      </c>
      <c r="F77" s="1" t="s">
        <v>88</v>
      </c>
      <c r="G77" s="1" t="str">
        <f>VLOOKUP($E77,'Activity List CSI'!$D$4:$J$146,'Mat. List CSI'!G$1,0)</f>
        <v>03</v>
      </c>
      <c r="H77" s="1" t="str">
        <f>VLOOKUP($E77,'Activity List CSI'!$D$4:$J$146,'Mat. List CSI'!H$1,0)</f>
        <v>ConcreteWork</v>
      </c>
      <c r="I77" s="1" t="str">
        <f>VLOOKUP(D77,'Activity List CSI'!$C$4:$H$146,6,0)</f>
        <v>03300</v>
      </c>
      <c r="J77" s="1" t="str">
        <f>VLOOKUP($E77,'Activity List CSI'!$D$4:$J$146,'Mat. List CSI'!J$1,0)</f>
        <v>Cast-In-Place Concrete</v>
      </c>
      <c r="K77" s="1" t="s">
        <v>431</v>
      </c>
      <c r="L77" s="1">
        <v>110</v>
      </c>
      <c r="M77" s="1" t="str">
        <f t="shared" si="3"/>
        <v>03300110</v>
      </c>
      <c r="N77" s="12" t="str">
        <f t="shared" si="2"/>
        <v>03300110</v>
      </c>
    </row>
    <row r="78" spans="4:14" x14ac:dyDescent="0.25">
      <c r="D78" s="11" t="s">
        <v>87</v>
      </c>
      <c r="E78" s="134" t="str">
        <f>VLOOKUP(F78,'Activity List CSI'!$B$4:$D$146,3,0)</f>
        <v>03300-07</v>
      </c>
      <c r="F78" s="1" t="s">
        <v>88</v>
      </c>
      <c r="G78" s="1" t="str">
        <f>VLOOKUP($E78,'Activity List CSI'!$D$4:$J$146,'Mat. List CSI'!G$1,0)</f>
        <v>03</v>
      </c>
      <c r="H78" s="1" t="str">
        <f>VLOOKUP($E78,'Activity List CSI'!$D$4:$J$146,'Mat. List CSI'!H$1,0)</f>
        <v>ConcreteWork</v>
      </c>
      <c r="I78" s="1" t="str">
        <f>VLOOKUP(D78,'Activity List CSI'!$C$4:$H$146,6,0)</f>
        <v>03300</v>
      </c>
      <c r="J78" s="1" t="str">
        <f>VLOOKUP($E78,'Activity List CSI'!$D$4:$J$146,'Mat. List CSI'!J$1,0)</f>
        <v>Cast-In-Place Concrete</v>
      </c>
      <c r="K78" s="1" t="s">
        <v>432</v>
      </c>
      <c r="L78" s="1">
        <v>135</v>
      </c>
      <c r="M78" s="1" t="str">
        <f t="shared" si="3"/>
        <v>03300135</v>
      </c>
      <c r="N78" s="12" t="str">
        <f t="shared" ref="N78:N141" si="4">M78</f>
        <v>03300135</v>
      </c>
    </row>
    <row r="79" spans="4:14" x14ac:dyDescent="0.25">
      <c r="D79" s="11" t="s">
        <v>87</v>
      </c>
      <c r="E79" s="134" t="str">
        <f>VLOOKUP(F79,'Activity List CSI'!$B$4:$D$146,3,0)</f>
        <v>03300-07</v>
      </c>
      <c r="F79" s="1" t="s">
        <v>88</v>
      </c>
      <c r="G79" s="1" t="str">
        <f>VLOOKUP($E79,'Activity List CSI'!$D$4:$J$146,'Mat. List CSI'!G$1,0)</f>
        <v>03</v>
      </c>
      <c r="H79" s="1" t="str">
        <f>VLOOKUP($E79,'Activity List CSI'!$D$4:$J$146,'Mat. List CSI'!H$1,0)</f>
        <v>ConcreteWork</v>
      </c>
      <c r="I79" s="1" t="str">
        <f>VLOOKUP(D79,'Activity List CSI'!$C$4:$H$146,6,0)</f>
        <v>03300</v>
      </c>
      <c r="J79" s="1" t="str">
        <f>VLOOKUP($E79,'Activity List CSI'!$D$4:$J$146,'Mat. List CSI'!J$1,0)</f>
        <v>Cast-In-Place Concrete</v>
      </c>
      <c r="K79" s="1" t="s">
        <v>430</v>
      </c>
      <c r="L79" s="1">
        <v>115</v>
      </c>
      <c r="M79" s="1" t="str">
        <f t="shared" si="3"/>
        <v>03300115</v>
      </c>
      <c r="N79" s="12" t="str">
        <f t="shared" si="4"/>
        <v>03300115</v>
      </c>
    </row>
    <row r="80" spans="4:14" x14ac:dyDescent="0.25">
      <c r="D80" s="11" t="s">
        <v>87</v>
      </c>
      <c r="E80" s="134" t="str">
        <f>VLOOKUP(F80,'Activity List CSI'!$B$4:$D$146,3,0)</f>
        <v>03300-07</v>
      </c>
      <c r="F80" s="1" t="s">
        <v>88</v>
      </c>
      <c r="G80" s="1" t="str">
        <f>VLOOKUP($E80,'Activity List CSI'!$D$4:$J$146,'Mat. List CSI'!G$1,0)</f>
        <v>03</v>
      </c>
      <c r="H80" s="1" t="str">
        <f>VLOOKUP($E80,'Activity List CSI'!$D$4:$J$146,'Mat. List CSI'!H$1,0)</f>
        <v>ConcreteWork</v>
      </c>
      <c r="I80" s="1" t="str">
        <f>VLOOKUP(D80,'Activity List CSI'!$C$4:$H$146,6,0)</f>
        <v>03300</v>
      </c>
      <c r="J80" s="1" t="str">
        <f>VLOOKUP($E80,'Activity List CSI'!$D$4:$J$146,'Mat. List CSI'!J$1,0)</f>
        <v>Cast-In-Place Concrete</v>
      </c>
      <c r="K80" s="1" t="s">
        <v>431</v>
      </c>
      <c r="L80" s="1">
        <v>110</v>
      </c>
      <c r="M80" s="1" t="str">
        <f t="shared" si="3"/>
        <v>03300110</v>
      </c>
      <c r="N80" s="12" t="str">
        <f t="shared" si="4"/>
        <v>03300110</v>
      </c>
    </row>
    <row r="81" spans="4:14" x14ac:dyDescent="0.25">
      <c r="D81" s="11" t="s">
        <v>87</v>
      </c>
      <c r="E81" s="134" t="str">
        <f>VLOOKUP(F81,'Activity List CSI'!$B$4:$D$146,3,0)</f>
        <v>03300-07</v>
      </c>
      <c r="F81" s="1" t="s">
        <v>88</v>
      </c>
      <c r="G81" s="1" t="str">
        <f>VLOOKUP($E81,'Activity List CSI'!$D$4:$J$146,'Mat. List CSI'!G$1,0)</f>
        <v>03</v>
      </c>
      <c r="H81" s="1" t="str">
        <f>VLOOKUP($E81,'Activity List CSI'!$D$4:$J$146,'Mat. List CSI'!H$1,0)</f>
        <v>ConcreteWork</v>
      </c>
      <c r="I81" s="1" t="str">
        <f>VLOOKUP(D81,'Activity List CSI'!$C$4:$H$146,6,0)</f>
        <v>03300</v>
      </c>
      <c r="J81" s="1" t="str">
        <f>VLOOKUP($E81,'Activity List CSI'!$D$4:$J$146,'Mat. List CSI'!J$1,0)</f>
        <v>Cast-In-Place Concrete</v>
      </c>
      <c r="K81" s="1" t="s">
        <v>432</v>
      </c>
      <c r="L81" s="1">
        <v>135</v>
      </c>
      <c r="M81" s="1" t="str">
        <f t="shared" si="3"/>
        <v>03300135</v>
      </c>
      <c r="N81" s="12" t="str">
        <f t="shared" si="4"/>
        <v>03300135</v>
      </c>
    </row>
    <row r="82" spans="4:14" x14ac:dyDescent="0.25">
      <c r="D82" s="11" t="s">
        <v>89</v>
      </c>
      <c r="E82" s="134" t="str">
        <f>VLOOKUP(F82,'Activity List CSI'!$B$4:$D$146,3,0)</f>
        <v>03300-08</v>
      </c>
      <c r="F82" s="1" t="s">
        <v>90</v>
      </c>
      <c r="G82" s="1" t="str">
        <f>VLOOKUP($E82,'Activity List CSI'!$D$4:$J$146,'Mat. List CSI'!G$1,0)</f>
        <v>03</v>
      </c>
      <c r="H82" s="1" t="str">
        <f>VLOOKUP($E82,'Activity List CSI'!$D$4:$J$146,'Mat. List CSI'!H$1,0)</f>
        <v>ConcreteWork</v>
      </c>
      <c r="I82" s="1" t="str">
        <f>VLOOKUP(D82,'Activity List CSI'!$C$4:$H$146,6,0)</f>
        <v>03300</v>
      </c>
      <c r="J82" s="1" t="str">
        <f>VLOOKUP($E82,'Activity List CSI'!$D$4:$J$146,'Mat. List CSI'!J$1,0)</f>
        <v>Cast-In-Place Concrete</v>
      </c>
      <c r="K82" s="1" t="s">
        <v>428</v>
      </c>
      <c r="L82" s="1">
        <v>130</v>
      </c>
      <c r="M82" s="1" t="str">
        <f t="shared" si="3"/>
        <v>03300130</v>
      </c>
      <c r="N82" s="12" t="str">
        <f t="shared" si="4"/>
        <v>03300130</v>
      </c>
    </row>
    <row r="83" spans="4:14" x14ac:dyDescent="0.25">
      <c r="D83" s="11" t="s">
        <v>89</v>
      </c>
      <c r="E83" s="134" t="str">
        <f>VLOOKUP(F83,'Activity List CSI'!$B$4:$D$146,3,0)</f>
        <v>03300-08</v>
      </c>
      <c r="F83" s="1" t="s">
        <v>90</v>
      </c>
      <c r="G83" s="1" t="str">
        <f>VLOOKUP($E83,'Activity List CSI'!$D$4:$J$146,'Mat. List CSI'!G$1,0)</f>
        <v>03</v>
      </c>
      <c r="H83" s="1" t="str">
        <f>VLOOKUP($E83,'Activity List CSI'!$D$4:$J$146,'Mat. List CSI'!H$1,0)</f>
        <v>ConcreteWork</v>
      </c>
      <c r="I83" s="1" t="str">
        <f>VLOOKUP(D83,'Activity List CSI'!$C$4:$H$146,6,0)</f>
        <v>03300</v>
      </c>
      <c r="J83" s="1" t="str">
        <f>VLOOKUP($E83,'Activity List CSI'!$D$4:$J$146,'Mat. List CSI'!J$1,0)</f>
        <v>Cast-In-Place Concrete</v>
      </c>
      <c r="K83" s="1" t="s">
        <v>429</v>
      </c>
      <c r="L83" s="1">
        <v>105</v>
      </c>
      <c r="M83" s="1" t="str">
        <f t="shared" si="3"/>
        <v>03300105</v>
      </c>
      <c r="N83" s="12" t="str">
        <f t="shared" si="4"/>
        <v>03300105</v>
      </c>
    </row>
    <row r="84" spans="4:14" x14ac:dyDescent="0.25">
      <c r="D84" s="11" t="s">
        <v>89</v>
      </c>
      <c r="E84" s="134" t="str">
        <f>VLOOKUP(F84,'Activity List CSI'!$B$4:$D$146,3,0)</f>
        <v>03300-08</v>
      </c>
      <c r="F84" s="1" t="s">
        <v>90</v>
      </c>
      <c r="G84" s="1" t="str">
        <f>VLOOKUP($E84,'Activity List CSI'!$D$4:$J$146,'Mat. List CSI'!G$1,0)</f>
        <v>03</v>
      </c>
      <c r="H84" s="1" t="str">
        <f>VLOOKUP($E84,'Activity List CSI'!$D$4:$J$146,'Mat. List CSI'!H$1,0)</f>
        <v>ConcreteWork</v>
      </c>
      <c r="I84" s="1" t="str">
        <f>VLOOKUP(D84,'Activity List CSI'!$C$4:$H$146,6,0)</f>
        <v>03300</v>
      </c>
      <c r="J84" s="1" t="str">
        <f>VLOOKUP($E84,'Activity List CSI'!$D$4:$J$146,'Mat. List CSI'!J$1,0)</f>
        <v>Cast-In-Place Concrete</v>
      </c>
      <c r="K84" s="1" t="s">
        <v>430</v>
      </c>
      <c r="L84" s="1">
        <v>115</v>
      </c>
      <c r="M84" s="1" t="str">
        <f t="shared" si="3"/>
        <v>03300115</v>
      </c>
      <c r="N84" s="12" t="str">
        <f t="shared" si="4"/>
        <v>03300115</v>
      </c>
    </row>
    <row r="85" spans="4:14" x14ac:dyDescent="0.25">
      <c r="D85" s="11" t="s">
        <v>89</v>
      </c>
      <c r="E85" s="134" t="str">
        <f>VLOOKUP(F85,'Activity List CSI'!$B$4:$D$146,3,0)</f>
        <v>03300-08</v>
      </c>
      <c r="F85" s="1" t="s">
        <v>90</v>
      </c>
      <c r="G85" s="1" t="str">
        <f>VLOOKUP($E85,'Activity List CSI'!$D$4:$J$146,'Mat. List CSI'!G$1,0)</f>
        <v>03</v>
      </c>
      <c r="H85" s="1" t="str">
        <f>VLOOKUP($E85,'Activity List CSI'!$D$4:$J$146,'Mat. List CSI'!H$1,0)</f>
        <v>ConcreteWork</v>
      </c>
      <c r="I85" s="1" t="str">
        <f>VLOOKUP(D85,'Activity List CSI'!$C$4:$H$146,6,0)</f>
        <v>03300</v>
      </c>
      <c r="J85" s="1" t="str">
        <f>VLOOKUP($E85,'Activity List CSI'!$D$4:$J$146,'Mat. List CSI'!J$1,0)</f>
        <v>Cast-In-Place Concrete</v>
      </c>
      <c r="K85" s="1" t="s">
        <v>431</v>
      </c>
      <c r="L85" s="1">
        <v>110</v>
      </c>
      <c r="M85" s="1" t="str">
        <f t="shared" si="3"/>
        <v>03300110</v>
      </c>
      <c r="N85" s="12" t="str">
        <f t="shared" si="4"/>
        <v>03300110</v>
      </c>
    </row>
    <row r="86" spans="4:14" x14ac:dyDescent="0.25">
      <c r="D86" s="11" t="s">
        <v>89</v>
      </c>
      <c r="E86" s="134" t="str">
        <f>VLOOKUP(F86,'Activity List CSI'!$B$4:$D$146,3,0)</f>
        <v>03300-08</v>
      </c>
      <c r="F86" s="1" t="s">
        <v>90</v>
      </c>
      <c r="G86" s="1" t="str">
        <f>VLOOKUP($E86,'Activity List CSI'!$D$4:$J$146,'Mat. List CSI'!G$1,0)</f>
        <v>03</v>
      </c>
      <c r="H86" s="1" t="str">
        <f>VLOOKUP($E86,'Activity List CSI'!$D$4:$J$146,'Mat. List CSI'!H$1,0)</f>
        <v>ConcreteWork</v>
      </c>
      <c r="I86" s="1" t="str">
        <f>VLOOKUP(D86,'Activity List CSI'!$C$4:$H$146,6,0)</f>
        <v>03300</v>
      </c>
      <c r="J86" s="1" t="str">
        <f>VLOOKUP($E86,'Activity List CSI'!$D$4:$J$146,'Mat. List CSI'!J$1,0)</f>
        <v>Cast-In-Place Concrete</v>
      </c>
      <c r="K86" s="1" t="s">
        <v>432</v>
      </c>
      <c r="L86" s="1">
        <v>135</v>
      </c>
      <c r="M86" s="1" t="str">
        <f t="shared" si="3"/>
        <v>03300135</v>
      </c>
      <c r="N86" s="12" t="str">
        <f t="shared" si="4"/>
        <v>03300135</v>
      </c>
    </row>
    <row r="87" spans="4:14" x14ac:dyDescent="0.25">
      <c r="D87" s="11" t="s">
        <v>89</v>
      </c>
      <c r="E87" s="134" t="str">
        <f>VLOOKUP(F87,'Activity List CSI'!$B$4:$D$146,3,0)</f>
        <v>03300-08</v>
      </c>
      <c r="F87" s="1" t="s">
        <v>90</v>
      </c>
      <c r="G87" s="1" t="str">
        <f>VLOOKUP($E87,'Activity List CSI'!$D$4:$J$146,'Mat. List CSI'!G$1,0)</f>
        <v>03</v>
      </c>
      <c r="H87" s="1" t="str">
        <f>VLOOKUP($E87,'Activity List CSI'!$D$4:$J$146,'Mat. List CSI'!H$1,0)</f>
        <v>ConcreteWork</v>
      </c>
      <c r="I87" s="1" t="str">
        <f>VLOOKUP(D87,'Activity List CSI'!$C$4:$H$146,6,0)</f>
        <v>03300</v>
      </c>
      <c r="J87" s="1" t="str">
        <f>VLOOKUP($E87,'Activity List CSI'!$D$4:$J$146,'Mat. List CSI'!J$1,0)</f>
        <v>Cast-In-Place Concrete</v>
      </c>
      <c r="K87" s="1" t="s">
        <v>430</v>
      </c>
      <c r="L87" s="1">
        <v>115</v>
      </c>
      <c r="M87" s="1" t="str">
        <f t="shared" si="3"/>
        <v>03300115</v>
      </c>
      <c r="N87" s="12" t="str">
        <f t="shared" si="4"/>
        <v>03300115</v>
      </c>
    </row>
    <row r="88" spans="4:14" x14ac:dyDescent="0.25">
      <c r="D88" s="11" t="s">
        <v>89</v>
      </c>
      <c r="E88" s="134" t="str">
        <f>VLOOKUP(F88,'Activity List CSI'!$B$4:$D$146,3,0)</f>
        <v>03300-08</v>
      </c>
      <c r="F88" s="1" t="s">
        <v>90</v>
      </c>
      <c r="G88" s="1" t="str">
        <f>VLOOKUP($E88,'Activity List CSI'!$D$4:$J$146,'Mat. List CSI'!G$1,0)</f>
        <v>03</v>
      </c>
      <c r="H88" s="1" t="str">
        <f>VLOOKUP($E88,'Activity List CSI'!$D$4:$J$146,'Mat. List CSI'!H$1,0)</f>
        <v>ConcreteWork</v>
      </c>
      <c r="I88" s="1" t="str">
        <f>VLOOKUP(D88,'Activity List CSI'!$C$4:$H$146,6,0)</f>
        <v>03300</v>
      </c>
      <c r="J88" s="1" t="str">
        <f>VLOOKUP($E88,'Activity List CSI'!$D$4:$J$146,'Mat. List CSI'!J$1,0)</f>
        <v>Cast-In-Place Concrete</v>
      </c>
      <c r="K88" s="1" t="s">
        <v>431</v>
      </c>
      <c r="L88" s="1">
        <v>110</v>
      </c>
      <c r="M88" s="1" t="str">
        <f t="shared" si="3"/>
        <v>03300110</v>
      </c>
      <c r="N88" s="12" t="str">
        <f t="shared" si="4"/>
        <v>03300110</v>
      </c>
    </row>
    <row r="89" spans="4:14" x14ac:dyDescent="0.25">
      <c r="D89" s="11" t="s">
        <v>89</v>
      </c>
      <c r="E89" s="134" t="str">
        <f>VLOOKUP(F89,'Activity List CSI'!$B$4:$D$146,3,0)</f>
        <v>03300-08</v>
      </c>
      <c r="F89" s="1" t="s">
        <v>90</v>
      </c>
      <c r="G89" s="1" t="str">
        <f>VLOOKUP($E89,'Activity List CSI'!$D$4:$J$146,'Mat. List CSI'!G$1,0)</f>
        <v>03</v>
      </c>
      <c r="H89" s="1" t="str">
        <f>VLOOKUP($E89,'Activity List CSI'!$D$4:$J$146,'Mat. List CSI'!H$1,0)</f>
        <v>ConcreteWork</v>
      </c>
      <c r="I89" s="1" t="str">
        <f>VLOOKUP(D89,'Activity List CSI'!$C$4:$H$146,6,0)</f>
        <v>03300</v>
      </c>
      <c r="J89" s="1" t="str">
        <f>VLOOKUP($E89,'Activity List CSI'!$D$4:$J$146,'Mat. List CSI'!J$1,0)</f>
        <v>Cast-In-Place Concrete</v>
      </c>
      <c r="K89" s="1" t="s">
        <v>432</v>
      </c>
      <c r="L89" s="1">
        <v>135</v>
      </c>
      <c r="M89" s="1" t="str">
        <f t="shared" si="3"/>
        <v>03300135</v>
      </c>
      <c r="N89" s="12" t="str">
        <f t="shared" si="4"/>
        <v>03300135</v>
      </c>
    </row>
    <row r="90" spans="4:14" x14ac:dyDescent="0.25">
      <c r="D90" s="11" t="s">
        <v>91</v>
      </c>
      <c r="E90" s="134" t="str">
        <f>VLOOKUP(F90,'Activity List CSI'!$B$4:$D$146,3,0)</f>
        <v>03300-09</v>
      </c>
      <c r="F90" s="1" t="s">
        <v>92</v>
      </c>
      <c r="G90" s="1" t="str">
        <f>VLOOKUP($E90,'Activity List CSI'!$D$4:$J$146,'Mat. List CSI'!G$1,0)</f>
        <v>03</v>
      </c>
      <c r="H90" s="1" t="str">
        <f>VLOOKUP($E90,'Activity List CSI'!$D$4:$J$146,'Mat. List CSI'!H$1,0)</f>
        <v>ConcreteWork</v>
      </c>
      <c r="I90" s="1" t="str">
        <f>VLOOKUP(D90,'Activity List CSI'!$C$4:$H$146,6,0)</f>
        <v>03300</v>
      </c>
      <c r="J90" s="1" t="str">
        <f>VLOOKUP($E90,'Activity List CSI'!$D$4:$J$146,'Mat. List CSI'!J$1,0)</f>
        <v>Cast-In-Place Concrete</v>
      </c>
      <c r="K90" s="1" t="s">
        <v>428</v>
      </c>
      <c r="L90" s="1">
        <v>130</v>
      </c>
      <c r="M90" s="1" t="str">
        <f t="shared" si="3"/>
        <v>03300130</v>
      </c>
      <c r="N90" s="12" t="str">
        <f t="shared" si="4"/>
        <v>03300130</v>
      </c>
    </row>
    <row r="91" spans="4:14" x14ac:dyDescent="0.25">
      <c r="D91" s="11" t="s">
        <v>91</v>
      </c>
      <c r="E91" s="134" t="str">
        <f>VLOOKUP(F91,'Activity List CSI'!$B$4:$D$146,3,0)</f>
        <v>03300-09</v>
      </c>
      <c r="F91" s="1" t="s">
        <v>92</v>
      </c>
      <c r="G91" s="1" t="str">
        <f>VLOOKUP($E91,'Activity List CSI'!$D$4:$J$146,'Mat. List CSI'!G$1,0)</f>
        <v>03</v>
      </c>
      <c r="H91" s="1" t="str">
        <f>VLOOKUP($E91,'Activity List CSI'!$D$4:$J$146,'Mat. List CSI'!H$1,0)</f>
        <v>ConcreteWork</v>
      </c>
      <c r="I91" s="1" t="str">
        <f>VLOOKUP(D91,'Activity List CSI'!$C$4:$H$146,6,0)</f>
        <v>03300</v>
      </c>
      <c r="J91" s="1" t="str">
        <f>VLOOKUP($E91,'Activity List CSI'!$D$4:$J$146,'Mat. List CSI'!J$1,0)</f>
        <v>Cast-In-Place Concrete</v>
      </c>
      <c r="K91" s="1" t="s">
        <v>429</v>
      </c>
      <c r="L91" s="1">
        <v>105</v>
      </c>
      <c r="M91" s="1" t="str">
        <f t="shared" si="3"/>
        <v>03300105</v>
      </c>
      <c r="N91" s="12" t="str">
        <f t="shared" si="4"/>
        <v>03300105</v>
      </c>
    </row>
    <row r="92" spans="4:14" x14ac:dyDescent="0.25">
      <c r="D92" s="11" t="s">
        <v>91</v>
      </c>
      <c r="E92" s="134" t="str">
        <f>VLOOKUP(F92,'Activity List CSI'!$B$4:$D$146,3,0)</f>
        <v>03300-09</v>
      </c>
      <c r="F92" s="1" t="s">
        <v>92</v>
      </c>
      <c r="G92" s="1" t="str">
        <f>VLOOKUP($E92,'Activity List CSI'!$D$4:$J$146,'Mat. List CSI'!G$1,0)</f>
        <v>03</v>
      </c>
      <c r="H92" s="1" t="str">
        <f>VLOOKUP($E92,'Activity List CSI'!$D$4:$J$146,'Mat. List CSI'!H$1,0)</f>
        <v>ConcreteWork</v>
      </c>
      <c r="I92" s="1" t="str">
        <f>VLOOKUP(D92,'Activity List CSI'!$C$4:$H$146,6,0)</f>
        <v>03300</v>
      </c>
      <c r="J92" s="1" t="str">
        <f>VLOOKUP($E92,'Activity List CSI'!$D$4:$J$146,'Mat. List CSI'!J$1,0)</f>
        <v>Cast-In-Place Concrete</v>
      </c>
      <c r="K92" s="1" t="s">
        <v>430</v>
      </c>
      <c r="L92" s="1">
        <v>115</v>
      </c>
      <c r="M92" s="1" t="str">
        <f t="shared" si="3"/>
        <v>03300115</v>
      </c>
      <c r="N92" s="12" t="str">
        <f t="shared" si="4"/>
        <v>03300115</v>
      </c>
    </row>
    <row r="93" spans="4:14" x14ac:dyDescent="0.25">
      <c r="D93" s="11" t="s">
        <v>91</v>
      </c>
      <c r="E93" s="134" t="str">
        <f>VLOOKUP(F93,'Activity List CSI'!$B$4:$D$146,3,0)</f>
        <v>03300-09</v>
      </c>
      <c r="F93" s="1" t="s">
        <v>92</v>
      </c>
      <c r="G93" s="1" t="str">
        <f>VLOOKUP($E93,'Activity List CSI'!$D$4:$J$146,'Mat. List CSI'!G$1,0)</f>
        <v>03</v>
      </c>
      <c r="H93" s="1" t="str">
        <f>VLOOKUP($E93,'Activity List CSI'!$D$4:$J$146,'Mat. List CSI'!H$1,0)</f>
        <v>ConcreteWork</v>
      </c>
      <c r="I93" s="1" t="str">
        <f>VLOOKUP(D93,'Activity List CSI'!$C$4:$H$146,6,0)</f>
        <v>03300</v>
      </c>
      <c r="J93" s="1" t="str">
        <f>VLOOKUP($E93,'Activity List CSI'!$D$4:$J$146,'Mat. List CSI'!J$1,0)</f>
        <v>Cast-In-Place Concrete</v>
      </c>
      <c r="K93" s="1" t="s">
        <v>431</v>
      </c>
      <c r="L93" s="1">
        <v>110</v>
      </c>
      <c r="M93" s="1" t="str">
        <f t="shared" si="3"/>
        <v>03300110</v>
      </c>
      <c r="N93" s="12" t="str">
        <f t="shared" si="4"/>
        <v>03300110</v>
      </c>
    </row>
    <row r="94" spans="4:14" x14ac:dyDescent="0.25">
      <c r="D94" s="11" t="s">
        <v>91</v>
      </c>
      <c r="E94" s="134" t="str">
        <f>VLOOKUP(F94,'Activity List CSI'!$B$4:$D$146,3,0)</f>
        <v>03300-09</v>
      </c>
      <c r="F94" s="1" t="s">
        <v>92</v>
      </c>
      <c r="G94" s="1" t="str">
        <f>VLOOKUP($E94,'Activity List CSI'!$D$4:$J$146,'Mat. List CSI'!G$1,0)</f>
        <v>03</v>
      </c>
      <c r="H94" s="1" t="str">
        <f>VLOOKUP($E94,'Activity List CSI'!$D$4:$J$146,'Mat. List CSI'!H$1,0)</f>
        <v>ConcreteWork</v>
      </c>
      <c r="I94" s="1" t="str">
        <f>VLOOKUP(D94,'Activity List CSI'!$C$4:$H$146,6,0)</f>
        <v>03300</v>
      </c>
      <c r="J94" s="1" t="str">
        <f>VLOOKUP($E94,'Activity List CSI'!$D$4:$J$146,'Mat. List CSI'!J$1,0)</f>
        <v>Cast-In-Place Concrete</v>
      </c>
      <c r="K94" s="1" t="s">
        <v>432</v>
      </c>
      <c r="L94" s="1">
        <v>135</v>
      </c>
      <c r="M94" s="1" t="str">
        <f t="shared" si="3"/>
        <v>03300135</v>
      </c>
      <c r="N94" s="12" t="str">
        <f t="shared" si="4"/>
        <v>03300135</v>
      </c>
    </row>
    <row r="95" spans="4:14" x14ac:dyDescent="0.25">
      <c r="D95" s="11" t="s">
        <v>91</v>
      </c>
      <c r="E95" s="134" t="str">
        <f>VLOOKUP(F95,'Activity List CSI'!$B$4:$D$146,3,0)</f>
        <v>03300-09</v>
      </c>
      <c r="F95" s="1" t="s">
        <v>92</v>
      </c>
      <c r="G95" s="1" t="str">
        <f>VLOOKUP($E95,'Activity List CSI'!$D$4:$J$146,'Mat. List CSI'!G$1,0)</f>
        <v>03</v>
      </c>
      <c r="H95" s="1" t="str">
        <f>VLOOKUP($E95,'Activity List CSI'!$D$4:$J$146,'Mat. List CSI'!H$1,0)</f>
        <v>ConcreteWork</v>
      </c>
      <c r="I95" s="1" t="str">
        <f>VLOOKUP(D95,'Activity List CSI'!$C$4:$H$146,6,0)</f>
        <v>03300</v>
      </c>
      <c r="J95" s="1" t="str">
        <f>VLOOKUP($E95,'Activity List CSI'!$D$4:$J$146,'Mat. List CSI'!J$1,0)</f>
        <v>Cast-In-Place Concrete</v>
      </c>
      <c r="K95" s="1" t="s">
        <v>430</v>
      </c>
      <c r="L95" s="1">
        <v>115</v>
      </c>
      <c r="M95" s="1" t="str">
        <f t="shared" si="3"/>
        <v>03300115</v>
      </c>
      <c r="N95" s="12" t="str">
        <f t="shared" si="4"/>
        <v>03300115</v>
      </c>
    </row>
    <row r="96" spans="4:14" x14ac:dyDescent="0.25">
      <c r="D96" s="11" t="s">
        <v>91</v>
      </c>
      <c r="E96" s="134" t="str">
        <f>VLOOKUP(F96,'Activity List CSI'!$B$4:$D$146,3,0)</f>
        <v>03300-09</v>
      </c>
      <c r="F96" s="1" t="s">
        <v>92</v>
      </c>
      <c r="G96" s="1" t="str">
        <f>VLOOKUP($E96,'Activity List CSI'!$D$4:$J$146,'Mat. List CSI'!G$1,0)</f>
        <v>03</v>
      </c>
      <c r="H96" s="1" t="str">
        <f>VLOOKUP($E96,'Activity List CSI'!$D$4:$J$146,'Mat. List CSI'!H$1,0)</f>
        <v>ConcreteWork</v>
      </c>
      <c r="I96" s="1" t="str">
        <f>VLOOKUP(D96,'Activity List CSI'!$C$4:$H$146,6,0)</f>
        <v>03300</v>
      </c>
      <c r="J96" s="1" t="str">
        <f>VLOOKUP($E96,'Activity List CSI'!$D$4:$J$146,'Mat. List CSI'!J$1,0)</f>
        <v>Cast-In-Place Concrete</v>
      </c>
      <c r="K96" s="1" t="s">
        <v>431</v>
      </c>
      <c r="L96" s="1">
        <v>110</v>
      </c>
      <c r="M96" s="1" t="str">
        <f t="shared" si="3"/>
        <v>03300110</v>
      </c>
      <c r="N96" s="12" t="str">
        <f t="shared" si="4"/>
        <v>03300110</v>
      </c>
    </row>
    <row r="97" spans="4:14" x14ac:dyDescent="0.25">
      <c r="D97" s="11" t="s">
        <v>91</v>
      </c>
      <c r="E97" s="134" t="str">
        <f>VLOOKUP(F97,'Activity List CSI'!$B$4:$D$146,3,0)</f>
        <v>03300-09</v>
      </c>
      <c r="F97" s="1" t="s">
        <v>92</v>
      </c>
      <c r="G97" s="1" t="str">
        <f>VLOOKUP($E97,'Activity List CSI'!$D$4:$J$146,'Mat. List CSI'!G$1,0)</f>
        <v>03</v>
      </c>
      <c r="H97" s="1" t="str">
        <f>VLOOKUP($E97,'Activity List CSI'!$D$4:$J$146,'Mat. List CSI'!H$1,0)</f>
        <v>ConcreteWork</v>
      </c>
      <c r="I97" s="1" t="str">
        <f>VLOOKUP(D97,'Activity List CSI'!$C$4:$H$146,6,0)</f>
        <v>03300</v>
      </c>
      <c r="J97" s="1" t="str">
        <f>VLOOKUP($E97,'Activity List CSI'!$D$4:$J$146,'Mat. List CSI'!J$1,0)</f>
        <v>Cast-In-Place Concrete</v>
      </c>
      <c r="K97" s="1" t="s">
        <v>432</v>
      </c>
      <c r="L97" s="1">
        <v>135</v>
      </c>
      <c r="M97" s="1" t="str">
        <f t="shared" si="3"/>
        <v>03300135</v>
      </c>
      <c r="N97" s="12" t="str">
        <f t="shared" si="4"/>
        <v>03300135</v>
      </c>
    </row>
    <row r="98" spans="4:14" x14ac:dyDescent="0.25">
      <c r="D98" s="11" t="s">
        <v>93</v>
      </c>
      <c r="E98" s="134" t="str">
        <f>VLOOKUP(F98,'Activity List CSI'!$B$4:$D$146,3,0)</f>
        <v>03300-10</v>
      </c>
      <c r="F98" s="1" t="s">
        <v>94</v>
      </c>
      <c r="G98" s="1" t="str">
        <f>VLOOKUP($E98,'Activity List CSI'!$D$4:$J$146,'Mat. List CSI'!G$1,0)</f>
        <v>03</v>
      </c>
      <c r="H98" s="1" t="str">
        <f>VLOOKUP($E98,'Activity List CSI'!$D$4:$J$146,'Mat. List CSI'!H$1,0)</f>
        <v>ConcreteWork</v>
      </c>
      <c r="I98" s="1" t="str">
        <f>VLOOKUP(D98,'Activity List CSI'!$C$4:$H$146,6,0)</f>
        <v>03300</v>
      </c>
      <c r="J98" s="1" t="str">
        <f>VLOOKUP($E98,'Activity List CSI'!$D$4:$J$146,'Mat. List CSI'!J$1,0)</f>
        <v>Cast-In-Place Concrete</v>
      </c>
      <c r="K98" s="1" t="s">
        <v>428</v>
      </c>
      <c r="L98" s="1">
        <v>130</v>
      </c>
      <c r="M98" s="1" t="str">
        <f t="shared" si="3"/>
        <v>03300130</v>
      </c>
      <c r="N98" s="12" t="str">
        <f t="shared" si="4"/>
        <v>03300130</v>
      </c>
    </row>
    <row r="99" spans="4:14" x14ac:dyDescent="0.25">
      <c r="D99" s="11" t="s">
        <v>93</v>
      </c>
      <c r="E99" s="134" t="str">
        <f>VLOOKUP(F99,'Activity List CSI'!$B$4:$D$146,3,0)</f>
        <v>03300-10</v>
      </c>
      <c r="F99" s="1" t="s">
        <v>94</v>
      </c>
      <c r="G99" s="1" t="str">
        <f>VLOOKUP($E99,'Activity List CSI'!$D$4:$J$146,'Mat. List CSI'!G$1,0)</f>
        <v>03</v>
      </c>
      <c r="H99" s="1" t="str">
        <f>VLOOKUP($E99,'Activity List CSI'!$D$4:$J$146,'Mat. List CSI'!H$1,0)</f>
        <v>ConcreteWork</v>
      </c>
      <c r="I99" s="1" t="str">
        <f>VLOOKUP(D99,'Activity List CSI'!$C$4:$H$146,6,0)</f>
        <v>03300</v>
      </c>
      <c r="J99" s="1" t="str">
        <f>VLOOKUP($E99,'Activity List CSI'!$D$4:$J$146,'Mat. List CSI'!J$1,0)</f>
        <v>Cast-In-Place Concrete</v>
      </c>
      <c r="K99" s="1" t="s">
        <v>429</v>
      </c>
      <c r="L99" s="1">
        <v>105</v>
      </c>
      <c r="M99" s="1" t="str">
        <f t="shared" si="3"/>
        <v>03300105</v>
      </c>
      <c r="N99" s="12" t="str">
        <f t="shared" si="4"/>
        <v>03300105</v>
      </c>
    </row>
    <row r="100" spans="4:14" x14ac:dyDescent="0.25">
      <c r="D100" s="11" t="s">
        <v>93</v>
      </c>
      <c r="E100" s="134" t="str">
        <f>VLOOKUP(F100,'Activity List CSI'!$B$4:$D$146,3,0)</f>
        <v>03300-10</v>
      </c>
      <c r="F100" s="1" t="s">
        <v>94</v>
      </c>
      <c r="G100" s="1" t="str">
        <f>VLOOKUP($E100,'Activity List CSI'!$D$4:$J$146,'Mat. List CSI'!G$1,0)</f>
        <v>03</v>
      </c>
      <c r="H100" s="1" t="str">
        <f>VLOOKUP($E100,'Activity List CSI'!$D$4:$J$146,'Mat. List CSI'!H$1,0)</f>
        <v>ConcreteWork</v>
      </c>
      <c r="I100" s="1" t="str">
        <f>VLOOKUP(D100,'Activity List CSI'!$C$4:$H$146,6,0)</f>
        <v>03300</v>
      </c>
      <c r="J100" s="1" t="str">
        <f>VLOOKUP($E100,'Activity List CSI'!$D$4:$J$146,'Mat. List CSI'!J$1,0)</f>
        <v>Cast-In-Place Concrete</v>
      </c>
      <c r="K100" s="1" t="s">
        <v>430</v>
      </c>
      <c r="L100" s="1">
        <v>115</v>
      </c>
      <c r="M100" s="1" t="str">
        <f t="shared" si="3"/>
        <v>03300115</v>
      </c>
      <c r="N100" s="12" t="str">
        <f t="shared" si="4"/>
        <v>03300115</v>
      </c>
    </row>
    <row r="101" spans="4:14" x14ac:dyDescent="0.25">
      <c r="D101" s="11" t="s">
        <v>93</v>
      </c>
      <c r="E101" s="134" t="str">
        <f>VLOOKUP(F101,'Activity List CSI'!$B$4:$D$146,3,0)</f>
        <v>03300-10</v>
      </c>
      <c r="F101" s="1" t="s">
        <v>94</v>
      </c>
      <c r="G101" s="1" t="str">
        <f>VLOOKUP($E101,'Activity List CSI'!$D$4:$J$146,'Mat. List CSI'!G$1,0)</f>
        <v>03</v>
      </c>
      <c r="H101" s="1" t="str">
        <f>VLOOKUP($E101,'Activity List CSI'!$D$4:$J$146,'Mat. List CSI'!H$1,0)</f>
        <v>ConcreteWork</v>
      </c>
      <c r="I101" s="1" t="str">
        <f>VLOOKUP(D101,'Activity List CSI'!$C$4:$H$146,6,0)</f>
        <v>03300</v>
      </c>
      <c r="J101" s="1" t="str">
        <f>VLOOKUP($E101,'Activity List CSI'!$D$4:$J$146,'Mat. List CSI'!J$1,0)</f>
        <v>Cast-In-Place Concrete</v>
      </c>
      <c r="K101" s="1" t="s">
        <v>431</v>
      </c>
      <c r="L101" s="1">
        <v>110</v>
      </c>
      <c r="M101" s="1" t="str">
        <f t="shared" si="3"/>
        <v>03300110</v>
      </c>
      <c r="N101" s="12" t="str">
        <f t="shared" si="4"/>
        <v>03300110</v>
      </c>
    </row>
    <row r="102" spans="4:14" x14ac:dyDescent="0.25">
      <c r="D102" s="11" t="s">
        <v>93</v>
      </c>
      <c r="E102" s="134" t="str">
        <f>VLOOKUP(F102,'Activity List CSI'!$B$4:$D$146,3,0)</f>
        <v>03300-10</v>
      </c>
      <c r="F102" s="1" t="s">
        <v>94</v>
      </c>
      <c r="G102" s="1" t="str">
        <f>VLOOKUP($E102,'Activity List CSI'!$D$4:$J$146,'Mat. List CSI'!G$1,0)</f>
        <v>03</v>
      </c>
      <c r="H102" s="1" t="str">
        <f>VLOOKUP($E102,'Activity List CSI'!$D$4:$J$146,'Mat. List CSI'!H$1,0)</f>
        <v>ConcreteWork</v>
      </c>
      <c r="I102" s="1" t="str">
        <f>VLOOKUP(D102,'Activity List CSI'!$C$4:$H$146,6,0)</f>
        <v>03300</v>
      </c>
      <c r="J102" s="1" t="str">
        <f>VLOOKUP($E102,'Activity List CSI'!$D$4:$J$146,'Mat. List CSI'!J$1,0)</f>
        <v>Cast-In-Place Concrete</v>
      </c>
      <c r="K102" s="1" t="s">
        <v>432</v>
      </c>
      <c r="L102" s="1">
        <v>135</v>
      </c>
      <c r="M102" s="1" t="str">
        <f t="shared" si="3"/>
        <v>03300135</v>
      </c>
      <c r="N102" s="12" t="str">
        <f t="shared" si="4"/>
        <v>03300135</v>
      </c>
    </row>
    <row r="103" spans="4:14" x14ac:dyDescent="0.25">
      <c r="D103" s="11" t="s">
        <v>93</v>
      </c>
      <c r="E103" s="134" t="str">
        <f>VLOOKUP(F103,'Activity List CSI'!$B$4:$D$146,3,0)</f>
        <v>03300-10</v>
      </c>
      <c r="F103" s="1" t="s">
        <v>94</v>
      </c>
      <c r="G103" s="1" t="str">
        <f>VLOOKUP($E103,'Activity List CSI'!$D$4:$J$146,'Mat. List CSI'!G$1,0)</f>
        <v>03</v>
      </c>
      <c r="H103" s="1" t="str">
        <f>VLOOKUP($E103,'Activity List CSI'!$D$4:$J$146,'Mat. List CSI'!H$1,0)</f>
        <v>ConcreteWork</v>
      </c>
      <c r="I103" s="1" t="str">
        <f>VLOOKUP(D103,'Activity List CSI'!$C$4:$H$146,6,0)</f>
        <v>03300</v>
      </c>
      <c r="J103" s="1" t="str">
        <f>VLOOKUP($E103,'Activity List CSI'!$D$4:$J$146,'Mat. List CSI'!J$1,0)</f>
        <v>Cast-In-Place Concrete</v>
      </c>
      <c r="K103" s="1" t="s">
        <v>430</v>
      </c>
      <c r="L103" s="1">
        <v>115</v>
      </c>
      <c r="M103" s="1" t="str">
        <f t="shared" si="3"/>
        <v>03300115</v>
      </c>
      <c r="N103" s="12" t="str">
        <f t="shared" si="4"/>
        <v>03300115</v>
      </c>
    </row>
    <row r="104" spans="4:14" x14ac:dyDescent="0.25">
      <c r="D104" s="11" t="s">
        <v>93</v>
      </c>
      <c r="E104" s="134" t="str">
        <f>VLOOKUP(F104,'Activity List CSI'!$B$4:$D$146,3,0)</f>
        <v>03300-10</v>
      </c>
      <c r="F104" s="1" t="s">
        <v>94</v>
      </c>
      <c r="G104" s="1" t="str">
        <f>VLOOKUP($E104,'Activity List CSI'!$D$4:$J$146,'Mat. List CSI'!G$1,0)</f>
        <v>03</v>
      </c>
      <c r="H104" s="1" t="str">
        <f>VLOOKUP($E104,'Activity List CSI'!$D$4:$J$146,'Mat. List CSI'!H$1,0)</f>
        <v>ConcreteWork</v>
      </c>
      <c r="I104" s="1" t="str">
        <f>VLOOKUP(D104,'Activity List CSI'!$C$4:$H$146,6,0)</f>
        <v>03300</v>
      </c>
      <c r="J104" s="1" t="str">
        <f>VLOOKUP($E104,'Activity List CSI'!$D$4:$J$146,'Mat. List CSI'!J$1,0)</f>
        <v>Cast-In-Place Concrete</v>
      </c>
      <c r="K104" s="1" t="s">
        <v>431</v>
      </c>
      <c r="L104" s="1">
        <v>110</v>
      </c>
      <c r="M104" s="1" t="str">
        <f t="shared" si="3"/>
        <v>03300110</v>
      </c>
      <c r="N104" s="12" t="str">
        <f t="shared" si="4"/>
        <v>03300110</v>
      </c>
    </row>
    <row r="105" spans="4:14" x14ac:dyDescent="0.25">
      <c r="D105" s="11" t="s">
        <v>93</v>
      </c>
      <c r="E105" s="134" t="str">
        <f>VLOOKUP(F105,'Activity List CSI'!$B$4:$D$146,3,0)</f>
        <v>03300-10</v>
      </c>
      <c r="F105" s="1" t="s">
        <v>94</v>
      </c>
      <c r="G105" s="1" t="str">
        <f>VLOOKUP($E105,'Activity List CSI'!$D$4:$J$146,'Mat. List CSI'!G$1,0)</f>
        <v>03</v>
      </c>
      <c r="H105" s="1" t="str">
        <f>VLOOKUP($E105,'Activity List CSI'!$D$4:$J$146,'Mat. List CSI'!H$1,0)</f>
        <v>ConcreteWork</v>
      </c>
      <c r="I105" s="1" t="str">
        <f>VLOOKUP(D105,'Activity List CSI'!$C$4:$H$146,6,0)</f>
        <v>03300</v>
      </c>
      <c r="J105" s="1" t="str">
        <f>VLOOKUP($E105,'Activity List CSI'!$D$4:$J$146,'Mat. List CSI'!J$1,0)</f>
        <v>Cast-In-Place Concrete</v>
      </c>
      <c r="K105" s="1" t="s">
        <v>432</v>
      </c>
      <c r="L105" s="1">
        <v>135</v>
      </c>
      <c r="M105" s="1" t="str">
        <f t="shared" si="3"/>
        <v>03300135</v>
      </c>
      <c r="N105" s="12" t="str">
        <f t="shared" si="4"/>
        <v>03300135</v>
      </c>
    </row>
    <row r="106" spans="4:14" x14ac:dyDescent="0.25">
      <c r="D106" s="11" t="s">
        <v>95</v>
      </c>
      <c r="E106" s="134" t="str">
        <f>VLOOKUP(F106,'Activity List CSI'!$B$4:$D$146,3,0)</f>
        <v>03300-11</v>
      </c>
      <c r="F106" s="1" t="s">
        <v>96</v>
      </c>
      <c r="G106" s="1" t="str">
        <f>VLOOKUP($E106,'Activity List CSI'!$D$4:$J$146,'Mat. List CSI'!G$1,0)</f>
        <v>03</v>
      </c>
      <c r="H106" s="1" t="str">
        <f>VLOOKUP($E106,'Activity List CSI'!$D$4:$J$146,'Mat. List CSI'!H$1,0)</f>
        <v>ConcreteWork</v>
      </c>
      <c r="I106" s="1" t="str">
        <f>VLOOKUP(D106,'Activity List CSI'!$C$4:$H$146,6,0)</f>
        <v>03300</v>
      </c>
      <c r="J106" s="1" t="str">
        <f>VLOOKUP($E106,'Activity List CSI'!$D$4:$J$146,'Mat. List CSI'!J$1,0)</f>
        <v>Cast-In-Place Concrete</v>
      </c>
      <c r="K106" s="1" t="s">
        <v>428</v>
      </c>
      <c r="L106" s="1">
        <v>130</v>
      </c>
      <c r="M106" s="1" t="str">
        <f t="shared" si="3"/>
        <v>03300130</v>
      </c>
      <c r="N106" s="12" t="str">
        <f t="shared" si="4"/>
        <v>03300130</v>
      </c>
    </row>
    <row r="107" spans="4:14" x14ac:dyDescent="0.25">
      <c r="D107" s="11" t="s">
        <v>95</v>
      </c>
      <c r="E107" s="134" t="str">
        <f>VLOOKUP(F107,'Activity List CSI'!$B$4:$D$146,3,0)</f>
        <v>03300-11</v>
      </c>
      <c r="F107" s="1" t="s">
        <v>96</v>
      </c>
      <c r="G107" s="1" t="str">
        <f>VLOOKUP($E107,'Activity List CSI'!$D$4:$J$146,'Mat. List CSI'!G$1,0)</f>
        <v>03</v>
      </c>
      <c r="H107" s="1" t="str">
        <f>VLOOKUP($E107,'Activity List CSI'!$D$4:$J$146,'Mat. List CSI'!H$1,0)</f>
        <v>ConcreteWork</v>
      </c>
      <c r="I107" s="1" t="str">
        <f>VLOOKUP(D107,'Activity List CSI'!$C$4:$H$146,6,0)</f>
        <v>03300</v>
      </c>
      <c r="J107" s="1" t="str">
        <f>VLOOKUP($E107,'Activity List CSI'!$D$4:$J$146,'Mat. List CSI'!J$1,0)</f>
        <v>Cast-In-Place Concrete</v>
      </c>
      <c r="K107" s="1" t="s">
        <v>429</v>
      </c>
      <c r="L107" s="1">
        <v>105</v>
      </c>
      <c r="M107" s="1" t="str">
        <f t="shared" si="3"/>
        <v>03300105</v>
      </c>
      <c r="N107" s="12" t="str">
        <f t="shared" si="4"/>
        <v>03300105</v>
      </c>
    </row>
    <row r="108" spans="4:14" x14ac:dyDescent="0.25">
      <c r="D108" s="11" t="s">
        <v>95</v>
      </c>
      <c r="E108" s="134" t="str">
        <f>VLOOKUP(F108,'Activity List CSI'!$B$4:$D$146,3,0)</f>
        <v>03300-11</v>
      </c>
      <c r="F108" s="1" t="s">
        <v>96</v>
      </c>
      <c r="G108" s="1" t="str">
        <f>VLOOKUP($E108,'Activity List CSI'!$D$4:$J$146,'Mat. List CSI'!G$1,0)</f>
        <v>03</v>
      </c>
      <c r="H108" s="1" t="str">
        <f>VLOOKUP($E108,'Activity List CSI'!$D$4:$J$146,'Mat. List CSI'!H$1,0)</f>
        <v>ConcreteWork</v>
      </c>
      <c r="I108" s="1" t="str">
        <f>VLOOKUP(D108,'Activity List CSI'!$C$4:$H$146,6,0)</f>
        <v>03300</v>
      </c>
      <c r="J108" s="1" t="str">
        <f>VLOOKUP($E108,'Activity List CSI'!$D$4:$J$146,'Mat. List CSI'!J$1,0)</f>
        <v>Cast-In-Place Concrete</v>
      </c>
      <c r="K108" s="1" t="s">
        <v>430</v>
      </c>
      <c r="L108" s="1">
        <v>115</v>
      </c>
      <c r="M108" s="1" t="str">
        <f t="shared" si="3"/>
        <v>03300115</v>
      </c>
      <c r="N108" s="12" t="str">
        <f t="shared" si="4"/>
        <v>03300115</v>
      </c>
    </row>
    <row r="109" spans="4:14" x14ac:dyDescent="0.25">
      <c r="D109" s="11" t="s">
        <v>95</v>
      </c>
      <c r="E109" s="134" t="str">
        <f>VLOOKUP(F109,'Activity List CSI'!$B$4:$D$146,3,0)</f>
        <v>03300-11</v>
      </c>
      <c r="F109" s="1" t="s">
        <v>96</v>
      </c>
      <c r="G109" s="1" t="str">
        <f>VLOOKUP($E109,'Activity List CSI'!$D$4:$J$146,'Mat. List CSI'!G$1,0)</f>
        <v>03</v>
      </c>
      <c r="H109" s="1" t="str">
        <f>VLOOKUP($E109,'Activity List CSI'!$D$4:$J$146,'Mat. List CSI'!H$1,0)</f>
        <v>ConcreteWork</v>
      </c>
      <c r="I109" s="1" t="str">
        <f>VLOOKUP(D109,'Activity List CSI'!$C$4:$H$146,6,0)</f>
        <v>03300</v>
      </c>
      <c r="J109" s="1" t="str">
        <f>VLOOKUP($E109,'Activity List CSI'!$D$4:$J$146,'Mat. List CSI'!J$1,0)</f>
        <v>Cast-In-Place Concrete</v>
      </c>
      <c r="K109" s="1" t="s">
        <v>431</v>
      </c>
      <c r="L109" s="1">
        <v>110</v>
      </c>
      <c r="M109" s="1" t="str">
        <f t="shared" si="3"/>
        <v>03300110</v>
      </c>
      <c r="N109" s="12" t="str">
        <f t="shared" si="4"/>
        <v>03300110</v>
      </c>
    </row>
    <row r="110" spans="4:14" x14ac:dyDescent="0.25">
      <c r="D110" s="11" t="s">
        <v>95</v>
      </c>
      <c r="E110" s="134" t="str">
        <f>VLOOKUP(F110,'Activity List CSI'!$B$4:$D$146,3,0)</f>
        <v>03300-11</v>
      </c>
      <c r="F110" s="1" t="s">
        <v>96</v>
      </c>
      <c r="G110" s="1" t="str">
        <f>VLOOKUP($E110,'Activity List CSI'!$D$4:$J$146,'Mat. List CSI'!G$1,0)</f>
        <v>03</v>
      </c>
      <c r="H110" s="1" t="str">
        <f>VLOOKUP($E110,'Activity List CSI'!$D$4:$J$146,'Mat. List CSI'!H$1,0)</f>
        <v>ConcreteWork</v>
      </c>
      <c r="I110" s="1" t="str">
        <f>VLOOKUP(D110,'Activity List CSI'!$C$4:$H$146,6,0)</f>
        <v>03300</v>
      </c>
      <c r="J110" s="1" t="str">
        <f>VLOOKUP($E110,'Activity List CSI'!$D$4:$J$146,'Mat. List CSI'!J$1,0)</f>
        <v>Cast-In-Place Concrete</v>
      </c>
      <c r="K110" s="1" t="s">
        <v>432</v>
      </c>
      <c r="L110" s="1">
        <v>135</v>
      </c>
      <c r="M110" s="1" t="str">
        <f t="shared" si="3"/>
        <v>03300135</v>
      </c>
      <c r="N110" s="12" t="str">
        <f t="shared" si="4"/>
        <v>03300135</v>
      </c>
    </row>
    <row r="111" spans="4:14" x14ac:dyDescent="0.25">
      <c r="D111" s="11" t="s">
        <v>95</v>
      </c>
      <c r="E111" s="134" t="str">
        <f>VLOOKUP(F111,'Activity List CSI'!$B$4:$D$146,3,0)</f>
        <v>03300-11</v>
      </c>
      <c r="F111" s="1" t="s">
        <v>96</v>
      </c>
      <c r="G111" s="1" t="str">
        <f>VLOOKUP($E111,'Activity List CSI'!$D$4:$J$146,'Mat. List CSI'!G$1,0)</f>
        <v>03</v>
      </c>
      <c r="H111" s="1" t="str">
        <f>VLOOKUP($E111,'Activity List CSI'!$D$4:$J$146,'Mat. List CSI'!H$1,0)</f>
        <v>ConcreteWork</v>
      </c>
      <c r="I111" s="1" t="str">
        <f>VLOOKUP(D111,'Activity List CSI'!$C$4:$H$146,6,0)</f>
        <v>03300</v>
      </c>
      <c r="J111" s="1" t="str">
        <f>VLOOKUP($E111,'Activity List CSI'!$D$4:$J$146,'Mat. List CSI'!J$1,0)</f>
        <v>Cast-In-Place Concrete</v>
      </c>
      <c r="K111" s="1" t="s">
        <v>430</v>
      </c>
      <c r="L111" s="1">
        <v>115</v>
      </c>
      <c r="M111" s="1" t="str">
        <f t="shared" si="3"/>
        <v>03300115</v>
      </c>
      <c r="N111" s="12" t="str">
        <f t="shared" si="4"/>
        <v>03300115</v>
      </c>
    </row>
    <row r="112" spans="4:14" x14ac:dyDescent="0.25">
      <c r="D112" s="11" t="s">
        <v>95</v>
      </c>
      <c r="E112" s="134" t="str">
        <f>VLOOKUP(F112,'Activity List CSI'!$B$4:$D$146,3,0)</f>
        <v>03300-11</v>
      </c>
      <c r="F112" s="1" t="s">
        <v>96</v>
      </c>
      <c r="G112" s="1" t="str">
        <f>VLOOKUP($E112,'Activity List CSI'!$D$4:$J$146,'Mat. List CSI'!G$1,0)</f>
        <v>03</v>
      </c>
      <c r="H112" s="1" t="str">
        <f>VLOOKUP($E112,'Activity List CSI'!$D$4:$J$146,'Mat. List CSI'!H$1,0)</f>
        <v>ConcreteWork</v>
      </c>
      <c r="I112" s="1" t="str">
        <f>VLOOKUP(D112,'Activity List CSI'!$C$4:$H$146,6,0)</f>
        <v>03300</v>
      </c>
      <c r="J112" s="1" t="str">
        <f>VLOOKUP($E112,'Activity List CSI'!$D$4:$J$146,'Mat. List CSI'!J$1,0)</f>
        <v>Cast-In-Place Concrete</v>
      </c>
      <c r="K112" s="1" t="s">
        <v>431</v>
      </c>
      <c r="L112" s="1">
        <v>110</v>
      </c>
      <c r="M112" s="1" t="str">
        <f t="shared" si="3"/>
        <v>03300110</v>
      </c>
      <c r="N112" s="12" t="str">
        <f t="shared" si="4"/>
        <v>03300110</v>
      </c>
    </row>
    <row r="113" spans="4:14" x14ac:dyDescent="0.25">
      <c r="D113" s="11" t="s">
        <v>95</v>
      </c>
      <c r="E113" s="134" t="str">
        <f>VLOOKUP(F113,'Activity List CSI'!$B$4:$D$146,3,0)</f>
        <v>03300-11</v>
      </c>
      <c r="F113" s="1" t="s">
        <v>96</v>
      </c>
      <c r="G113" s="1" t="str">
        <f>VLOOKUP($E113,'Activity List CSI'!$D$4:$J$146,'Mat. List CSI'!G$1,0)</f>
        <v>03</v>
      </c>
      <c r="H113" s="1" t="str">
        <f>VLOOKUP($E113,'Activity List CSI'!$D$4:$J$146,'Mat. List CSI'!H$1,0)</f>
        <v>ConcreteWork</v>
      </c>
      <c r="I113" s="1" t="str">
        <f>VLOOKUP(D113,'Activity List CSI'!$C$4:$H$146,6,0)</f>
        <v>03300</v>
      </c>
      <c r="J113" s="1" t="str">
        <f>VLOOKUP($E113,'Activity List CSI'!$D$4:$J$146,'Mat. List CSI'!J$1,0)</f>
        <v>Cast-In-Place Concrete</v>
      </c>
      <c r="K113" s="1" t="s">
        <v>432</v>
      </c>
      <c r="L113" s="1">
        <v>135</v>
      </c>
      <c r="M113" s="1" t="str">
        <f t="shared" si="3"/>
        <v>03300135</v>
      </c>
      <c r="N113" s="12" t="str">
        <f t="shared" si="4"/>
        <v>03300135</v>
      </c>
    </row>
    <row r="114" spans="4:14" x14ac:dyDescent="0.25">
      <c r="D114" s="11" t="s">
        <v>97</v>
      </c>
      <c r="E114" s="134" t="str">
        <f>VLOOKUP(F114,'Activity List CSI'!$B$4:$D$146,3,0)</f>
        <v>03300-12</v>
      </c>
      <c r="F114" s="1" t="s">
        <v>98</v>
      </c>
      <c r="G114" s="1" t="str">
        <f>VLOOKUP($E114,'Activity List CSI'!$D$4:$J$146,'Mat. List CSI'!G$1,0)</f>
        <v>03</v>
      </c>
      <c r="H114" s="1" t="str">
        <f>VLOOKUP($E114,'Activity List CSI'!$D$4:$J$146,'Mat. List CSI'!H$1,0)</f>
        <v>ConcreteWork</v>
      </c>
      <c r="I114" s="1" t="str">
        <f>VLOOKUP(D114,'Activity List CSI'!$C$4:$H$146,6,0)</f>
        <v>03300</v>
      </c>
      <c r="J114" s="1" t="str">
        <f>VLOOKUP($E114,'Activity List CSI'!$D$4:$J$146,'Mat. List CSI'!J$1,0)</f>
        <v>Cast-In-Place Concrete</v>
      </c>
      <c r="K114" s="1" t="s">
        <v>428</v>
      </c>
      <c r="L114" s="1">
        <v>130</v>
      </c>
      <c r="M114" s="1" t="str">
        <f t="shared" si="3"/>
        <v>03300130</v>
      </c>
      <c r="N114" s="12" t="str">
        <f t="shared" si="4"/>
        <v>03300130</v>
      </c>
    </row>
    <row r="115" spans="4:14" x14ac:dyDescent="0.25">
      <c r="D115" s="11" t="s">
        <v>97</v>
      </c>
      <c r="E115" s="134" t="str">
        <f>VLOOKUP(F115,'Activity List CSI'!$B$4:$D$146,3,0)</f>
        <v>03300-12</v>
      </c>
      <c r="F115" s="1" t="s">
        <v>98</v>
      </c>
      <c r="G115" s="1" t="str">
        <f>VLOOKUP($E115,'Activity List CSI'!$D$4:$J$146,'Mat. List CSI'!G$1,0)</f>
        <v>03</v>
      </c>
      <c r="H115" s="1" t="str">
        <f>VLOOKUP($E115,'Activity List CSI'!$D$4:$J$146,'Mat. List CSI'!H$1,0)</f>
        <v>ConcreteWork</v>
      </c>
      <c r="I115" s="1" t="str">
        <f>VLOOKUP(D115,'Activity List CSI'!$C$4:$H$146,6,0)</f>
        <v>03300</v>
      </c>
      <c r="J115" s="1" t="str">
        <f>VLOOKUP($E115,'Activity List CSI'!$D$4:$J$146,'Mat. List CSI'!J$1,0)</f>
        <v>Cast-In-Place Concrete</v>
      </c>
      <c r="K115" s="1" t="s">
        <v>429</v>
      </c>
      <c r="L115" s="1">
        <v>105</v>
      </c>
      <c r="M115" s="1" t="str">
        <f t="shared" si="3"/>
        <v>03300105</v>
      </c>
      <c r="N115" s="12" t="str">
        <f t="shared" si="4"/>
        <v>03300105</v>
      </c>
    </row>
    <row r="116" spans="4:14" x14ac:dyDescent="0.25">
      <c r="D116" s="11" t="s">
        <v>97</v>
      </c>
      <c r="E116" s="134" t="str">
        <f>VLOOKUP(F116,'Activity List CSI'!$B$4:$D$146,3,0)</f>
        <v>03300-12</v>
      </c>
      <c r="F116" s="1" t="s">
        <v>98</v>
      </c>
      <c r="G116" s="1" t="str">
        <f>VLOOKUP($E116,'Activity List CSI'!$D$4:$J$146,'Mat. List CSI'!G$1,0)</f>
        <v>03</v>
      </c>
      <c r="H116" s="1" t="str">
        <f>VLOOKUP($E116,'Activity List CSI'!$D$4:$J$146,'Mat. List CSI'!H$1,0)</f>
        <v>ConcreteWork</v>
      </c>
      <c r="I116" s="1" t="str">
        <f>VLOOKUP(D116,'Activity List CSI'!$C$4:$H$146,6,0)</f>
        <v>03300</v>
      </c>
      <c r="J116" s="1" t="str">
        <f>VLOOKUP($E116,'Activity List CSI'!$D$4:$J$146,'Mat. List CSI'!J$1,0)</f>
        <v>Cast-In-Place Concrete</v>
      </c>
      <c r="K116" s="1" t="s">
        <v>430</v>
      </c>
      <c r="L116" s="1">
        <v>115</v>
      </c>
      <c r="M116" s="1" t="str">
        <f t="shared" si="3"/>
        <v>03300115</v>
      </c>
      <c r="N116" s="12" t="str">
        <f t="shared" si="4"/>
        <v>03300115</v>
      </c>
    </row>
    <row r="117" spans="4:14" x14ac:dyDescent="0.25">
      <c r="D117" s="11" t="s">
        <v>97</v>
      </c>
      <c r="E117" s="134" t="str">
        <f>VLOOKUP(F117,'Activity List CSI'!$B$4:$D$146,3,0)</f>
        <v>03300-12</v>
      </c>
      <c r="F117" s="1" t="s">
        <v>98</v>
      </c>
      <c r="G117" s="1" t="str">
        <f>VLOOKUP($E117,'Activity List CSI'!$D$4:$J$146,'Mat. List CSI'!G$1,0)</f>
        <v>03</v>
      </c>
      <c r="H117" s="1" t="str">
        <f>VLOOKUP($E117,'Activity List CSI'!$D$4:$J$146,'Mat. List CSI'!H$1,0)</f>
        <v>ConcreteWork</v>
      </c>
      <c r="I117" s="1" t="str">
        <f>VLOOKUP(D117,'Activity List CSI'!$C$4:$H$146,6,0)</f>
        <v>03300</v>
      </c>
      <c r="J117" s="1" t="str">
        <f>VLOOKUP($E117,'Activity List CSI'!$D$4:$J$146,'Mat. List CSI'!J$1,0)</f>
        <v>Cast-In-Place Concrete</v>
      </c>
      <c r="K117" s="1" t="s">
        <v>431</v>
      </c>
      <c r="L117" s="1">
        <v>110</v>
      </c>
      <c r="M117" s="1" t="str">
        <f t="shared" si="3"/>
        <v>03300110</v>
      </c>
      <c r="N117" s="12" t="str">
        <f t="shared" si="4"/>
        <v>03300110</v>
      </c>
    </row>
    <row r="118" spans="4:14" x14ac:dyDescent="0.25">
      <c r="D118" s="11" t="s">
        <v>97</v>
      </c>
      <c r="E118" s="134" t="str">
        <f>VLOOKUP(F118,'Activity List CSI'!$B$4:$D$146,3,0)</f>
        <v>03300-12</v>
      </c>
      <c r="F118" s="1" t="s">
        <v>98</v>
      </c>
      <c r="G118" s="1" t="str">
        <f>VLOOKUP($E118,'Activity List CSI'!$D$4:$J$146,'Mat. List CSI'!G$1,0)</f>
        <v>03</v>
      </c>
      <c r="H118" s="1" t="str">
        <f>VLOOKUP($E118,'Activity List CSI'!$D$4:$J$146,'Mat. List CSI'!H$1,0)</f>
        <v>ConcreteWork</v>
      </c>
      <c r="I118" s="1" t="str">
        <f>VLOOKUP(D118,'Activity List CSI'!$C$4:$H$146,6,0)</f>
        <v>03300</v>
      </c>
      <c r="J118" s="1" t="str">
        <f>VLOOKUP($E118,'Activity List CSI'!$D$4:$J$146,'Mat. List CSI'!J$1,0)</f>
        <v>Cast-In-Place Concrete</v>
      </c>
      <c r="K118" s="1" t="s">
        <v>432</v>
      </c>
      <c r="L118" s="1">
        <v>135</v>
      </c>
      <c r="M118" s="1" t="str">
        <f t="shared" si="3"/>
        <v>03300135</v>
      </c>
      <c r="N118" s="12" t="str">
        <f t="shared" si="4"/>
        <v>03300135</v>
      </c>
    </row>
    <row r="119" spans="4:14" x14ac:dyDescent="0.25">
      <c r="D119" s="11" t="s">
        <v>97</v>
      </c>
      <c r="E119" s="134" t="str">
        <f>VLOOKUP(F119,'Activity List CSI'!$B$4:$D$146,3,0)</f>
        <v>03300-12</v>
      </c>
      <c r="F119" s="1" t="s">
        <v>98</v>
      </c>
      <c r="G119" s="1" t="str">
        <f>VLOOKUP($E119,'Activity List CSI'!$D$4:$J$146,'Mat. List CSI'!G$1,0)</f>
        <v>03</v>
      </c>
      <c r="H119" s="1" t="str">
        <f>VLOOKUP($E119,'Activity List CSI'!$D$4:$J$146,'Mat. List CSI'!H$1,0)</f>
        <v>ConcreteWork</v>
      </c>
      <c r="I119" s="1" t="str">
        <f>VLOOKUP(D119,'Activity List CSI'!$C$4:$H$146,6,0)</f>
        <v>03300</v>
      </c>
      <c r="J119" s="1" t="str">
        <f>VLOOKUP($E119,'Activity List CSI'!$D$4:$J$146,'Mat. List CSI'!J$1,0)</f>
        <v>Cast-In-Place Concrete</v>
      </c>
      <c r="K119" s="1" t="s">
        <v>433</v>
      </c>
      <c r="L119" s="1">
        <v>120</v>
      </c>
      <c r="M119" s="1" t="str">
        <f t="shared" si="3"/>
        <v>03300120</v>
      </c>
      <c r="N119" s="12" t="str">
        <f t="shared" si="4"/>
        <v>03300120</v>
      </c>
    </row>
    <row r="120" spans="4:14" x14ac:dyDescent="0.25">
      <c r="D120" s="11" t="s">
        <v>97</v>
      </c>
      <c r="E120" s="134" t="str">
        <f>VLOOKUP(F120,'Activity List CSI'!$B$4:$D$146,3,0)</f>
        <v>03300-12</v>
      </c>
      <c r="F120" s="1" t="s">
        <v>98</v>
      </c>
      <c r="G120" s="1" t="str">
        <f>VLOOKUP($E120,'Activity List CSI'!$D$4:$J$146,'Mat. List CSI'!G$1,0)</f>
        <v>03</v>
      </c>
      <c r="H120" s="1" t="str">
        <f>VLOOKUP($E120,'Activity List CSI'!$D$4:$J$146,'Mat. List CSI'!H$1,0)</f>
        <v>ConcreteWork</v>
      </c>
      <c r="I120" s="1" t="str">
        <f>VLOOKUP(D120,'Activity List CSI'!$C$4:$H$146,6,0)</f>
        <v>03300</v>
      </c>
      <c r="J120" s="1" t="str">
        <f>VLOOKUP($E120,'Activity List CSI'!$D$4:$J$146,'Mat. List CSI'!J$1,0)</f>
        <v>Cast-In-Place Concrete</v>
      </c>
      <c r="K120" s="1" t="s">
        <v>430</v>
      </c>
      <c r="L120" s="1">
        <v>115</v>
      </c>
      <c r="M120" s="1" t="str">
        <f t="shared" si="3"/>
        <v>03300115</v>
      </c>
      <c r="N120" s="12" t="str">
        <f t="shared" si="4"/>
        <v>03300115</v>
      </c>
    </row>
    <row r="121" spans="4:14" x14ac:dyDescent="0.25">
      <c r="D121" s="11" t="s">
        <v>97</v>
      </c>
      <c r="E121" s="134" t="str">
        <f>VLOOKUP(F121,'Activity List CSI'!$B$4:$D$146,3,0)</f>
        <v>03300-12</v>
      </c>
      <c r="F121" s="1" t="s">
        <v>98</v>
      </c>
      <c r="G121" s="1" t="str">
        <f>VLOOKUP($E121,'Activity List CSI'!$D$4:$J$146,'Mat. List CSI'!G$1,0)</f>
        <v>03</v>
      </c>
      <c r="H121" s="1" t="str">
        <f>VLOOKUP($E121,'Activity List CSI'!$D$4:$J$146,'Mat. List CSI'!H$1,0)</f>
        <v>ConcreteWork</v>
      </c>
      <c r="I121" s="1" t="str">
        <f>VLOOKUP(D121,'Activity List CSI'!$C$4:$H$146,6,0)</f>
        <v>03300</v>
      </c>
      <c r="J121" s="1" t="str">
        <f>VLOOKUP($E121,'Activity List CSI'!$D$4:$J$146,'Mat. List CSI'!J$1,0)</f>
        <v>Cast-In-Place Concrete</v>
      </c>
      <c r="K121" s="1" t="s">
        <v>431</v>
      </c>
      <c r="L121" s="1">
        <v>110</v>
      </c>
      <c r="M121" s="1" t="str">
        <f t="shared" si="3"/>
        <v>03300110</v>
      </c>
      <c r="N121" s="12" t="str">
        <f t="shared" si="4"/>
        <v>03300110</v>
      </c>
    </row>
    <row r="122" spans="4:14" x14ac:dyDescent="0.25">
      <c r="D122" s="11" t="s">
        <v>97</v>
      </c>
      <c r="E122" s="134" t="str">
        <f>VLOOKUP(F122,'Activity List CSI'!$B$4:$D$146,3,0)</f>
        <v>03300-12</v>
      </c>
      <c r="F122" s="1" t="s">
        <v>98</v>
      </c>
      <c r="G122" s="1" t="str">
        <f>VLOOKUP($E122,'Activity List CSI'!$D$4:$J$146,'Mat. List CSI'!G$1,0)</f>
        <v>03</v>
      </c>
      <c r="H122" s="1" t="str">
        <f>VLOOKUP($E122,'Activity List CSI'!$D$4:$J$146,'Mat. List CSI'!H$1,0)</f>
        <v>ConcreteWork</v>
      </c>
      <c r="I122" s="1" t="str">
        <f>VLOOKUP(D122,'Activity List CSI'!$C$4:$H$146,6,0)</f>
        <v>03300</v>
      </c>
      <c r="J122" s="1" t="str">
        <f>VLOOKUP($E122,'Activity List CSI'!$D$4:$J$146,'Mat. List CSI'!J$1,0)</f>
        <v>Cast-In-Place Concrete</v>
      </c>
      <c r="K122" s="1" t="s">
        <v>432</v>
      </c>
      <c r="L122" s="1">
        <v>135</v>
      </c>
      <c r="M122" s="1" t="str">
        <f t="shared" si="3"/>
        <v>03300135</v>
      </c>
      <c r="N122" s="12" t="str">
        <f t="shared" si="4"/>
        <v>03300135</v>
      </c>
    </row>
    <row r="123" spans="4:14" x14ac:dyDescent="0.25">
      <c r="D123" s="11" t="s">
        <v>97</v>
      </c>
      <c r="E123" s="134" t="str">
        <f>VLOOKUP(F123,'Activity List CSI'!$B$4:$D$146,3,0)</f>
        <v>03300-12</v>
      </c>
      <c r="F123" s="1" t="s">
        <v>98</v>
      </c>
      <c r="G123" s="1" t="str">
        <f>VLOOKUP($E123,'Activity List CSI'!$D$4:$J$146,'Mat. List CSI'!G$1,0)</f>
        <v>03</v>
      </c>
      <c r="H123" s="1" t="str">
        <f>VLOOKUP($E123,'Activity List CSI'!$D$4:$J$146,'Mat. List CSI'!H$1,0)</f>
        <v>ConcreteWork</v>
      </c>
      <c r="I123" s="1" t="str">
        <f>VLOOKUP(D123,'Activity List CSI'!$C$4:$H$146,6,0)</f>
        <v>03300</v>
      </c>
      <c r="J123" s="1" t="str">
        <f>VLOOKUP($E123,'Activity List CSI'!$D$4:$J$146,'Mat. List CSI'!J$1,0)</f>
        <v>Cast-In-Place Concrete</v>
      </c>
      <c r="K123" s="1" t="s">
        <v>433</v>
      </c>
      <c r="L123" s="1">
        <v>120</v>
      </c>
      <c r="M123" s="1" t="str">
        <f t="shared" si="3"/>
        <v>03300120</v>
      </c>
      <c r="N123" s="12" t="str">
        <f t="shared" si="4"/>
        <v>03300120</v>
      </c>
    </row>
    <row r="124" spans="4:14" x14ac:dyDescent="0.25">
      <c r="D124" s="11" t="s">
        <v>99</v>
      </c>
      <c r="E124" s="134" t="str">
        <f>VLOOKUP(F124,'Activity List CSI'!$B$4:$D$146,3,0)</f>
        <v>03400-01</v>
      </c>
      <c r="F124" s="1" t="s">
        <v>100</v>
      </c>
      <c r="G124" s="1" t="str">
        <f>VLOOKUP($E124,'Activity List CSI'!$D$4:$J$146,'Mat. List CSI'!G$1,0)</f>
        <v>03</v>
      </c>
      <c r="H124" s="1" t="str">
        <f>VLOOKUP($E124,'Activity List CSI'!$D$4:$J$146,'Mat. List CSI'!H$1,0)</f>
        <v>ConcreteWork</v>
      </c>
      <c r="I124" s="1" t="str">
        <f>VLOOKUP(D124,'Activity List CSI'!$C$4:$H$146,6,0)</f>
        <v>03400</v>
      </c>
      <c r="J124" s="1" t="str">
        <f>VLOOKUP($E124,'Activity List CSI'!$D$4:$J$146,'Mat. List CSI'!J$1,0)</f>
        <v>Precast Concrete</v>
      </c>
      <c r="K124" s="1" t="s">
        <v>434</v>
      </c>
      <c r="L124" s="1">
        <v>105</v>
      </c>
      <c r="M124" s="1" t="str">
        <f t="shared" si="3"/>
        <v>03400105</v>
      </c>
      <c r="N124" s="12" t="str">
        <f t="shared" si="4"/>
        <v>03400105</v>
      </c>
    </row>
    <row r="125" spans="4:14" x14ac:dyDescent="0.25">
      <c r="D125" s="11" t="s">
        <v>101</v>
      </c>
      <c r="E125" s="134" t="str">
        <f>VLOOKUP(F125,'Activity List CSI'!$B$4:$D$146,3,0)</f>
        <v>03400-02</v>
      </c>
      <c r="F125" s="1" t="s">
        <v>435</v>
      </c>
      <c r="G125" s="1" t="str">
        <f>VLOOKUP($E125,'Activity List CSI'!$D$4:$J$146,'Mat. List CSI'!G$1,0)</f>
        <v>03</v>
      </c>
      <c r="H125" s="1" t="str">
        <f>VLOOKUP($E125,'Activity List CSI'!$D$4:$J$146,'Mat. List CSI'!H$1,0)</f>
        <v>ConcreteWork</v>
      </c>
      <c r="I125" s="1" t="str">
        <f>VLOOKUP(D125,'Activity List CSI'!$C$4:$H$146,6,0)</f>
        <v>03400</v>
      </c>
      <c r="J125" s="1" t="str">
        <f>VLOOKUP($E125,'Activity List CSI'!$D$4:$J$146,'Mat. List CSI'!J$1,0)</f>
        <v>Precast Concrete</v>
      </c>
      <c r="K125" s="1" t="s">
        <v>436</v>
      </c>
      <c r="L125" s="1">
        <v>110</v>
      </c>
      <c r="M125" s="1" t="str">
        <f t="shared" si="3"/>
        <v>03400110</v>
      </c>
      <c r="N125" s="12" t="str">
        <f t="shared" si="4"/>
        <v>03400110</v>
      </c>
    </row>
    <row r="126" spans="4:14" x14ac:dyDescent="0.25">
      <c r="D126" s="11" t="s">
        <v>102</v>
      </c>
      <c r="E126" s="134" t="str">
        <f>VLOOKUP(F126,'Activity List CSI'!$B$4:$D$146,3,0)</f>
        <v>03300-13</v>
      </c>
      <c r="F126" s="1" t="s">
        <v>103</v>
      </c>
      <c r="G126" s="1" t="str">
        <f>VLOOKUP($E126,'Activity List CSI'!$D$4:$J$146,'Mat. List CSI'!G$1,0)</f>
        <v>03</v>
      </c>
      <c r="H126" s="1" t="str">
        <f>VLOOKUP($E126,'Activity List CSI'!$D$4:$J$146,'Mat. List CSI'!H$1,0)</f>
        <v>ConcreteWork</v>
      </c>
      <c r="I126" s="1" t="str">
        <f>VLOOKUP(D126,'Activity List CSI'!$C$4:$H$146,6,0)</f>
        <v>03300</v>
      </c>
      <c r="J126" s="1" t="str">
        <f>VLOOKUP($E126,'Activity List CSI'!$D$4:$J$146,'Mat. List CSI'!J$1,0)</f>
        <v>Cast-In-Place Concrete</v>
      </c>
      <c r="K126" s="1" t="s">
        <v>428</v>
      </c>
      <c r="L126" s="1">
        <v>130</v>
      </c>
      <c r="M126" s="1" t="str">
        <f t="shared" si="3"/>
        <v>03300130</v>
      </c>
      <c r="N126" s="12" t="str">
        <f t="shared" si="4"/>
        <v>03300130</v>
      </c>
    </row>
    <row r="127" spans="4:14" x14ac:dyDescent="0.25">
      <c r="D127" s="11" t="s">
        <v>102</v>
      </c>
      <c r="E127" s="134" t="str">
        <f>VLOOKUP(F127,'Activity List CSI'!$B$4:$D$146,3,0)</f>
        <v>03300-13</v>
      </c>
      <c r="F127" s="1" t="s">
        <v>103</v>
      </c>
      <c r="G127" s="1" t="str">
        <f>VLOOKUP($E127,'Activity List CSI'!$D$4:$J$146,'Mat. List CSI'!G$1,0)</f>
        <v>03</v>
      </c>
      <c r="H127" s="1" t="str">
        <f>VLOOKUP($E127,'Activity List CSI'!$D$4:$J$146,'Mat. List CSI'!H$1,0)</f>
        <v>ConcreteWork</v>
      </c>
      <c r="I127" s="1" t="str">
        <f>VLOOKUP(D127,'Activity List CSI'!$C$4:$H$146,6,0)</f>
        <v>03300</v>
      </c>
      <c r="J127" s="1" t="str">
        <f>VLOOKUP($E127,'Activity List CSI'!$D$4:$J$146,'Mat. List CSI'!J$1,0)</f>
        <v>Cast-In-Place Concrete</v>
      </c>
      <c r="K127" s="1" t="s">
        <v>429</v>
      </c>
      <c r="L127" s="1">
        <v>105</v>
      </c>
      <c r="M127" s="1" t="str">
        <f t="shared" si="3"/>
        <v>03300105</v>
      </c>
      <c r="N127" s="12" t="str">
        <f t="shared" si="4"/>
        <v>03300105</v>
      </c>
    </row>
    <row r="128" spans="4:14" x14ac:dyDescent="0.25">
      <c r="D128" s="11" t="s">
        <v>102</v>
      </c>
      <c r="E128" s="134" t="str">
        <f>VLOOKUP(F128,'Activity List CSI'!$B$4:$D$146,3,0)</f>
        <v>03300-13</v>
      </c>
      <c r="F128" s="1" t="s">
        <v>103</v>
      </c>
      <c r="G128" s="1" t="str">
        <f>VLOOKUP($E128,'Activity List CSI'!$D$4:$J$146,'Mat. List CSI'!G$1,0)</f>
        <v>03</v>
      </c>
      <c r="H128" s="1" t="str">
        <f>VLOOKUP($E128,'Activity List CSI'!$D$4:$J$146,'Mat. List CSI'!H$1,0)</f>
        <v>ConcreteWork</v>
      </c>
      <c r="I128" s="1" t="str">
        <f>VLOOKUP(D128,'Activity List CSI'!$C$4:$H$146,6,0)</f>
        <v>03300</v>
      </c>
      <c r="J128" s="1" t="str">
        <f>VLOOKUP($E128,'Activity List CSI'!$D$4:$J$146,'Mat. List CSI'!J$1,0)</f>
        <v>Cast-In-Place Concrete</v>
      </c>
      <c r="K128" s="1" t="s">
        <v>430</v>
      </c>
      <c r="L128" s="1">
        <v>115</v>
      </c>
      <c r="M128" s="1" t="str">
        <f t="shared" si="3"/>
        <v>03300115</v>
      </c>
      <c r="N128" s="12" t="str">
        <f t="shared" si="4"/>
        <v>03300115</v>
      </c>
    </row>
    <row r="129" spans="4:14" x14ac:dyDescent="0.25">
      <c r="D129" s="11" t="s">
        <v>102</v>
      </c>
      <c r="E129" s="134" t="str">
        <f>VLOOKUP(F129,'Activity List CSI'!$B$4:$D$146,3,0)</f>
        <v>03300-13</v>
      </c>
      <c r="F129" s="1" t="s">
        <v>103</v>
      </c>
      <c r="G129" s="1" t="str">
        <f>VLOOKUP($E129,'Activity List CSI'!$D$4:$J$146,'Mat. List CSI'!G$1,0)</f>
        <v>03</v>
      </c>
      <c r="H129" s="1" t="str">
        <f>VLOOKUP($E129,'Activity List CSI'!$D$4:$J$146,'Mat. List CSI'!H$1,0)</f>
        <v>ConcreteWork</v>
      </c>
      <c r="I129" s="1" t="str">
        <f>VLOOKUP(D129,'Activity List CSI'!$C$4:$H$146,6,0)</f>
        <v>03300</v>
      </c>
      <c r="J129" s="1" t="str">
        <f>VLOOKUP($E129,'Activity List CSI'!$D$4:$J$146,'Mat. List CSI'!J$1,0)</f>
        <v>Cast-In-Place Concrete</v>
      </c>
      <c r="K129" s="1" t="s">
        <v>431</v>
      </c>
      <c r="L129" s="1">
        <v>110</v>
      </c>
      <c r="M129" s="1" t="str">
        <f t="shared" si="3"/>
        <v>03300110</v>
      </c>
      <c r="N129" s="12" t="str">
        <f t="shared" si="4"/>
        <v>03300110</v>
      </c>
    </row>
    <row r="130" spans="4:14" x14ac:dyDescent="0.25">
      <c r="D130" s="11" t="s">
        <v>102</v>
      </c>
      <c r="E130" s="134" t="str">
        <f>VLOOKUP(F130,'Activity List CSI'!$B$4:$D$146,3,0)</f>
        <v>03300-13</v>
      </c>
      <c r="F130" s="1" t="s">
        <v>103</v>
      </c>
      <c r="G130" s="1" t="str">
        <f>VLOOKUP($E130,'Activity List CSI'!$D$4:$J$146,'Mat. List CSI'!G$1,0)</f>
        <v>03</v>
      </c>
      <c r="H130" s="1" t="str">
        <f>VLOOKUP($E130,'Activity List CSI'!$D$4:$J$146,'Mat. List CSI'!H$1,0)</f>
        <v>ConcreteWork</v>
      </c>
      <c r="I130" s="1" t="str">
        <f>VLOOKUP(D130,'Activity List CSI'!$C$4:$H$146,6,0)</f>
        <v>03300</v>
      </c>
      <c r="J130" s="1" t="str">
        <f>VLOOKUP($E130,'Activity List CSI'!$D$4:$J$146,'Mat. List CSI'!J$1,0)</f>
        <v>Cast-In-Place Concrete</v>
      </c>
      <c r="K130" s="1" t="s">
        <v>432</v>
      </c>
      <c r="L130" s="1">
        <v>135</v>
      </c>
      <c r="M130" s="1" t="str">
        <f t="shared" si="3"/>
        <v>03300135</v>
      </c>
      <c r="N130" s="12" t="str">
        <f t="shared" si="4"/>
        <v>03300135</v>
      </c>
    </row>
    <row r="131" spans="4:14" x14ac:dyDescent="0.25">
      <c r="D131" s="11" t="s">
        <v>102</v>
      </c>
      <c r="E131" s="134" t="str">
        <f>VLOOKUP(F131,'Activity List CSI'!$B$4:$D$146,3,0)</f>
        <v>03300-13</v>
      </c>
      <c r="F131" s="1" t="s">
        <v>103</v>
      </c>
      <c r="G131" s="1" t="str">
        <f>VLOOKUP($E131,'Activity List CSI'!$D$4:$J$146,'Mat. List CSI'!G$1,0)</f>
        <v>03</v>
      </c>
      <c r="H131" s="1" t="str">
        <f>VLOOKUP($E131,'Activity List CSI'!$D$4:$J$146,'Mat. List CSI'!H$1,0)</f>
        <v>ConcreteWork</v>
      </c>
      <c r="I131" s="1" t="str">
        <f>VLOOKUP(D131,'Activity List CSI'!$C$4:$H$146,6,0)</f>
        <v>03300</v>
      </c>
      <c r="J131" s="1" t="str">
        <f>VLOOKUP($E131,'Activity List CSI'!$D$4:$J$146,'Mat. List CSI'!J$1,0)</f>
        <v>Cast-In-Place Concrete</v>
      </c>
      <c r="K131" s="1" t="s">
        <v>430</v>
      </c>
      <c r="L131" s="1">
        <v>115</v>
      </c>
      <c r="M131" s="1" t="str">
        <f t="shared" si="3"/>
        <v>03300115</v>
      </c>
      <c r="N131" s="12" t="str">
        <f t="shared" si="4"/>
        <v>03300115</v>
      </c>
    </row>
    <row r="132" spans="4:14" x14ac:dyDescent="0.25">
      <c r="D132" s="11" t="s">
        <v>102</v>
      </c>
      <c r="E132" s="134" t="str">
        <f>VLOOKUP(F132,'Activity List CSI'!$B$4:$D$146,3,0)</f>
        <v>03300-13</v>
      </c>
      <c r="F132" s="1" t="s">
        <v>103</v>
      </c>
      <c r="G132" s="1" t="str">
        <f>VLOOKUP($E132,'Activity List CSI'!$D$4:$J$146,'Mat. List CSI'!G$1,0)</f>
        <v>03</v>
      </c>
      <c r="H132" s="1" t="str">
        <f>VLOOKUP($E132,'Activity List CSI'!$D$4:$J$146,'Mat. List CSI'!H$1,0)</f>
        <v>ConcreteWork</v>
      </c>
      <c r="I132" s="1" t="str">
        <f>VLOOKUP(D132,'Activity List CSI'!$C$4:$H$146,6,0)</f>
        <v>03300</v>
      </c>
      <c r="J132" s="1" t="str">
        <f>VLOOKUP($E132,'Activity List CSI'!$D$4:$J$146,'Mat. List CSI'!J$1,0)</f>
        <v>Cast-In-Place Concrete</v>
      </c>
      <c r="K132" s="1" t="s">
        <v>431</v>
      </c>
      <c r="L132" s="1">
        <v>110</v>
      </c>
      <c r="M132" s="1" t="str">
        <f t="shared" ref="M132:M195" si="5">I132&amp;L132</f>
        <v>03300110</v>
      </c>
      <c r="N132" s="12" t="str">
        <f t="shared" si="4"/>
        <v>03300110</v>
      </c>
    </row>
    <row r="133" spans="4:14" x14ac:dyDescent="0.25">
      <c r="D133" s="11" t="s">
        <v>102</v>
      </c>
      <c r="E133" s="134" t="str">
        <f>VLOOKUP(F133,'Activity List CSI'!$B$4:$D$146,3,0)</f>
        <v>03300-13</v>
      </c>
      <c r="F133" s="1" t="s">
        <v>103</v>
      </c>
      <c r="G133" s="1" t="str">
        <f>VLOOKUP($E133,'Activity List CSI'!$D$4:$J$146,'Mat. List CSI'!G$1,0)</f>
        <v>03</v>
      </c>
      <c r="H133" s="1" t="str">
        <f>VLOOKUP($E133,'Activity List CSI'!$D$4:$J$146,'Mat. List CSI'!H$1,0)</f>
        <v>ConcreteWork</v>
      </c>
      <c r="I133" s="1" t="str">
        <f>VLOOKUP(D133,'Activity List CSI'!$C$4:$H$146,6,0)</f>
        <v>03300</v>
      </c>
      <c r="J133" s="1" t="str">
        <f>VLOOKUP($E133,'Activity List CSI'!$D$4:$J$146,'Mat. List CSI'!J$1,0)</f>
        <v>Cast-In-Place Concrete</v>
      </c>
      <c r="K133" s="1" t="s">
        <v>432</v>
      </c>
      <c r="L133" s="1">
        <v>135</v>
      </c>
      <c r="M133" s="1" t="str">
        <f t="shared" si="5"/>
        <v>03300135</v>
      </c>
      <c r="N133" s="12" t="str">
        <f t="shared" si="4"/>
        <v>03300135</v>
      </c>
    </row>
    <row r="134" spans="4:14" x14ac:dyDescent="0.25">
      <c r="D134" s="11" t="s">
        <v>228</v>
      </c>
      <c r="E134" s="134" t="str">
        <f>VLOOKUP(F134,'Activity List CSI'!$B$4:$D$146,3,0)</f>
        <v>03300-14</v>
      </c>
      <c r="F134" s="1" t="s">
        <v>437</v>
      </c>
      <c r="G134" s="1" t="str">
        <f>VLOOKUP($E134,'Activity List CSI'!$D$4:$J$146,'Mat. List CSI'!G$1,0)</f>
        <v>03</v>
      </c>
      <c r="H134" s="1" t="str">
        <f>VLOOKUP($E134,'Activity List CSI'!$D$4:$J$146,'Mat. List CSI'!H$1,0)</f>
        <v>ConcreteWork</v>
      </c>
      <c r="I134" s="1" t="str">
        <f>VLOOKUP(D134,'Activity List CSI'!$C$4:$H$146,6,0)</f>
        <v>03300</v>
      </c>
      <c r="J134" s="1" t="str">
        <f>VLOOKUP($E134,'Activity List CSI'!$D$4:$J$146,'Mat. List CSI'!J$1,0)</f>
        <v>Cast-In-Place Concrete</v>
      </c>
      <c r="K134" s="1" t="s">
        <v>428</v>
      </c>
      <c r="L134" s="1">
        <v>130</v>
      </c>
      <c r="M134" s="1" t="str">
        <f t="shared" si="5"/>
        <v>03300130</v>
      </c>
      <c r="N134" s="12" t="str">
        <f t="shared" si="4"/>
        <v>03300130</v>
      </c>
    </row>
    <row r="135" spans="4:14" x14ac:dyDescent="0.25">
      <c r="D135" s="11" t="s">
        <v>228</v>
      </c>
      <c r="E135" s="134" t="str">
        <f>VLOOKUP(F135,'Activity List CSI'!$B$4:$D$146,3,0)</f>
        <v>03300-14</v>
      </c>
      <c r="F135" s="1" t="s">
        <v>437</v>
      </c>
      <c r="G135" s="1" t="str">
        <f>VLOOKUP($E135,'Activity List CSI'!$D$4:$J$146,'Mat. List CSI'!G$1,0)</f>
        <v>03</v>
      </c>
      <c r="H135" s="1" t="str">
        <f>VLOOKUP($E135,'Activity List CSI'!$D$4:$J$146,'Mat. List CSI'!H$1,0)</f>
        <v>ConcreteWork</v>
      </c>
      <c r="I135" s="1" t="str">
        <f>VLOOKUP(D135,'Activity List CSI'!$C$4:$H$146,6,0)</f>
        <v>03300</v>
      </c>
      <c r="J135" s="1" t="str">
        <f>VLOOKUP($E135,'Activity List CSI'!$D$4:$J$146,'Mat. List CSI'!J$1,0)</f>
        <v>Cast-In-Place Concrete</v>
      </c>
      <c r="K135" s="1" t="s">
        <v>429</v>
      </c>
      <c r="L135" s="1">
        <v>105</v>
      </c>
      <c r="M135" s="1" t="str">
        <f t="shared" si="5"/>
        <v>03300105</v>
      </c>
      <c r="N135" s="12" t="str">
        <f t="shared" si="4"/>
        <v>03300105</v>
      </c>
    </row>
    <row r="136" spans="4:14" x14ac:dyDescent="0.25">
      <c r="D136" s="11" t="s">
        <v>228</v>
      </c>
      <c r="E136" s="134" t="str">
        <f>VLOOKUP(F136,'Activity List CSI'!$B$4:$D$146,3,0)</f>
        <v>03300-14</v>
      </c>
      <c r="F136" s="1" t="s">
        <v>437</v>
      </c>
      <c r="G136" s="1" t="str">
        <f>VLOOKUP($E136,'Activity List CSI'!$D$4:$J$146,'Mat. List CSI'!G$1,0)</f>
        <v>03</v>
      </c>
      <c r="H136" s="1" t="str">
        <f>VLOOKUP($E136,'Activity List CSI'!$D$4:$J$146,'Mat. List CSI'!H$1,0)</f>
        <v>ConcreteWork</v>
      </c>
      <c r="I136" s="1" t="str">
        <f>VLOOKUP(D136,'Activity List CSI'!$C$4:$H$146,6,0)</f>
        <v>03300</v>
      </c>
      <c r="J136" s="1" t="str">
        <f>VLOOKUP($E136,'Activity List CSI'!$D$4:$J$146,'Mat. List CSI'!J$1,0)</f>
        <v>Cast-In-Place Concrete</v>
      </c>
      <c r="K136" s="1" t="s">
        <v>430</v>
      </c>
      <c r="L136" s="1">
        <v>115</v>
      </c>
      <c r="M136" s="1" t="str">
        <f t="shared" si="5"/>
        <v>03300115</v>
      </c>
      <c r="N136" s="12" t="str">
        <f t="shared" si="4"/>
        <v>03300115</v>
      </c>
    </row>
    <row r="137" spans="4:14" x14ac:dyDescent="0.25">
      <c r="D137" s="11" t="s">
        <v>228</v>
      </c>
      <c r="E137" s="134" t="str">
        <f>VLOOKUP(F137,'Activity List CSI'!$B$4:$D$146,3,0)</f>
        <v>03300-14</v>
      </c>
      <c r="F137" s="1" t="s">
        <v>437</v>
      </c>
      <c r="G137" s="1" t="str">
        <f>VLOOKUP($E137,'Activity List CSI'!$D$4:$J$146,'Mat. List CSI'!G$1,0)</f>
        <v>03</v>
      </c>
      <c r="H137" s="1" t="str">
        <f>VLOOKUP($E137,'Activity List CSI'!$D$4:$J$146,'Mat. List CSI'!H$1,0)</f>
        <v>ConcreteWork</v>
      </c>
      <c r="I137" s="1" t="str">
        <f>VLOOKUP(D137,'Activity List CSI'!$C$4:$H$146,6,0)</f>
        <v>03300</v>
      </c>
      <c r="J137" s="1" t="str">
        <f>VLOOKUP($E137,'Activity List CSI'!$D$4:$J$146,'Mat. List CSI'!J$1,0)</f>
        <v>Cast-In-Place Concrete</v>
      </c>
      <c r="K137" s="1" t="s">
        <v>431</v>
      </c>
      <c r="L137" s="1">
        <v>110</v>
      </c>
      <c r="M137" s="1" t="str">
        <f t="shared" si="5"/>
        <v>03300110</v>
      </c>
      <c r="N137" s="12" t="str">
        <f t="shared" si="4"/>
        <v>03300110</v>
      </c>
    </row>
    <row r="138" spans="4:14" x14ac:dyDescent="0.25">
      <c r="D138" s="11" t="s">
        <v>228</v>
      </c>
      <c r="E138" s="134" t="str">
        <f>VLOOKUP(F138,'Activity List CSI'!$B$4:$D$146,3,0)</f>
        <v>03300-14</v>
      </c>
      <c r="F138" s="1" t="s">
        <v>437</v>
      </c>
      <c r="G138" s="1" t="str">
        <f>VLOOKUP($E138,'Activity List CSI'!$D$4:$J$146,'Mat. List CSI'!G$1,0)</f>
        <v>03</v>
      </c>
      <c r="H138" s="1" t="str">
        <f>VLOOKUP($E138,'Activity List CSI'!$D$4:$J$146,'Mat. List CSI'!H$1,0)</f>
        <v>ConcreteWork</v>
      </c>
      <c r="I138" s="1" t="str">
        <f>VLOOKUP(D138,'Activity List CSI'!$C$4:$H$146,6,0)</f>
        <v>03300</v>
      </c>
      <c r="J138" s="1" t="str">
        <f>VLOOKUP($E138,'Activity List CSI'!$D$4:$J$146,'Mat. List CSI'!J$1,0)</f>
        <v>Cast-In-Place Concrete</v>
      </c>
      <c r="K138" s="1" t="s">
        <v>432</v>
      </c>
      <c r="L138" s="1">
        <v>135</v>
      </c>
      <c r="M138" s="1" t="str">
        <f t="shared" si="5"/>
        <v>03300135</v>
      </c>
      <c r="N138" s="12" t="str">
        <f t="shared" si="4"/>
        <v>03300135</v>
      </c>
    </row>
    <row r="139" spans="4:14" x14ac:dyDescent="0.25">
      <c r="D139" s="11" t="s">
        <v>228</v>
      </c>
      <c r="E139" s="134" t="str">
        <f>VLOOKUP(F139,'Activity List CSI'!$B$4:$D$146,3,0)</f>
        <v>03300-14</v>
      </c>
      <c r="F139" s="1" t="s">
        <v>437</v>
      </c>
      <c r="G139" s="1" t="str">
        <f>VLOOKUP($E139,'Activity List CSI'!$D$4:$J$146,'Mat. List CSI'!G$1,0)</f>
        <v>03</v>
      </c>
      <c r="H139" s="1" t="str">
        <f>VLOOKUP($E139,'Activity List CSI'!$D$4:$J$146,'Mat. List CSI'!H$1,0)</f>
        <v>ConcreteWork</v>
      </c>
      <c r="I139" s="1" t="str">
        <f>VLOOKUP(D139,'Activity List CSI'!$C$4:$H$146,6,0)</f>
        <v>03300</v>
      </c>
      <c r="J139" s="1" t="str">
        <f>VLOOKUP($E139,'Activity List CSI'!$D$4:$J$146,'Mat. List CSI'!J$1,0)</f>
        <v>Cast-In-Place Concrete</v>
      </c>
      <c r="K139" s="1" t="s">
        <v>430</v>
      </c>
      <c r="L139" s="1">
        <v>115</v>
      </c>
      <c r="M139" s="1" t="str">
        <f t="shared" si="5"/>
        <v>03300115</v>
      </c>
      <c r="N139" s="12" t="str">
        <f t="shared" si="4"/>
        <v>03300115</v>
      </c>
    </row>
    <row r="140" spans="4:14" x14ac:dyDescent="0.25">
      <c r="D140" s="11" t="s">
        <v>228</v>
      </c>
      <c r="E140" s="134" t="str">
        <f>VLOOKUP(F140,'Activity List CSI'!$B$4:$D$146,3,0)</f>
        <v>03300-14</v>
      </c>
      <c r="F140" s="1" t="s">
        <v>437</v>
      </c>
      <c r="G140" s="1" t="str">
        <f>VLOOKUP($E140,'Activity List CSI'!$D$4:$J$146,'Mat. List CSI'!G$1,0)</f>
        <v>03</v>
      </c>
      <c r="H140" s="1" t="str">
        <f>VLOOKUP($E140,'Activity List CSI'!$D$4:$J$146,'Mat. List CSI'!H$1,0)</f>
        <v>ConcreteWork</v>
      </c>
      <c r="I140" s="1" t="str">
        <f>VLOOKUP(D140,'Activity List CSI'!$C$4:$H$146,6,0)</f>
        <v>03300</v>
      </c>
      <c r="J140" s="1" t="str">
        <f>VLOOKUP($E140,'Activity List CSI'!$D$4:$J$146,'Mat. List CSI'!J$1,0)</f>
        <v>Cast-In-Place Concrete</v>
      </c>
      <c r="K140" s="1" t="s">
        <v>431</v>
      </c>
      <c r="L140" s="1">
        <v>110</v>
      </c>
      <c r="M140" s="1" t="str">
        <f t="shared" si="5"/>
        <v>03300110</v>
      </c>
      <c r="N140" s="12" t="str">
        <f t="shared" si="4"/>
        <v>03300110</v>
      </c>
    </row>
    <row r="141" spans="4:14" x14ac:dyDescent="0.25">
      <c r="D141" s="11" t="s">
        <v>228</v>
      </c>
      <c r="E141" s="134" t="str">
        <f>VLOOKUP(F141,'Activity List CSI'!$B$4:$D$146,3,0)</f>
        <v>03300-14</v>
      </c>
      <c r="F141" s="1" t="s">
        <v>437</v>
      </c>
      <c r="G141" s="1" t="str">
        <f>VLOOKUP($E141,'Activity List CSI'!$D$4:$J$146,'Mat. List CSI'!G$1,0)</f>
        <v>03</v>
      </c>
      <c r="H141" s="1" t="str">
        <f>VLOOKUP($E141,'Activity List CSI'!$D$4:$J$146,'Mat. List CSI'!H$1,0)</f>
        <v>ConcreteWork</v>
      </c>
      <c r="I141" s="1" t="str">
        <f>VLOOKUP(D141,'Activity List CSI'!$C$4:$H$146,6,0)</f>
        <v>03300</v>
      </c>
      <c r="J141" s="1" t="str">
        <f>VLOOKUP($E141,'Activity List CSI'!$D$4:$J$146,'Mat. List CSI'!J$1,0)</f>
        <v>Cast-In-Place Concrete</v>
      </c>
      <c r="K141" s="1" t="s">
        <v>432</v>
      </c>
      <c r="L141" s="1">
        <v>135</v>
      </c>
      <c r="M141" s="1" t="str">
        <f t="shared" si="5"/>
        <v>03300135</v>
      </c>
      <c r="N141" s="12" t="str">
        <f t="shared" si="4"/>
        <v>03300135</v>
      </c>
    </row>
    <row r="142" spans="4:14" x14ac:dyDescent="0.25">
      <c r="D142" s="11" t="s">
        <v>104</v>
      </c>
      <c r="E142" s="134" t="str">
        <f>VLOOKUP(F142,'Activity List CSI'!$B$4:$D$146,3,0)</f>
        <v>04200-01</v>
      </c>
      <c r="F142" s="1" t="s">
        <v>4</v>
      </c>
      <c r="G142" s="1" t="str">
        <f>VLOOKUP($E142,'Activity List CSI'!$D$4:$J$146,'Mat. List CSI'!G$1,0)</f>
        <v>04</v>
      </c>
      <c r="H142" s="1" t="str">
        <f>VLOOKUP($E142,'Activity List CSI'!$D$4:$J$146,'Mat. List CSI'!H$1,0)</f>
        <v>BlockWork</v>
      </c>
      <c r="I142" s="1" t="str">
        <f>VLOOKUP(D142,'Activity List CSI'!$C$4:$H$146,6,0)</f>
        <v>04200</v>
      </c>
      <c r="J142" s="1" t="str">
        <f>VLOOKUP($E142,'Activity List CSI'!$D$4:$J$146,'Mat. List CSI'!J$1,0)</f>
        <v>Masonary Units</v>
      </c>
      <c r="K142" s="1" t="s">
        <v>438</v>
      </c>
      <c r="L142" s="1">
        <v>115</v>
      </c>
      <c r="M142" s="1" t="str">
        <f t="shared" si="5"/>
        <v>04200115</v>
      </c>
      <c r="N142" s="12" t="str">
        <f t="shared" ref="N142:N143" si="6">M142</f>
        <v>04200115</v>
      </c>
    </row>
    <row r="143" spans="4:14" x14ac:dyDescent="0.25">
      <c r="D143" s="11" t="s">
        <v>104</v>
      </c>
      <c r="E143" s="134" t="str">
        <f>VLOOKUP(F143,'Activity List CSI'!$B$4:$D$146,3,0)</f>
        <v>04200-01</v>
      </c>
      <c r="F143" s="1" t="s">
        <v>4</v>
      </c>
      <c r="G143" s="1" t="str">
        <f>VLOOKUP($E143,'Activity List CSI'!$D$4:$J$146,'Mat. List CSI'!G$1,0)</f>
        <v>04</v>
      </c>
      <c r="H143" s="1" t="str">
        <f>VLOOKUP($E143,'Activity List CSI'!$D$4:$J$146,'Mat. List CSI'!H$1,0)</f>
        <v>BlockWork</v>
      </c>
      <c r="I143" s="1" t="str">
        <f>VLOOKUP(D143,'Activity List CSI'!$C$4:$H$146,6,0)</f>
        <v>04200</v>
      </c>
      <c r="J143" s="1" t="str">
        <f>VLOOKUP($E143,'Activity List CSI'!$D$4:$J$146,'Mat. List CSI'!J$1,0)</f>
        <v>Masonary Units</v>
      </c>
      <c r="K143" s="1" t="s">
        <v>439</v>
      </c>
      <c r="L143" s="1">
        <v>125</v>
      </c>
      <c r="M143" s="1" t="str">
        <f t="shared" si="5"/>
        <v>04200125</v>
      </c>
      <c r="N143" s="12" t="str">
        <f t="shared" si="6"/>
        <v>04200125</v>
      </c>
    </row>
    <row r="144" spans="4:14" x14ac:dyDescent="0.25">
      <c r="D144" s="11" t="s">
        <v>104</v>
      </c>
      <c r="E144" s="134" t="str">
        <f>VLOOKUP(F144,'Activity List CSI'!$B$4:$D$146,3,0)</f>
        <v>04200-01</v>
      </c>
      <c r="F144" s="1" t="s">
        <v>4</v>
      </c>
      <c r="G144" s="1" t="str">
        <f>VLOOKUP($E144,'Activity List CSI'!$D$4:$J$146,'Mat. List CSI'!G$1,0)</f>
        <v>04</v>
      </c>
      <c r="H144" s="1" t="str">
        <f>VLOOKUP($E144,'Activity List CSI'!$D$4:$J$146,'Mat. List CSI'!H$1,0)</f>
        <v>BlockWork</v>
      </c>
      <c r="I144" s="1" t="str">
        <f>VLOOKUP(D144,'Activity List CSI'!$C$4:$H$146,6,0)</f>
        <v>04200</v>
      </c>
      <c r="J144" s="1" t="str">
        <f>VLOOKUP($E144,'Activity List CSI'!$D$4:$J$146,'Mat. List CSI'!J$1,0)</f>
        <v>Masonary Units</v>
      </c>
      <c r="K144" s="1" t="s">
        <v>440</v>
      </c>
      <c r="L144" s="1">
        <v>105</v>
      </c>
      <c r="M144" s="13" t="str">
        <f t="shared" si="5"/>
        <v>04200105</v>
      </c>
      <c r="N144" s="12" t="s">
        <v>441</v>
      </c>
    </row>
    <row r="145" spans="4:14" x14ac:dyDescent="0.25">
      <c r="D145" s="11" t="s">
        <v>104</v>
      </c>
      <c r="E145" s="134" t="str">
        <f>VLOOKUP(F145,'Activity List CSI'!$B$4:$D$146,3,0)</f>
        <v>04200-01</v>
      </c>
      <c r="F145" s="1" t="s">
        <v>4</v>
      </c>
      <c r="G145" s="1" t="str">
        <f>VLOOKUP($E145,'Activity List CSI'!$D$4:$J$146,'Mat. List CSI'!G$1,0)</f>
        <v>04</v>
      </c>
      <c r="H145" s="1" t="str">
        <f>VLOOKUP($E145,'Activity List CSI'!$D$4:$J$146,'Mat. List CSI'!H$1,0)</f>
        <v>BlockWork</v>
      </c>
      <c r="I145" s="1" t="str">
        <f>VLOOKUP(D145,'Activity List CSI'!$C$4:$H$146,6,0)</f>
        <v>04200</v>
      </c>
      <c r="J145" s="1" t="str">
        <f>VLOOKUP($E145,'Activity List CSI'!$D$4:$J$146,'Mat. List CSI'!J$1,0)</f>
        <v>Masonary Units</v>
      </c>
      <c r="K145" s="1" t="s">
        <v>442</v>
      </c>
      <c r="L145" s="1">
        <v>110</v>
      </c>
      <c r="M145" s="1" t="str">
        <f t="shared" si="5"/>
        <v>04200110</v>
      </c>
      <c r="N145" s="12" t="str">
        <f t="shared" ref="N145:N147" si="7">M145</f>
        <v>04200110</v>
      </c>
    </row>
    <row r="146" spans="4:14" x14ac:dyDescent="0.25">
      <c r="D146" s="11" t="s">
        <v>104</v>
      </c>
      <c r="E146" s="134" t="str">
        <f>VLOOKUP(F146,'Activity List CSI'!$B$4:$D$146,3,0)</f>
        <v>04200-01</v>
      </c>
      <c r="F146" s="1" t="s">
        <v>4</v>
      </c>
      <c r="G146" s="1" t="str">
        <f>VLOOKUP($E146,'Activity List CSI'!$D$4:$J$146,'Mat. List CSI'!G$1,0)</f>
        <v>04</v>
      </c>
      <c r="H146" s="1" t="str">
        <f>VLOOKUP($E146,'Activity List CSI'!$D$4:$J$146,'Mat. List CSI'!H$1,0)</f>
        <v>BlockWork</v>
      </c>
      <c r="I146" s="1" t="str">
        <f>VLOOKUP(D146,'Activity List CSI'!$C$4:$H$146,6,0)</f>
        <v>04200</v>
      </c>
      <c r="J146" s="1" t="str">
        <f>VLOOKUP($E146,'Activity List CSI'!$D$4:$J$146,'Mat. List CSI'!J$1,0)</f>
        <v>Masonary Units</v>
      </c>
      <c r="K146" s="1" t="s">
        <v>438</v>
      </c>
      <c r="L146" s="1">
        <v>115</v>
      </c>
      <c r="M146" s="1" t="str">
        <f t="shared" si="5"/>
        <v>04200115</v>
      </c>
      <c r="N146" s="12" t="str">
        <f t="shared" si="7"/>
        <v>04200115</v>
      </c>
    </row>
    <row r="147" spans="4:14" x14ac:dyDescent="0.25">
      <c r="D147" s="11" t="s">
        <v>104</v>
      </c>
      <c r="E147" s="134" t="str">
        <f>VLOOKUP(F147,'Activity List CSI'!$B$4:$D$146,3,0)</f>
        <v>04200-01</v>
      </c>
      <c r="F147" s="1" t="s">
        <v>4</v>
      </c>
      <c r="G147" s="1" t="str">
        <f>VLOOKUP($E147,'Activity List CSI'!$D$4:$J$146,'Mat. List CSI'!G$1,0)</f>
        <v>04</v>
      </c>
      <c r="H147" s="1" t="str">
        <f>VLOOKUP($E147,'Activity List CSI'!$D$4:$J$146,'Mat. List CSI'!H$1,0)</f>
        <v>BlockWork</v>
      </c>
      <c r="I147" s="1" t="str">
        <f>VLOOKUP(D147,'Activity List CSI'!$C$4:$H$146,6,0)</f>
        <v>04200</v>
      </c>
      <c r="J147" s="1" t="str">
        <f>VLOOKUP($E147,'Activity List CSI'!$D$4:$J$146,'Mat. List CSI'!J$1,0)</f>
        <v>Masonary Units</v>
      </c>
      <c r="K147" s="1" t="s">
        <v>439</v>
      </c>
      <c r="L147" s="1">
        <v>125</v>
      </c>
      <c r="M147" s="1" t="str">
        <f t="shared" si="5"/>
        <v>04200125</v>
      </c>
      <c r="N147" s="12" t="str">
        <f t="shared" si="7"/>
        <v>04200125</v>
      </c>
    </row>
    <row r="148" spans="4:14" x14ac:dyDescent="0.25">
      <c r="D148" s="11" t="s">
        <v>104</v>
      </c>
      <c r="E148" s="134" t="str">
        <f>VLOOKUP(F148,'Activity List CSI'!$B$4:$D$146,3,0)</f>
        <v>04200-01</v>
      </c>
      <c r="F148" s="1" t="s">
        <v>4</v>
      </c>
      <c r="G148" s="1" t="str">
        <f>VLOOKUP($E148,'Activity List CSI'!$D$4:$J$146,'Mat. List CSI'!G$1,0)</f>
        <v>04</v>
      </c>
      <c r="H148" s="1" t="str">
        <f>VLOOKUP($E148,'Activity List CSI'!$D$4:$J$146,'Mat. List CSI'!H$1,0)</f>
        <v>BlockWork</v>
      </c>
      <c r="I148" s="1" t="str">
        <f>VLOOKUP(D148,'Activity List CSI'!$C$4:$H$146,6,0)</f>
        <v>04200</v>
      </c>
      <c r="J148" s="1" t="str">
        <f>VLOOKUP($E148,'Activity List CSI'!$D$4:$J$146,'Mat. List CSI'!J$1,0)</f>
        <v>Masonary Units</v>
      </c>
      <c r="K148" s="1" t="s">
        <v>440</v>
      </c>
      <c r="L148" s="1">
        <v>105</v>
      </c>
      <c r="M148" s="13" t="str">
        <f t="shared" si="5"/>
        <v>04200105</v>
      </c>
      <c r="N148" s="12" t="s">
        <v>441</v>
      </c>
    </row>
    <row r="149" spans="4:14" x14ac:dyDescent="0.25">
      <c r="D149" s="11" t="s">
        <v>104</v>
      </c>
      <c r="E149" s="134" t="str">
        <f>VLOOKUP(F149,'Activity List CSI'!$B$4:$D$146,3,0)</f>
        <v>04200-01</v>
      </c>
      <c r="F149" s="1" t="s">
        <v>4</v>
      </c>
      <c r="G149" s="1" t="str">
        <f>VLOOKUP($E149,'Activity List CSI'!$D$4:$J$146,'Mat. List CSI'!G$1,0)</f>
        <v>04</v>
      </c>
      <c r="H149" s="1" t="str">
        <f>VLOOKUP($E149,'Activity List CSI'!$D$4:$J$146,'Mat. List CSI'!H$1,0)</f>
        <v>BlockWork</v>
      </c>
      <c r="I149" s="1" t="str">
        <f>VLOOKUP(D149,'Activity List CSI'!$C$4:$H$146,6,0)</f>
        <v>04200</v>
      </c>
      <c r="J149" s="1" t="str">
        <f>VLOOKUP($E149,'Activity List CSI'!$D$4:$J$146,'Mat. List CSI'!J$1,0)</f>
        <v>Masonary Units</v>
      </c>
      <c r="K149" s="1" t="s">
        <v>442</v>
      </c>
      <c r="L149" s="1">
        <v>110</v>
      </c>
      <c r="M149" s="1" t="str">
        <f t="shared" si="5"/>
        <v>04200110</v>
      </c>
      <c r="N149" s="12" t="str">
        <f t="shared" ref="N149:N151" si="8">M149</f>
        <v>04200110</v>
      </c>
    </row>
    <row r="150" spans="4:14" x14ac:dyDescent="0.25">
      <c r="D150" s="11" t="s">
        <v>105</v>
      </c>
      <c r="E150" s="134" t="str">
        <f>VLOOKUP(F150,'Activity List CSI'!$B$4:$D$146,3,0)</f>
        <v>04200-02</v>
      </c>
      <c r="F150" s="1" t="s">
        <v>106</v>
      </c>
      <c r="G150" s="1" t="str">
        <f>VLOOKUP($E150,'Activity List CSI'!$D$4:$J$146,'Mat. List CSI'!G$1,0)</f>
        <v>04</v>
      </c>
      <c r="H150" s="1" t="str">
        <f>VLOOKUP($E150,'Activity List CSI'!$D$4:$J$146,'Mat. List CSI'!H$1,0)</f>
        <v>BlockWork</v>
      </c>
      <c r="I150" s="1" t="str">
        <f>VLOOKUP(D150,'Activity List CSI'!$C$4:$H$146,6,0)</f>
        <v>04200</v>
      </c>
      <c r="J150" s="1" t="str">
        <f>VLOOKUP($E150,'Activity List CSI'!$D$4:$J$146,'Mat. List CSI'!J$1,0)</f>
        <v>Masonary Units</v>
      </c>
      <c r="K150" s="1" t="s">
        <v>438</v>
      </c>
      <c r="L150" s="1">
        <v>115</v>
      </c>
      <c r="M150" s="1" t="str">
        <f t="shared" si="5"/>
        <v>04200115</v>
      </c>
      <c r="N150" s="12" t="str">
        <f t="shared" si="8"/>
        <v>04200115</v>
      </c>
    </row>
    <row r="151" spans="4:14" x14ac:dyDescent="0.25">
      <c r="D151" s="11" t="s">
        <v>105</v>
      </c>
      <c r="E151" s="134" t="str">
        <f>VLOOKUP(F151,'Activity List CSI'!$B$4:$D$146,3,0)</f>
        <v>04200-02</v>
      </c>
      <c r="F151" s="1" t="s">
        <v>106</v>
      </c>
      <c r="G151" s="1" t="str">
        <f>VLOOKUP($E151,'Activity List CSI'!$D$4:$J$146,'Mat. List CSI'!G$1,0)</f>
        <v>04</v>
      </c>
      <c r="H151" s="1" t="str">
        <f>VLOOKUP($E151,'Activity List CSI'!$D$4:$J$146,'Mat. List CSI'!H$1,0)</f>
        <v>BlockWork</v>
      </c>
      <c r="I151" s="1" t="str">
        <f>VLOOKUP(D151,'Activity List CSI'!$C$4:$H$146,6,0)</f>
        <v>04200</v>
      </c>
      <c r="J151" s="1" t="str">
        <f>VLOOKUP($E151,'Activity List CSI'!$D$4:$J$146,'Mat. List CSI'!J$1,0)</f>
        <v>Masonary Units</v>
      </c>
      <c r="K151" s="1" t="s">
        <v>439</v>
      </c>
      <c r="L151" s="1">
        <v>125</v>
      </c>
      <c r="M151" s="1" t="str">
        <f t="shared" si="5"/>
        <v>04200125</v>
      </c>
      <c r="N151" s="12" t="str">
        <f t="shared" si="8"/>
        <v>04200125</v>
      </c>
    </row>
    <row r="152" spans="4:14" x14ac:dyDescent="0.25">
      <c r="D152" s="11" t="s">
        <v>105</v>
      </c>
      <c r="E152" s="134" t="str">
        <f>VLOOKUP(F152,'Activity List CSI'!$B$4:$D$146,3,0)</f>
        <v>04200-02</v>
      </c>
      <c r="F152" s="1" t="s">
        <v>106</v>
      </c>
      <c r="G152" s="1" t="str">
        <f>VLOOKUP($E152,'Activity List CSI'!$D$4:$J$146,'Mat. List CSI'!G$1,0)</f>
        <v>04</v>
      </c>
      <c r="H152" s="1" t="str">
        <f>VLOOKUP($E152,'Activity List CSI'!$D$4:$J$146,'Mat. List CSI'!H$1,0)</f>
        <v>BlockWork</v>
      </c>
      <c r="I152" s="1" t="str">
        <f>VLOOKUP(D152,'Activity List CSI'!$C$4:$H$146,6,0)</f>
        <v>04200</v>
      </c>
      <c r="J152" s="1" t="str">
        <f>VLOOKUP($E152,'Activity List CSI'!$D$4:$J$146,'Mat. List CSI'!J$1,0)</f>
        <v>Masonary Units</v>
      </c>
      <c r="K152" s="1" t="s">
        <v>440</v>
      </c>
      <c r="L152" s="1">
        <v>105</v>
      </c>
      <c r="M152" s="13" t="str">
        <f t="shared" si="5"/>
        <v>04200105</v>
      </c>
      <c r="N152" s="12" t="s">
        <v>441</v>
      </c>
    </row>
    <row r="153" spans="4:14" x14ac:dyDescent="0.25">
      <c r="D153" s="11" t="s">
        <v>105</v>
      </c>
      <c r="E153" s="134" t="str">
        <f>VLOOKUP(F153,'Activity List CSI'!$B$4:$D$146,3,0)</f>
        <v>04200-02</v>
      </c>
      <c r="F153" s="1" t="s">
        <v>106</v>
      </c>
      <c r="G153" s="1" t="str">
        <f>VLOOKUP($E153,'Activity List CSI'!$D$4:$J$146,'Mat. List CSI'!G$1,0)</f>
        <v>04</v>
      </c>
      <c r="H153" s="1" t="str">
        <f>VLOOKUP($E153,'Activity List CSI'!$D$4:$J$146,'Mat. List CSI'!H$1,0)</f>
        <v>BlockWork</v>
      </c>
      <c r="I153" s="1" t="str">
        <f>VLOOKUP(D153,'Activity List CSI'!$C$4:$H$146,6,0)</f>
        <v>04200</v>
      </c>
      <c r="J153" s="1" t="str">
        <f>VLOOKUP($E153,'Activity List CSI'!$D$4:$J$146,'Mat. List CSI'!J$1,0)</f>
        <v>Masonary Units</v>
      </c>
      <c r="K153" s="1" t="s">
        <v>442</v>
      </c>
      <c r="L153" s="1">
        <v>110</v>
      </c>
      <c r="M153" s="1" t="str">
        <f t="shared" si="5"/>
        <v>04200110</v>
      </c>
      <c r="N153" s="12" t="str">
        <f t="shared" ref="N153:N155" si="9">M153</f>
        <v>04200110</v>
      </c>
    </row>
    <row r="154" spans="4:14" x14ac:dyDescent="0.25">
      <c r="D154" s="11" t="s">
        <v>105</v>
      </c>
      <c r="E154" s="134" t="str">
        <f>VLOOKUP(F154,'Activity List CSI'!$B$4:$D$146,3,0)</f>
        <v>04200-02</v>
      </c>
      <c r="F154" s="1" t="s">
        <v>106</v>
      </c>
      <c r="G154" s="1" t="str">
        <f>VLOOKUP($E154,'Activity List CSI'!$D$4:$J$146,'Mat. List CSI'!G$1,0)</f>
        <v>04</v>
      </c>
      <c r="H154" s="1" t="str">
        <f>VLOOKUP($E154,'Activity List CSI'!$D$4:$J$146,'Mat. List CSI'!H$1,0)</f>
        <v>BlockWork</v>
      </c>
      <c r="I154" s="1" t="str">
        <f>VLOOKUP(D154,'Activity List CSI'!$C$4:$H$146,6,0)</f>
        <v>04200</v>
      </c>
      <c r="J154" s="1" t="str">
        <f>VLOOKUP($E154,'Activity List CSI'!$D$4:$J$146,'Mat. List CSI'!J$1,0)</f>
        <v>Masonary Units</v>
      </c>
      <c r="K154" s="1" t="s">
        <v>438</v>
      </c>
      <c r="L154" s="1">
        <v>115</v>
      </c>
      <c r="M154" s="1" t="str">
        <f t="shared" si="5"/>
        <v>04200115</v>
      </c>
      <c r="N154" s="12" t="str">
        <f t="shared" si="9"/>
        <v>04200115</v>
      </c>
    </row>
    <row r="155" spans="4:14" x14ac:dyDescent="0.25">
      <c r="D155" s="11" t="s">
        <v>105</v>
      </c>
      <c r="E155" s="134" t="str">
        <f>VLOOKUP(F155,'Activity List CSI'!$B$4:$D$146,3,0)</f>
        <v>04200-02</v>
      </c>
      <c r="F155" s="1" t="s">
        <v>106</v>
      </c>
      <c r="G155" s="1" t="str">
        <f>VLOOKUP($E155,'Activity List CSI'!$D$4:$J$146,'Mat. List CSI'!G$1,0)</f>
        <v>04</v>
      </c>
      <c r="H155" s="1" t="str">
        <f>VLOOKUP($E155,'Activity List CSI'!$D$4:$J$146,'Mat. List CSI'!H$1,0)</f>
        <v>BlockWork</v>
      </c>
      <c r="I155" s="1" t="str">
        <f>VLOOKUP(D155,'Activity List CSI'!$C$4:$H$146,6,0)</f>
        <v>04200</v>
      </c>
      <c r="J155" s="1" t="str">
        <f>VLOOKUP($E155,'Activity List CSI'!$D$4:$J$146,'Mat. List CSI'!J$1,0)</f>
        <v>Masonary Units</v>
      </c>
      <c r="K155" s="1" t="s">
        <v>439</v>
      </c>
      <c r="L155" s="1">
        <v>125</v>
      </c>
      <c r="M155" s="1" t="str">
        <f t="shared" si="5"/>
        <v>04200125</v>
      </c>
      <c r="N155" s="12" t="str">
        <f t="shared" si="9"/>
        <v>04200125</v>
      </c>
    </row>
    <row r="156" spans="4:14" x14ac:dyDescent="0.25">
      <c r="D156" s="11" t="s">
        <v>105</v>
      </c>
      <c r="E156" s="134" t="str">
        <f>VLOOKUP(F156,'Activity List CSI'!$B$4:$D$146,3,0)</f>
        <v>04200-02</v>
      </c>
      <c r="F156" s="1" t="s">
        <v>106</v>
      </c>
      <c r="G156" s="1" t="str">
        <f>VLOOKUP($E156,'Activity List CSI'!$D$4:$J$146,'Mat. List CSI'!G$1,0)</f>
        <v>04</v>
      </c>
      <c r="H156" s="1" t="str">
        <f>VLOOKUP($E156,'Activity List CSI'!$D$4:$J$146,'Mat. List CSI'!H$1,0)</f>
        <v>BlockWork</v>
      </c>
      <c r="I156" s="1" t="str">
        <f>VLOOKUP(D156,'Activity List CSI'!$C$4:$H$146,6,0)</f>
        <v>04200</v>
      </c>
      <c r="J156" s="1" t="str">
        <f>VLOOKUP($E156,'Activity List CSI'!$D$4:$J$146,'Mat. List CSI'!J$1,0)</f>
        <v>Masonary Units</v>
      </c>
      <c r="K156" s="1" t="s">
        <v>440</v>
      </c>
      <c r="L156" s="1">
        <v>105</v>
      </c>
      <c r="M156" s="13" t="str">
        <f t="shared" si="5"/>
        <v>04200105</v>
      </c>
      <c r="N156" s="12" t="s">
        <v>441</v>
      </c>
    </row>
    <row r="157" spans="4:14" x14ac:dyDescent="0.25">
      <c r="D157" s="11" t="s">
        <v>105</v>
      </c>
      <c r="E157" s="134" t="str">
        <f>VLOOKUP(F157,'Activity List CSI'!$B$4:$D$146,3,0)</f>
        <v>04200-02</v>
      </c>
      <c r="F157" s="1" t="s">
        <v>106</v>
      </c>
      <c r="G157" s="1" t="str">
        <f>VLOOKUP($E157,'Activity List CSI'!$D$4:$J$146,'Mat. List CSI'!G$1,0)</f>
        <v>04</v>
      </c>
      <c r="H157" s="1" t="str">
        <f>VLOOKUP($E157,'Activity List CSI'!$D$4:$J$146,'Mat. List CSI'!H$1,0)</f>
        <v>BlockWork</v>
      </c>
      <c r="I157" s="1" t="str">
        <f>VLOOKUP(D157,'Activity List CSI'!$C$4:$H$146,6,0)</f>
        <v>04200</v>
      </c>
      <c r="J157" s="1" t="str">
        <f>VLOOKUP($E157,'Activity List CSI'!$D$4:$J$146,'Mat. List CSI'!J$1,0)</f>
        <v>Masonary Units</v>
      </c>
      <c r="K157" s="1" t="s">
        <v>442</v>
      </c>
      <c r="L157" s="1">
        <v>110</v>
      </c>
      <c r="M157" s="1" t="str">
        <f t="shared" si="5"/>
        <v>04200110</v>
      </c>
      <c r="N157" s="12" t="str">
        <f t="shared" ref="N157:N169" si="10">M157</f>
        <v>04200110</v>
      </c>
    </row>
    <row r="158" spans="4:14" x14ac:dyDescent="0.25">
      <c r="D158" s="11" t="s">
        <v>107</v>
      </c>
      <c r="E158" s="134" t="str">
        <f>VLOOKUP(F158,'Activity List CSI'!$B$4:$D$146,3,0)</f>
        <v>04400-01</v>
      </c>
      <c r="F158" s="1" t="s">
        <v>108</v>
      </c>
      <c r="G158" s="1" t="str">
        <f>VLOOKUP($E158,'Activity List CSI'!$D$4:$J$146,'Mat. List CSI'!G$1,0)</f>
        <v>04</v>
      </c>
      <c r="H158" s="1" t="str">
        <f>VLOOKUP($E158,'Activity List CSI'!$D$4:$J$146,'Mat. List CSI'!H$1,0)</f>
        <v>BlockWork</v>
      </c>
      <c r="I158" s="1" t="str">
        <f>VLOOKUP(D158,'Activity List CSI'!$C$4:$H$146,6,0)</f>
        <v>04400</v>
      </c>
      <c r="J158" s="1" t="str">
        <f>VLOOKUP($E158,'Activity List CSI'!$D$4:$J$146,'Mat. List CSI'!J$1,0)</f>
        <v>Stone</v>
      </c>
      <c r="K158" s="1" t="s">
        <v>443</v>
      </c>
      <c r="L158" s="1">
        <v>105</v>
      </c>
      <c r="M158" s="1" t="str">
        <f t="shared" si="5"/>
        <v>04400105</v>
      </c>
      <c r="N158" s="12" t="str">
        <f t="shared" si="10"/>
        <v>04400105</v>
      </c>
    </row>
    <row r="159" spans="4:14" x14ac:dyDescent="0.25">
      <c r="D159" s="11" t="s">
        <v>107</v>
      </c>
      <c r="E159" s="134" t="str">
        <f>VLOOKUP(F159,'Activity List CSI'!$B$4:$D$146,3,0)</f>
        <v>04400-01</v>
      </c>
      <c r="F159" s="1" t="s">
        <v>108</v>
      </c>
      <c r="G159" s="1" t="str">
        <f>VLOOKUP($E159,'Activity List CSI'!$D$4:$J$146,'Mat. List CSI'!G$1,0)</f>
        <v>04</v>
      </c>
      <c r="H159" s="1" t="str">
        <f>VLOOKUP($E159,'Activity List CSI'!$D$4:$J$146,'Mat. List CSI'!H$1,0)</f>
        <v>BlockWork</v>
      </c>
      <c r="I159" s="1" t="str">
        <f>VLOOKUP(D159,'Activity List CSI'!$C$4:$H$146,6,0)</f>
        <v>04400</v>
      </c>
      <c r="J159" s="1" t="str">
        <f>VLOOKUP($E159,'Activity List CSI'!$D$4:$J$146,'Mat. List CSI'!J$1,0)</f>
        <v>Stone</v>
      </c>
      <c r="K159" s="1" t="s">
        <v>443</v>
      </c>
      <c r="L159" s="1">
        <v>105</v>
      </c>
      <c r="M159" s="1" t="str">
        <f t="shared" si="5"/>
        <v>04400105</v>
      </c>
      <c r="N159" s="12" t="str">
        <f t="shared" si="10"/>
        <v>04400105</v>
      </c>
    </row>
    <row r="160" spans="4:14" x14ac:dyDescent="0.25">
      <c r="D160" s="11" t="s">
        <v>122</v>
      </c>
      <c r="E160" s="134" t="str">
        <f>VLOOKUP(F160,'Activity List CSI'!$B$4:$D$146,3,0)</f>
        <v>07100-01</v>
      </c>
      <c r="F160" s="1" t="s">
        <v>123</v>
      </c>
      <c r="G160" s="1" t="str">
        <f>VLOOKUP($E160,'Activity List CSI'!$D$4:$J$146,'Mat. List CSI'!G$1,0)</f>
        <v>07</v>
      </c>
      <c r="H160" s="1" t="str">
        <f>VLOOKUP($E160,'Activity List CSI'!$D$4:$J$146,'Mat. List CSI'!H$1,0)</f>
        <v>Insulation</v>
      </c>
      <c r="I160" s="1" t="str">
        <f>VLOOKUP(D160,'Activity List CSI'!$C$4:$H$146,6,0)</f>
        <v>07100</v>
      </c>
      <c r="J160" s="1" t="str">
        <f>VLOOKUP($E160,'Activity List CSI'!$D$4:$J$146,'Mat. List CSI'!J$1,0)</f>
        <v>Damproofing &amp; Waterproofing</v>
      </c>
      <c r="K160" s="1" t="s">
        <v>444</v>
      </c>
      <c r="L160" s="1">
        <v>105</v>
      </c>
      <c r="M160" s="1" t="str">
        <f t="shared" si="5"/>
        <v>07100105</v>
      </c>
      <c r="N160" s="12" t="str">
        <f t="shared" si="10"/>
        <v>07100105</v>
      </c>
    </row>
    <row r="161" spans="4:14" x14ac:dyDescent="0.25">
      <c r="D161" s="11" t="s">
        <v>122</v>
      </c>
      <c r="E161" s="134" t="str">
        <f>VLOOKUP(F161,'Activity List CSI'!$B$4:$D$146,3,0)</f>
        <v>07100-01</v>
      </c>
      <c r="F161" s="1" t="s">
        <v>123</v>
      </c>
      <c r="G161" s="1" t="str">
        <f>VLOOKUP($E161,'Activity List CSI'!$D$4:$J$146,'Mat. List CSI'!G$1,0)</f>
        <v>07</v>
      </c>
      <c r="H161" s="1" t="str">
        <f>VLOOKUP($E161,'Activity List CSI'!$D$4:$J$146,'Mat. List CSI'!H$1,0)</f>
        <v>Insulation</v>
      </c>
      <c r="I161" s="1" t="str">
        <f>VLOOKUP(D161,'Activity List CSI'!$C$4:$H$146,6,0)</f>
        <v>07100</v>
      </c>
      <c r="J161" s="1" t="str">
        <f>VLOOKUP($E161,'Activity List CSI'!$D$4:$J$146,'Mat. List CSI'!J$1,0)</f>
        <v>Damproofing &amp; Waterproofing</v>
      </c>
      <c r="K161" s="1" t="s">
        <v>444</v>
      </c>
      <c r="L161" s="1">
        <v>105</v>
      </c>
      <c r="M161" s="1" t="str">
        <f t="shared" si="5"/>
        <v>07100105</v>
      </c>
      <c r="N161" s="12" t="str">
        <f t="shared" si="10"/>
        <v>07100105</v>
      </c>
    </row>
    <row r="162" spans="4:14" x14ac:dyDescent="0.25">
      <c r="D162" s="11" t="s">
        <v>124</v>
      </c>
      <c r="E162" s="134" t="str">
        <f>VLOOKUP(F162,'Activity List CSI'!$B$4:$D$146,3,0)</f>
        <v>07100-02</v>
      </c>
      <c r="F162" s="1" t="s">
        <v>125</v>
      </c>
      <c r="G162" s="1" t="str">
        <f>VLOOKUP($E162,'Activity List CSI'!$D$4:$J$146,'Mat. List CSI'!G$1,0)</f>
        <v>07</v>
      </c>
      <c r="H162" s="1" t="str">
        <f>VLOOKUP($E162,'Activity List CSI'!$D$4:$J$146,'Mat. List CSI'!H$1,0)</f>
        <v>Insulation</v>
      </c>
      <c r="I162" s="1" t="str">
        <f>VLOOKUP(D162,'Activity List CSI'!$C$4:$H$146,6,0)</f>
        <v>07100</v>
      </c>
      <c r="J162" s="1" t="str">
        <f>VLOOKUP($E162,'Activity List CSI'!$D$4:$J$146,'Mat. List CSI'!J$1,0)</f>
        <v>Damproofing &amp; Waterproofing</v>
      </c>
      <c r="K162" s="1" t="s">
        <v>445</v>
      </c>
      <c r="L162" s="1">
        <v>110</v>
      </c>
      <c r="M162" s="1" t="str">
        <f t="shared" si="5"/>
        <v>07100110</v>
      </c>
      <c r="N162" s="12" t="str">
        <f t="shared" si="10"/>
        <v>07100110</v>
      </c>
    </row>
    <row r="163" spans="4:14" x14ac:dyDescent="0.25">
      <c r="D163" s="11" t="s">
        <v>124</v>
      </c>
      <c r="E163" s="134" t="str">
        <f>VLOOKUP(F163,'Activity List CSI'!$B$4:$D$146,3,0)</f>
        <v>07100-02</v>
      </c>
      <c r="F163" s="1" t="s">
        <v>125</v>
      </c>
      <c r="G163" s="1" t="str">
        <f>VLOOKUP($E163,'Activity List CSI'!$D$4:$J$146,'Mat. List CSI'!G$1,0)</f>
        <v>07</v>
      </c>
      <c r="H163" s="1" t="str">
        <f>VLOOKUP($E163,'Activity List CSI'!$D$4:$J$146,'Mat. List CSI'!H$1,0)</f>
        <v>Insulation</v>
      </c>
      <c r="I163" s="1" t="str">
        <f>VLOOKUP(D163,'Activity List CSI'!$C$4:$H$146,6,0)</f>
        <v>07100</v>
      </c>
      <c r="J163" s="1" t="str">
        <f>VLOOKUP($E163,'Activity List CSI'!$D$4:$J$146,'Mat. List CSI'!J$1,0)</f>
        <v>Damproofing &amp; Waterproofing</v>
      </c>
      <c r="K163" s="1" t="s">
        <v>445</v>
      </c>
      <c r="L163" s="1">
        <v>110</v>
      </c>
      <c r="M163" s="1" t="str">
        <f t="shared" si="5"/>
        <v>07100110</v>
      </c>
      <c r="N163" s="12" t="str">
        <f t="shared" si="10"/>
        <v>07100110</v>
      </c>
    </row>
    <row r="164" spans="4:14" x14ac:dyDescent="0.25">
      <c r="D164" s="11" t="s">
        <v>126</v>
      </c>
      <c r="E164" s="134" t="str">
        <f>VLOOKUP(F164,'Activity List CSI'!$B$4:$D$146,3,0)</f>
        <v>07100-03</v>
      </c>
      <c r="F164" s="1" t="s">
        <v>127</v>
      </c>
      <c r="G164" s="1" t="str">
        <f>VLOOKUP($E164,'Activity List CSI'!$D$4:$J$146,'Mat. List CSI'!G$1,0)</f>
        <v>07</v>
      </c>
      <c r="H164" s="1" t="str">
        <f>VLOOKUP($E164,'Activity List CSI'!$D$4:$J$146,'Mat. List CSI'!H$1,0)</f>
        <v>Insulation</v>
      </c>
      <c r="I164" s="1" t="str">
        <f>VLOOKUP(D164,'Activity List CSI'!$C$4:$H$146,6,0)</f>
        <v>07100</v>
      </c>
      <c r="J164" s="1" t="str">
        <f>VLOOKUP($E164,'Activity List CSI'!$D$4:$J$146,'Mat. List CSI'!J$1,0)</f>
        <v>Damproofing &amp; Waterproofing</v>
      </c>
      <c r="K164" s="1" t="s">
        <v>446</v>
      </c>
      <c r="L164" s="1">
        <v>115</v>
      </c>
      <c r="M164" s="1" t="str">
        <f t="shared" si="5"/>
        <v>07100115</v>
      </c>
      <c r="N164" s="12" t="str">
        <f t="shared" si="10"/>
        <v>07100115</v>
      </c>
    </row>
    <row r="165" spans="4:14" x14ac:dyDescent="0.25">
      <c r="D165" s="11" t="s">
        <v>126</v>
      </c>
      <c r="E165" s="134" t="str">
        <f>VLOOKUP(F165,'Activity List CSI'!$B$4:$D$146,3,0)</f>
        <v>07100-03</v>
      </c>
      <c r="F165" s="1" t="s">
        <v>127</v>
      </c>
      <c r="G165" s="1" t="str">
        <f>VLOOKUP($E165,'Activity List CSI'!$D$4:$J$146,'Mat. List CSI'!G$1,0)</f>
        <v>07</v>
      </c>
      <c r="H165" s="1" t="str">
        <f>VLOOKUP($E165,'Activity List CSI'!$D$4:$J$146,'Mat. List CSI'!H$1,0)</f>
        <v>Insulation</v>
      </c>
      <c r="I165" s="1" t="str">
        <f>VLOOKUP(D165,'Activity List CSI'!$C$4:$H$146,6,0)</f>
        <v>07100</v>
      </c>
      <c r="J165" s="1" t="str">
        <f>VLOOKUP($E165,'Activity List CSI'!$D$4:$J$146,'Mat. List CSI'!J$1,0)</f>
        <v>Damproofing &amp; Waterproofing</v>
      </c>
      <c r="K165" s="1" t="s">
        <v>446</v>
      </c>
      <c r="L165" s="1">
        <v>115</v>
      </c>
      <c r="M165" s="1" t="str">
        <f t="shared" si="5"/>
        <v>07100115</v>
      </c>
      <c r="N165" s="12" t="str">
        <f t="shared" si="10"/>
        <v>07100115</v>
      </c>
    </row>
    <row r="166" spans="4:14" x14ac:dyDescent="0.25">
      <c r="D166" s="11" t="s">
        <v>128</v>
      </c>
      <c r="E166" s="134" t="str">
        <f>VLOOKUP(F166,'Activity List CSI'!$B$4:$D$146,3,0)</f>
        <v>07100-04</v>
      </c>
      <c r="F166" s="1" t="s">
        <v>129</v>
      </c>
      <c r="G166" s="1" t="str">
        <f>VLOOKUP($E166,'Activity List CSI'!$D$4:$J$146,'Mat. List CSI'!G$1,0)</f>
        <v>07</v>
      </c>
      <c r="H166" s="1" t="str">
        <f>VLOOKUP($E166,'Activity List CSI'!$D$4:$J$146,'Mat. List CSI'!H$1,0)</f>
        <v>Insulation</v>
      </c>
      <c r="I166" s="1" t="str">
        <f>VLOOKUP(D166,'Activity List CSI'!$C$4:$H$146,6,0)</f>
        <v>07100</v>
      </c>
      <c r="J166" s="1" t="str">
        <f>VLOOKUP($E166,'Activity List CSI'!$D$4:$J$146,'Mat. List CSI'!J$1,0)</f>
        <v>Damproofing &amp; Waterproofing</v>
      </c>
      <c r="K166" s="1" t="s">
        <v>446</v>
      </c>
      <c r="L166" s="1">
        <v>115</v>
      </c>
      <c r="M166" s="1" t="str">
        <f t="shared" si="5"/>
        <v>07100115</v>
      </c>
      <c r="N166" s="12" t="str">
        <f t="shared" si="10"/>
        <v>07100115</v>
      </c>
    </row>
    <row r="167" spans="4:14" x14ac:dyDescent="0.25">
      <c r="D167" s="11" t="s">
        <v>128</v>
      </c>
      <c r="E167" s="134" t="str">
        <f>VLOOKUP(F167,'Activity List CSI'!$B$4:$D$146,3,0)</f>
        <v>07100-04</v>
      </c>
      <c r="F167" s="1" t="s">
        <v>129</v>
      </c>
      <c r="G167" s="1" t="str">
        <f>VLOOKUP($E167,'Activity List CSI'!$D$4:$J$146,'Mat. List CSI'!G$1,0)</f>
        <v>07</v>
      </c>
      <c r="H167" s="1" t="str">
        <f>VLOOKUP($E167,'Activity List CSI'!$D$4:$J$146,'Mat. List CSI'!H$1,0)</f>
        <v>Insulation</v>
      </c>
      <c r="I167" s="1" t="str">
        <f>VLOOKUP(D167,'Activity List CSI'!$C$4:$H$146,6,0)</f>
        <v>07100</v>
      </c>
      <c r="J167" s="1" t="str">
        <f>VLOOKUP($E167,'Activity List CSI'!$D$4:$J$146,'Mat. List CSI'!J$1,0)</f>
        <v>Damproofing &amp; Waterproofing</v>
      </c>
      <c r="K167" s="1" t="s">
        <v>446</v>
      </c>
      <c r="L167" s="1">
        <v>115</v>
      </c>
      <c r="M167" s="1" t="str">
        <f t="shared" si="5"/>
        <v>07100115</v>
      </c>
      <c r="N167" s="12" t="str">
        <f t="shared" si="10"/>
        <v>07100115</v>
      </c>
    </row>
    <row r="168" spans="4:14" x14ac:dyDescent="0.25">
      <c r="D168" s="11" t="s">
        <v>130</v>
      </c>
      <c r="E168" s="134" t="str">
        <f>VLOOKUP(F168,'Activity List CSI'!$B$4:$D$146,3,0)</f>
        <v>07200-01</v>
      </c>
      <c r="F168" s="1" t="s">
        <v>131</v>
      </c>
      <c r="G168" s="1" t="str">
        <f>VLOOKUP($E168,'Activity List CSI'!$D$4:$J$146,'Mat. List CSI'!G$1,0)</f>
        <v>07</v>
      </c>
      <c r="H168" s="1" t="str">
        <f>VLOOKUP($E168,'Activity List CSI'!$D$4:$J$146,'Mat. List CSI'!H$1,0)</f>
        <v>Insulation</v>
      </c>
      <c r="I168" s="1" t="str">
        <f>VLOOKUP(D168,'Activity List CSI'!$C$4:$H$146,6,0)</f>
        <v>07200</v>
      </c>
      <c r="J168" s="1" t="str">
        <f>VLOOKUP($E168,'Activity List CSI'!$D$4:$J$146,'Mat. List CSI'!J$1,0)</f>
        <v>Thermal Protection</v>
      </c>
      <c r="K168" s="1" t="s">
        <v>447</v>
      </c>
      <c r="L168" s="1">
        <v>110</v>
      </c>
      <c r="M168" s="1" t="str">
        <f t="shared" si="5"/>
        <v>07200110</v>
      </c>
      <c r="N168" s="12" t="str">
        <f t="shared" si="10"/>
        <v>07200110</v>
      </c>
    </row>
    <row r="169" spans="4:14" x14ac:dyDescent="0.25">
      <c r="D169" s="11" t="s">
        <v>130</v>
      </c>
      <c r="E169" s="134" t="str">
        <f>VLOOKUP(F169,'Activity List CSI'!$B$4:$D$146,3,0)</f>
        <v>07200-01</v>
      </c>
      <c r="F169" s="1" t="s">
        <v>131</v>
      </c>
      <c r="G169" s="1" t="str">
        <f>VLOOKUP($E169,'Activity List CSI'!$D$4:$J$146,'Mat. List CSI'!G$1,0)</f>
        <v>07</v>
      </c>
      <c r="H169" s="1" t="str">
        <f>VLOOKUP($E169,'Activity List CSI'!$D$4:$J$146,'Mat. List CSI'!H$1,0)</f>
        <v>Insulation</v>
      </c>
      <c r="I169" s="1" t="str">
        <f>VLOOKUP(D169,'Activity List CSI'!$C$4:$H$146,6,0)</f>
        <v>07200</v>
      </c>
      <c r="J169" s="1" t="str">
        <f>VLOOKUP($E169,'Activity List CSI'!$D$4:$J$146,'Mat. List CSI'!J$1,0)</f>
        <v>Thermal Protection</v>
      </c>
      <c r="K169" s="1" t="s">
        <v>447</v>
      </c>
      <c r="L169" s="1">
        <v>110</v>
      </c>
      <c r="M169" s="1" t="str">
        <f t="shared" si="5"/>
        <v>07200110</v>
      </c>
      <c r="N169" s="12" t="str">
        <f t="shared" si="10"/>
        <v>07200110</v>
      </c>
    </row>
    <row r="170" spans="4:14" x14ac:dyDescent="0.25">
      <c r="D170" s="11" t="s">
        <v>132</v>
      </c>
      <c r="E170" s="134" t="str">
        <f>VLOOKUP(F170,'Activity List CSI'!$B$4:$D$146,3,0)</f>
        <v>07400-01</v>
      </c>
      <c r="F170" s="1" t="s">
        <v>133</v>
      </c>
      <c r="G170" s="1" t="str">
        <f>VLOOKUP($E170,'Activity List CSI'!$D$4:$J$146,'Mat. List CSI'!G$1,0)</f>
        <v>07</v>
      </c>
      <c r="H170" s="1" t="str">
        <f>VLOOKUP($E170,'Activity List CSI'!$D$4:$J$146,'Mat. List CSI'!H$1,0)</f>
        <v>Insulation</v>
      </c>
      <c r="I170" s="1" t="str">
        <f>VLOOKUP(D170,'Activity List CSI'!$C$4:$H$146,6,0)</f>
        <v>07400</v>
      </c>
      <c r="J170" s="1" t="str">
        <f>VLOOKUP($E170,'Activity List CSI'!$D$4:$J$146,'Mat. List CSI'!J$1,0)</f>
        <v>Roofing &amp; Siding Panels</v>
      </c>
      <c r="K170" s="1" t="s">
        <v>444</v>
      </c>
      <c r="L170" s="1">
        <v>105</v>
      </c>
      <c r="M170" s="13" t="str">
        <f t="shared" si="5"/>
        <v>07400105</v>
      </c>
      <c r="N170" s="12" t="str">
        <f>M161</f>
        <v>07100105</v>
      </c>
    </row>
    <row r="171" spans="4:14" x14ac:dyDescent="0.25">
      <c r="D171" s="11" t="s">
        <v>132</v>
      </c>
      <c r="E171" s="134" t="str">
        <f>VLOOKUP(F171,'Activity List CSI'!$B$4:$D$146,3,0)</f>
        <v>07400-01</v>
      </c>
      <c r="F171" s="1" t="s">
        <v>133</v>
      </c>
      <c r="G171" s="1" t="str">
        <f>VLOOKUP($E171,'Activity List CSI'!$D$4:$J$146,'Mat. List CSI'!G$1,0)</f>
        <v>07</v>
      </c>
      <c r="H171" s="1" t="str">
        <f>VLOOKUP($E171,'Activity List CSI'!$D$4:$J$146,'Mat. List CSI'!H$1,0)</f>
        <v>Insulation</v>
      </c>
      <c r="I171" s="1" t="str">
        <f>VLOOKUP(D171,'Activity List CSI'!$C$4:$H$146,6,0)</f>
        <v>07400</v>
      </c>
      <c r="J171" s="1" t="str">
        <f>VLOOKUP($E171,'Activity List CSI'!$D$4:$J$146,'Mat. List CSI'!J$1,0)</f>
        <v>Roofing &amp; Siding Panels</v>
      </c>
      <c r="K171" s="1" t="s">
        <v>445</v>
      </c>
      <c r="L171" s="1">
        <v>110</v>
      </c>
      <c r="M171" s="13" t="str">
        <f t="shared" si="5"/>
        <v>07400110</v>
      </c>
      <c r="N171" s="12" t="str">
        <f>M163</f>
        <v>07100110</v>
      </c>
    </row>
    <row r="172" spans="4:14" x14ac:dyDescent="0.25">
      <c r="D172" s="11" t="s">
        <v>132</v>
      </c>
      <c r="E172" s="134" t="str">
        <f>VLOOKUP(F172,'Activity List CSI'!$B$4:$D$146,3,0)</f>
        <v>07400-01</v>
      </c>
      <c r="F172" s="1" t="s">
        <v>133</v>
      </c>
      <c r="G172" s="1" t="str">
        <f>VLOOKUP($E172,'Activity List CSI'!$D$4:$J$146,'Mat. List CSI'!G$1,0)</f>
        <v>07</v>
      </c>
      <c r="H172" s="1" t="str">
        <f>VLOOKUP($E172,'Activity List CSI'!$D$4:$J$146,'Mat. List CSI'!H$1,0)</f>
        <v>Insulation</v>
      </c>
      <c r="I172" s="1" t="str">
        <f>VLOOKUP(D172,'Activity List CSI'!$C$4:$H$146,6,0)</f>
        <v>07400</v>
      </c>
      <c r="J172" s="1" t="str">
        <f>VLOOKUP($E172,'Activity List CSI'!$D$4:$J$146,'Mat. List CSI'!J$1,0)</f>
        <v>Roofing &amp; Siding Panels</v>
      </c>
      <c r="K172" s="1" t="s">
        <v>447</v>
      </c>
      <c r="L172" s="1">
        <v>110</v>
      </c>
      <c r="M172" s="13" t="str">
        <f t="shared" si="5"/>
        <v>07400110</v>
      </c>
      <c r="N172" s="12" t="s">
        <v>448</v>
      </c>
    </row>
    <row r="173" spans="4:14" x14ac:dyDescent="0.25">
      <c r="D173" s="11" t="s">
        <v>132</v>
      </c>
      <c r="E173" s="134" t="str">
        <f>VLOOKUP(F173,'Activity List CSI'!$B$4:$D$146,3,0)</f>
        <v>07400-01</v>
      </c>
      <c r="F173" s="1" t="s">
        <v>133</v>
      </c>
      <c r="G173" s="1" t="str">
        <f>VLOOKUP($E173,'Activity List CSI'!$D$4:$J$146,'Mat. List CSI'!G$1,0)</f>
        <v>07</v>
      </c>
      <c r="H173" s="1" t="str">
        <f>VLOOKUP($E173,'Activity List CSI'!$D$4:$J$146,'Mat. List CSI'!H$1,0)</f>
        <v>Insulation</v>
      </c>
      <c r="I173" s="1" t="str">
        <f>VLOOKUP(D173,'Activity List CSI'!$C$4:$H$146,6,0)</f>
        <v>07400</v>
      </c>
      <c r="J173" s="1" t="str">
        <f>VLOOKUP($E173,'Activity List CSI'!$D$4:$J$146,'Mat. List CSI'!J$1,0)</f>
        <v>Roofing &amp; Siding Panels</v>
      </c>
      <c r="K173" s="1" t="s">
        <v>444</v>
      </c>
      <c r="L173" s="1">
        <v>105</v>
      </c>
      <c r="M173" s="13" t="str">
        <f t="shared" si="5"/>
        <v>07400105</v>
      </c>
      <c r="N173" s="12" t="str">
        <f>M161</f>
        <v>07100105</v>
      </c>
    </row>
    <row r="174" spans="4:14" x14ac:dyDescent="0.25">
      <c r="D174" s="11" t="s">
        <v>132</v>
      </c>
      <c r="E174" s="134" t="str">
        <f>VLOOKUP(F174,'Activity List CSI'!$B$4:$D$146,3,0)</f>
        <v>07400-01</v>
      </c>
      <c r="F174" s="1" t="s">
        <v>133</v>
      </c>
      <c r="G174" s="1" t="str">
        <f>VLOOKUP($E174,'Activity List CSI'!$D$4:$J$146,'Mat. List CSI'!G$1,0)</f>
        <v>07</v>
      </c>
      <c r="H174" s="1" t="str">
        <f>VLOOKUP($E174,'Activity List CSI'!$D$4:$J$146,'Mat. List CSI'!H$1,0)</f>
        <v>Insulation</v>
      </c>
      <c r="I174" s="1" t="str">
        <f>VLOOKUP(D174,'Activity List CSI'!$C$4:$H$146,6,0)</f>
        <v>07400</v>
      </c>
      <c r="J174" s="1" t="str">
        <f>VLOOKUP($E174,'Activity List CSI'!$D$4:$J$146,'Mat. List CSI'!J$1,0)</f>
        <v>Roofing &amp; Siding Panels</v>
      </c>
      <c r="K174" s="1" t="s">
        <v>445</v>
      </c>
      <c r="L174" s="1">
        <v>110</v>
      </c>
      <c r="M174" s="13" t="str">
        <f t="shared" si="5"/>
        <v>07400110</v>
      </c>
      <c r="N174" s="12" t="str">
        <f>M162</f>
        <v>07100110</v>
      </c>
    </row>
    <row r="175" spans="4:14" x14ac:dyDescent="0.25">
      <c r="D175" s="11" t="s">
        <v>132</v>
      </c>
      <c r="E175" s="134" t="str">
        <f>VLOOKUP(F175,'Activity List CSI'!$B$4:$D$146,3,0)</f>
        <v>07400-01</v>
      </c>
      <c r="F175" s="1" t="s">
        <v>133</v>
      </c>
      <c r="G175" s="1" t="str">
        <f>VLOOKUP($E175,'Activity List CSI'!$D$4:$J$146,'Mat. List CSI'!G$1,0)</f>
        <v>07</v>
      </c>
      <c r="H175" s="1" t="str">
        <f>VLOOKUP($E175,'Activity List CSI'!$D$4:$J$146,'Mat. List CSI'!H$1,0)</f>
        <v>Insulation</v>
      </c>
      <c r="I175" s="1" t="str">
        <f>VLOOKUP(D175,'Activity List CSI'!$C$4:$H$146,6,0)</f>
        <v>07400</v>
      </c>
      <c r="J175" s="1" t="str">
        <f>VLOOKUP($E175,'Activity List CSI'!$D$4:$J$146,'Mat. List CSI'!J$1,0)</f>
        <v>Roofing &amp; Siding Panels</v>
      </c>
      <c r="K175" s="1" t="s">
        <v>447</v>
      </c>
      <c r="L175" s="1">
        <v>110</v>
      </c>
      <c r="M175" s="13" t="str">
        <f t="shared" si="5"/>
        <v>07400110</v>
      </c>
      <c r="N175" s="12" t="s">
        <v>448</v>
      </c>
    </row>
    <row r="176" spans="4:14" x14ac:dyDescent="0.25">
      <c r="D176" s="11" t="s">
        <v>134</v>
      </c>
      <c r="E176" s="134" t="str">
        <f>VLOOKUP(F176,'Activity List CSI'!$B$4:$D$146,3,0)</f>
        <v>07200-03</v>
      </c>
      <c r="F176" s="1" t="s">
        <v>135</v>
      </c>
      <c r="G176" s="1" t="str">
        <f>VLOOKUP($E176,'Activity List CSI'!$D$4:$J$146,'Mat. List CSI'!G$1,0)</f>
        <v>07</v>
      </c>
      <c r="H176" s="1" t="str">
        <f>VLOOKUP($E176,'Activity List CSI'!$D$4:$J$146,'Mat. List CSI'!H$1,0)</f>
        <v>Insulation</v>
      </c>
      <c r="I176" s="1" t="str">
        <f>VLOOKUP(D176,'Activity List CSI'!$C$4:$H$146,6,0)</f>
        <v>07200</v>
      </c>
      <c r="J176" s="1" t="str">
        <f>VLOOKUP($E176,'Activity List CSI'!$D$4:$J$146,'Mat. List CSI'!J$1,0)</f>
        <v>Thermal Protection</v>
      </c>
      <c r="K176" s="1" t="s">
        <v>449</v>
      </c>
      <c r="L176" s="1">
        <v>105</v>
      </c>
      <c r="M176" s="1" t="str">
        <f t="shared" si="5"/>
        <v>07200105</v>
      </c>
      <c r="N176" s="12" t="str">
        <f t="shared" ref="N176:N178" si="11">M176</f>
        <v>07200105</v>
      </c>
    </row>
    <row r="177" spans="4:14" x14ac:dyDescent="0.25">
      <c r="D177" s="11" t="s">
        <v>157</v>
      </c>
      <c r="E177" s="134" t="str">
        <f>VLOOKUP(F177,'Activity List CSI'!$B$4:$D$146,3,0)</f>
        <v>09600-01</v>
      </c>
      <c r="F177" s="1" t="s">
        <v>158</v>
      </c>
      <c r="G177" s="1" t="str">
        <f>VLOOKUP($E177,'Activity List CSI'!$D$4:$J$146,'Mat. List CSI'!G$1,0)</f>
        <v>09</v>
      </c>
      <c r="H177" s="1" t="str">
        <f>VLOOKUP($E177,'Activity List CSI'!$D$4:$J$146,'Mat. List CSI'!H$1,0)</f>
        <v>Finishing</v>
      </c>
      <c r="I177" s="1" t="str">
        <f>VLOOKUP(D177,'Activity List CSI'!$C$4:$H$146,6,0)</f>
        <v>09600</v>
      </c>
      <c r="J177" s="1" t="str">
        <f>VLOOKUP($E177,'Activity List CSI'!$D$4:$J$146,'Mat. List CSI'!J$1,0)</f>
        <v>Flooring</v>
      </c>
      <c r="K177" s="1" t="s">
        <v>450</v>
      </c>
      <c r="L177" s="1">
        <v>105</v>
      </c>
      <c r="M177" s="1" t="str">
        <f t="shared" si="5"/>
        <v>09600105</v>
      </c>
      <c r="N177" s="12" t="str">
        <f t="shared" si="11"/>
        <v>09600105</v>
      </c>
    </row>
    <row r="178" spans="4:14" x14ac:dyDescent="0.25">
      <c r="D178" s="11" t="s">
        <v>157</v>
      </c>
      <c r="E178" s="134" t="str">
        <f>VLOOKUP(F178,'Activity List CSI'!$B$4:$D$146,3,0)</f>
        <v>09600-01</v>
      </c>
      <c r="F178" s="1" t="s">
        <v>158</v>
      </c>
      <c r="G178" s="1" t="str">
        <f>VLOOKUP($E178,'Activity List CSI'!$D$4:$J$146,'Mat. List CSI'!G$1,0)</f>
        <v>09</v>
      </c>
      <c r="H178" s="1" t="str">
        <f>VLOOKUP($E178,'Activity List CSI'!$D$4:$J$146,'Mat. List CSI'!H$1,0)</f>
        <v>Finishing</v>
      </c>
      <c r="I178" s="1" t="str">
        <f>VLOOKUP(D178,'Activity List CSI'!$C$4:$H$146,6,0)</f>
        <v>09600</v>
      </c>
      <c r="J178" s="1" t="str">
        <f>VLOOKUP($E178,'Activity List CSI'!$D$4:$J$146,'Mat. List CSI'!J$1,0)</f>
        <v>Flooring</v>
      </c>
      <c r="K178" s="1" t="s">
        <v>450</v>
      </c>
      <c r="L178" s="1">
        <v>105</v>
      </c>
      <c r="M178" s="1" t="str">
        <f t="shared" si="5"/>
        <v>09600105</v>
      </c>
      <c r="N178" s="12" t="str">
        <f t="shared" si="11"/>
        <v>09600105</v>
      </c>
    </row>
    <row r="179" spans="4:14" x14ac:dyDescent="0.25">
      <c r="D179" s="11" t="s">
        <v>159</v>
      </c>
      <c r="E179" s="134" t="str">
        <f>VLOOKUP(F179,'Activity List CSI'!$B$4:$D$146,3,0)</f>
        <v>09600-02</v>
      </c>
      <c r="F179" s="1" t="s">
        <v>160</v>
      </c>
      <c r="G179" s="1" t="str">
        <f>VLOOKUP($E179,'Activity List CSI'!$D$4:$J$146,'Mat. List CSI'!G$1,0)</f>
        <v>09</v>
      </c>
      <c r="H179" s="1" t="str">
        <f>VLOOKUP($E179,'Activity List CSI'!$D$4:$J$146,'Mat. List CSI'!H$1,0)</f>
        <v>Finishing</v>
      </c>
      <c r="I179" s="1" t="str">
        <f>VLOOKUP(D179,'Activity List CSI'!$C$4:$H$146,6,0)</f>
        <v>09600</v>
      </c>
      <c r="J179" s="1" t="str">
        <f>VLOOKUP($E179,'Activity List CSI'!$D$4:$J$146,'Mat. List CSI'!J$1,0)</f>
        <v>Flooring</v>
      </c>
      <c r="K179" s="1" t="s">
        <v>440</v>
      </c>
      <c r="L179" s="1">
        <v>105</v>
      </c>
      <c r="M179" s="13" t="str">
        <f t="shared" si="5"/>
        <v>09600105</v>
      </c>
      <c r="N179" s="12" t="s">
        <v>441</v>
      </c>
    </row>
    <row r="180" spans="4:14" x14ac:dyDescent="0.25">
      <c r="D180" s="11" t="s">
        <v>159</v>
      </c>
      <c r="E180" s="134" t="str">
        <f>VLOOKUP(F180,'Activity List CSI'!$B$4:$D$146,3,0)</f>
        <v>09600-02</v>
      </c>
      <c r="F180" s="1" t="s">
        <v>160</v>
      </c>
      <c r="G180" s="1" t="str">
        <f>VLOOKUP($E180,'Activity List CSI'!$D$4:$J$146,'Mat. List CSI'!G$1,0)</f>
        <v>09</v>
      </c>
      <c r="H180" s="1" t="str">
        <f>VLOOKUP($E180,'Activity List CSI'!$D$4:$J$146,'Mat. List CSI'!H$1,0)</f>
        <v>Finishing</v>
      </c>
      <c r="I180" s="1" t="str">
        <f>VLOOKUP(D180,'Activity List CSI'!$C$4:$H$146,6,0)</f>
        <v>09600</v>
      </c>
      <c r="J180" s="1" t="str">
        <f>VLOOKUP($E180,'Activity List CSI'!$D$4:$J$146,'Mat. List CSI'!J$1,0)</f>
        <v>Flooring</v>
      </c>
      <c r="K180" s="1" t="s">
        <v>442</v>
      </c>
      <c r="L180" s="1">
        <v>110</v>
      </c>
      <c r="M180" s="13" t="str">
        <f t="shared" si="5"/>
        <v>09600110</v>
      </c>
      <c r="N180" s="12" t="s">
        <v>451</v>
      </c>
    </row>
    <row r="181" spans="4:14" x14ac:dyDescent="0.25">
      <c r="D181" s="11" t="s">
        <v>159</v>
      </c>
      <c r="E181" s="134" t="str">
        <f>VLOOKUP(F181,'Activity List CSI'!$B$4:$D$146,3,0)</f>
        <v>09600-02</v>
      </c>
      <c r="F181" s="1" t="s">
        <v>160</v>
      </c>
      <c r="G181" s="1" t="str">
        <f>VLOOKUP($E181,'Activity List CSI'!$D$4:$J$146,'Mat. List CSI'!G$1,0)</f>
        <v>09</v>
      </c>
      <c r="H181" s="1" t="str">
        <f>VLOOKUP($E181,'Activity List CSI'!$D$4:$J$146,'Mat. List CSI'!H$1,0)</f>
        <v>Finishing</v>
      </c>
      <c r="I181" s="1" t="str">
        <f>VLOOKUP(D181,'Activity List CSI'!$C$4:$H$146,6,0)</f>
        <v>09600</v>
      </c>
      <c r="J181" s="1" t="str">
        <f>VLOOKUP($E181,'Activity List CSI'!$D$4:$J$146,'Mat. List CSI'!J$1,0)</f>
        <v>Flooring</v>
      </c>
      <c r="K181" s="1" t="s">
        <v>452</v>
      </c>
      <c r="L181" s="1">
        <v>110</v>
      </c>
      <c r="M181" s="1" t="str">
        <f t="shared" si="5"/>
        <v>09600110</v>
      </c>
      <c r="N181" s="12" t="str">
        <f>M181</f>
        <v>09600110</v>
      </c>
    </row>
    <row r="182" spans="4:14" x14ac:dyDescent="0.25">
      <c r="D182" s="11" t="s">
        <v>159</v>
      </c>
      <c r="E182" s="134" t="str">
        <f>VLOOKUP(F182,'Activity List CSI'!$B$4:$D$146,3,0)</f>
        <v>09600-02</v>
      </c>
      <c r="F182" s="1" t="s">
        <v>160</v>
      </c>
      <c r="G182" s="1" t="str">
        <f>VLOOKUP($E182,'Activity List CSI'!$D$4:$J$146,'Mat. List CSI'!G$1,0)</f>
        <v>09</v>
      </c>
      <c r="H182" s="1" t="str">
        <f>VLOOKUP($E182,'Activity List CSI'!$D$4:$J$146,'Mat. List CSI'!H$1,0)</f>
        <v>Finishing</v>
      </c>
      <c r="I182" s="1" t="str">
        <f>VLOOKUP(D182,'Activity List CSI'!$C$4:$H$146,6,0)</f>
        <v>09600</v>
      </c>
      <c r="J182" s="1" t="str">
        <f>VLOOKUP($E182,'Activity List CSI'!$D$4:$J$146,'Mat. List CSI'!J$1,0)</f>
        <v>Flooring</v>
      </c>
      <c r="K182" s="1" t="s">
        <v>440</v>
      </c>
      <c r="L182" s="1">
        <v>105</v>
      </c>
      <c r="M182" s="13" t="str">
        <f t="shared" si="5"/>
        <v>09600105</v>
      </c>
      <c r="N182" s="12" t="s">
        <v>441</v>
      </c>
    </row>
    <row r="183" spans="4:14" x14ac:dyDescent="0.25">
      <c r="D183" s="11" t="s">
        <v>159</v>
      </c>
      <c r="E183" s="134" t="str">
        <f>VLOOKUP(F183,'Activity List CSI'!$B$4:$D$146,3,0)</f>
        <v>09600-02</v>
      </c>
      <c r="F183" s="1" t="s">
        <v>160</v>
      </c>
      <c r="G183" s="1" t="str">
        <f>VLOOKUP($E183,'Activity List CSI'!$D$4:$J$146,'Mat. List CSI'!G$1,0)</f>
        <v>09</v>
      </c>
      <c r="H183" s="1" t="str">
        <f>VLOOKUP($E183,'Activity List CSI'!$D$4:$J$146,'Mat. List CSI'!H$1,0)</f>
        <v>Finishing</v>
      </c>
      <c r="I183" s="1" t="str">
        <f>VLOOKUP(D183,'Activity List CSI'!$C$4:$H$146,6,0)</f>
        <v>09600</v>
      </c>
      <c r="J183" s="1" t="str">
        <f>VLOOKUP($E183,'Activity List CSI'!$D$4:$J$146,'Mat. List CSI'!J$1,0)</f>
        <v>Flooring</v>
      </c>
      <c r="K183" s="1" t="s">
        <v>442</v>
      </c>
      <c r="L183" s="1">
        <v>110</v>
      </c>
      <c r="M183" s="13" t="str">
        <f t="shared" si="5"/>
        <v>09600110</v>
      </c>
      <c r="N183" s="12" t="s">
        <v>451</v>
      </c>
    </row>
    <row r="184" spans="4:14" x14ac:dyDescent="0.25">
      <c r="D184" s="11" t="s">
        <v>159</v>
      </c>
      <c r="E184" s="134" t="str">
        <f>VLOOKUP(F184,'Activity List CSI'!$B$4:$D$146,3,0)</f>
        <v>09600-02</v>
      </c>
      <c r="F184" s="1" t="s">
        <v>160</v>
      </c>
      <c r="G184" s="1" t="str">
        <f>VLOOKUP($E184,'Activity List CSI'!$D$4:$J$146,'Mat. List CSI'!G$1,0)</f>
        <v>09</v>
      </c>
      <c r="H184" s="1" t="str">
        <f>VLOOKUP($E184,'Activity List CSI'!$D$4:$J$146,'Mat. List CSI'!H$1,0)</f>
        <v>Finishing</v>
      </c>
      <c r="I184" s="1" t="str">
        <f>VLOOKUP(D184,'Activity List CSI'!$C$4:$H$146,6,0)</f>
        <v>09600</v>
      </c>
      <c r="J184" s="1" t="str">
        <f>VLOOKUP($E184,'Activity List CSI'!$D$4:$J$146,'Mat. List CSI'!J$1,0)</f>
        <v>Flooring</v>
      </c>
      <c r="K184" s="1" t="s">
        <v>452</v>
      </c>
      <c r="L184" s="1">
        <v>110</v>
      </c>
      <c r="M184" s="1" t="str">
        <f t="shared" si="5"/>
        <v>09600110</v>
      </c>
      <c r="N184" s="12" t="str">
        <f>M184</f>
        <v>09600110</v>
      </c>
    </row>
    <row r="185" spans="4:14" x14ac:dyDescent="0.25">
      <c r="D185" s="11" t="s">
        <v>161</v>
      </c>
      <c r="E185" s="134" t="str">
        <f>VLOOKUP(F185,'Activity List CSI'!$B$4:$D$146,3,0)</f>
        <v>09600-03</v>
      </c>
      <c r="F185" s="1" t="s">
        <v>162</v>
      </c>
      <c r="G185" s="1" t="str">
        <f>VLOOKUP($E185,'Activity List CSI'!$D$4:$J$146,'Mat. List CSI'!G$1,0)</f>
        <v>09</v>
      </c>
      <c r="H185" s="1" t="str">
        <f>VLOOKUP($E185,'Activity List CSI'!$D$4:$J$146,'Mat. List CSI'!H$1,0)</f>
        <v>Finishing</v>
      </c>
      <c r="I185" s="1" t="str">
        <f>VLOOKUP(D185,'Activity List CSI'!$C$4:$H$146,6,0)</f>
        <v>09600</v>
      </c>
      <c r="J185" s="1" t="str">
        <f>VLOOKUP($E185,'Activity List CSI'!$D$4:$J$146,'Mat. List CSI'!J$1,0)</f>
        <v>Flooring</v>
      </c>
      <c r="K185" s="1" t="s">
        <v>440</v>
      </c>
      <c r="L185" s="1">
        <v>105</v>
      </c>
      <c r="M185" s="13" t="str">
        <f t="shared" si="5"/>
        <v>09600105</v>
      </c>
      <c r="N185" s="12" t="s">
        <v>441</v>
      </c>
    </row>
    <row r="186" spans="4:14" x14ac:dyDescent="0.25">
      <c r="D186" s="11" t="s">
        <v>161</v>
      </c>
      <c r="E186" s="134" t="str">
        <f>VLOOKUP(F186,'Activity List CSI'!$B$4:$D$146,3,0)</f>
        <v>09600-03</v>
      </c>
      <c r="F186" s="1" t="s">
        <v>162</v>
      </c>
      <c r="G186" s="1" t="str">
        <f>VLOOKUP($E186,'Activity List CSI'!$D$4:$J$146,'Mat. List CSI'!G$1,0)</f>
        <v>09</v>
      </c>
      <c r="H186" s="1" t="str">
        <f>VLOOKUP($E186,'Activity List CSI'!$D$4:$J$146,'Mat. List CSI'!H$1,0)</f>
        <v>Finishing</v>
      </c>
      <c r="I186" s="1" t="str">
        <f>VLOOKUP(D186,'Activity List CSI'!$C$4:$H$146,6,0)</f>
        <v>09600</v>
      </c>
      <c r="J186" s="1" t="str">
        <f>VLOOKUP($E186,'Activity List CSI'!$D$4:$J$146,'Mat. List CSI'!J$1,0)</f>
        <v>Flooring</v>
      </c>
      <c r="K186" s="1" t="s">
        <v>442</v>
      </c>
      <c r="L186" s="1">
        <v>110</v>
      </c>
      <c r="M186" s="13" t="str">
        <f t="shared" si="5"/>
        <v>09600110</v>
      </c>
      <c r="N186" s="12" t="s">
        <v>451</v>
      </c>
    </row>
    <row r="187" spans="4:14" x14ac:dyDescent="0.25">
      <c r="D187" s="11" t="s">
        <v>161</v>
      </c>
      <c r="E187" s="134" t="str">
        <f>VLOOKUP(F187,'Activity List CSI'!$B$4:$D$146,3,0)</f>
        <v>09600-03</v>
      </c>
      <c r="F187" s="1" t="s">
        <v>162</v>
      </c>
      <c r="G187" s="1" t="str">
        <f>VLOOKUP($E187,'Activity List CSI'!$D$4:$J$146,'Mat. List CSI'!G$1,0)</f>
        <v>09</v>
      </c>
      <c r="H187" s="1" t="str">
        <f>VLOOKUP($E187,'Activity List CSI'!$D$4:$J$146,'Mat. List CSI'!H$1,0)</f>
        <v>Finishing</v>
      </c>
      <c r="I187" s="1" t="str">
        <f>VLOOKUP(D187,'Activity List CSI'!$C$4:$H$146,6,0)</f>
        <v>09600</v>
      </c>
      <c r="J187" s="1" t="str">
        <f>VLOOKUP($E187,'Activity List CSI'!$D$4:$J$146,'Mat. List CSI'!J$1,0)</f>
        <v>Flooring</v>
      </c>
      <c r="K187" s="1" t="s">
        <v>453</v>
      </c>
      <c r="L187" s="1">
        <v>130</v>
      </c>
      <c r="M187" s="1" t="str">
        <f t="shared" si="5"/>
        <v>09600130</v>
      </c>
      <c r="N187" s="12" t="str">
        <f>M187</f>
        <v>09600130</v>
      </c>
    </row>
    <row r="188" spans="4:14" x14ac:dyDescent="0.25">
      <c r="D188" s="11" t="s">
        <v>161</v>
      </c>
      <c r="E188" s="134" t="str">
        <f>VLOOKUP(F188,'Activity List CSI'!$B$4:$D$146,3,0)</f>
        <v>09600-03</v>
      </c>
      <c r="F188" s="1" t="s">
        <v>162</v>
      </c>
      <c r="G188" s="1" t="str">
        <f>VLOOKUP($E188,'Activity List CSI'!$D$4:$J$146,'Mat. List CSI'!G$1,0)</f>
        <v>09</v>
      </c>
      <c r="H188" s="1" t="str">
        <f>VLOOKUP($E188,'Activity List CSI'!$D$4:$J$146,'Mat. List CSI'!H$1,0)</f>
        <v>Finishing</v>
      </c>
      <c r="I188" s="1" t="str">
        <f>VLOOKUP(D188,'Activity List CSI'!$C$4:$H$146,6,0)</f>
        <v>09600</v>
      </c>
      <c r="J188" s="1" t="str">
        <f>VLOOKUP($E188,'Activity List CSI'!$D$4:$J$146,'Mat. List CSI'!J$1,0)</f>
        <v>Flooring</v>
      </c>
      <c r="K188" s="1" t="s">
        <v>440</v>
      </c>
      <c r="L188" s="1">
        <v>105</v>
      </c>
      <c r="M188" s="13" t="str">
        <f t="shared" si="5"/>
        <v>09600105</v>
      </c>
      <c r="N188" s="12" t="s">
        <v>441</v>
      </c>
    </row>
    <row r="189" spans="4:14" x14ac:dyDescent="0.25">
      <c r="D189" s="11" t="s">
        <v>161</v>
      </c>
      <c r="E189" s="134" t="str">
        <f>VLOOKUP(F189,'Activity List CSI'!$B$4:$D$146,3,0)</f>
        <v>09600-03</v>
      </c>
      <c r="F189" s="1" t="s">
        <v>162</v>
      </c>
      <c r="G189" s="1" t="str">
        <f>VLOOKUP($E189,'Activity List CSI'!$D$4:$J$146,'Mat. List CSI'!G$1,0)</f>
        <v>09</v>
      </c>
      <c r="H189" s="1" t="str">
        <f>VLOOKUP($E189,'Activity List CSI'!$D$4:$J$146,'Mat. List CSI'!H$1,0)</f>
        <v>Finishing</v>
      </c>
      <c r="I189" s="1" t="str">
        <f>VLOOKUP(D189,'Activity List CSI'!$C$4:$H$146,6,0)</f>
        <v>09600</v>
      </c>
      <c r="J189" s="1" t="str">
        <f>VLOOKUP($E189,'Activity List CSI'!$D$4:$J$146,'Mat. List CSI'!J$1,0)</f>
        <v>Flooring</v>
      </c>
      <c r="K189" s="1" t="s">
        <v>442</v>
      </c>
      <c r="L189" s="1">
        <v>110</v>
      </c>
      <c r="M189" s="13" t="str">
        <f t="shared" si="5"/>
        <v>09600110</v>
      </c>
      <c r="N189" s="12" t="s">
        <v>451</v>
      </c>
    </row>
    <row r="190" spans="4:14" x14ac:dyDescent="0.25">
      <c r="D190" s="11" t="s">
        <v>161</v>
      </c>
      <c r="E190" s="134" t="str">
        <f>VLOOKUP(F190,'Activity List CSI'!$B$4:$D$146,3,0)</f>
        <v>09600-03</v>
      </c>
      <c r="F190" s="1" t="s">
        <v>162</v>
      </c>
      <c r="G190" s="1" t="str">
        <f>VLOOKUP($E190,'Activity List CSI'!$D$4:$J$146,'Mat. List CSI'!G$1,0)</f>
        <v>09</v>
      </c>
      <c r="H190" s="1" t="str">
        <f>VLOOKUP($E190,'Activity List CSI'!$D$4:$J$146,'Mat. List CSI'!H$1,0)</f>
        <v>Finishing</v>
      </c>
      <c r="I190" s="1" t="str">
        <f>VLOOKUP(D190,'Activity List CSI'!$C$4:$H$146,6,0)</f>
        <v>09600</v>
      </c>
      <c r="J190" s="1" t="str">
        <f>VLOOKUP($E190,'Activity List CSI'!$D$4:$J$146,'Mat. List CSI'!J$1,0)</f>
        <v>Flooring</v>
      </c>
      <c r="K190" s="1" t="s">
        <v>453</v>
      </c>
      <c r="L190" s="1">
        <v>130</v>
      </c>
      <c r="M190" s="1" t="str">
        <f t="shared" si="5"/>
        <v>09600130</v>
      </c>
      <c r="N190" s="12" t="str">
        <f>M190</f>
        <v>09600130</v>
      </c>
    </row>
    <row r="191" spans="4:14" x14ac:dyDescent="0.25">
      <c r="D191" s="11" t="s">
        <v>163</v>
      </c>
      <c r="E191" s="134" t="str">
        <f>VLOOKUP(F191,'Activity List CSI'!$B$4:$D$146,3,0)</f>
        <v>09600-04</v>
      </c>
      <c r="F191" s="1" t="s">
        <v>164</v>
      </c>
      <c r="G191" s="1" t="str">
        <f>VLOOKUP($E191,'Activity List CSI'!$D$4:$J$146,'Mat. List CSI'!G$1,0)</f>
        <v>09</v>
      </c>
      <c r="H191" s="1" t="str">
        <f>VLOOKUP($E191,'Activity List CSI'!$D$4:$J$146,'Mat. List CSI'!H$1,0)</f>
        <v>Finishing</v>
      </c>
      <c r="I191" s="1" t="str">
        <f>VLOOKUP(D191,'Activity List CSI'!$C$4:$H$146,6,0)</f>
        <v>09600</v>
      </c>
      <c r="J191" s="1" t="str">
        <f>VLOOKUP($E191,'Activity List CSI'!$D$4:$J$146,'Mat. List CSI'!J$1,0)</f>
        <v>Flooring</v>
      </c>
      <c r="K191" s="1" t="s">
        <v>440</v>
      </c>
      <c r="L191" s="1">
        <v>105</v>
      </c>
      <c r="M191" s="13" t="str">
        <f t="shared" si="5"/>
        <v>09600105</v>
      </c>
      <c r="N191" s="12" t="s">
        <v>441</v>
      </c>
    </row>
    <row r="192" spans="4:14" x14ac:dyDescent="0.25">
      <c r="D192" s="11" t="s">
        <v>163</v>
      </c>
      <c r="E192" s="134" t="str">
        <f>VLOOKUP(F192,'Activity List CSI'!$B$4:$D$146,3,0)</f>
        <v>09600-04</v>
      </c>
      <c r="F192" s="1" t="s">
        <v>164</v>
      </c>
      <c r="G192" s="1" t="str">
        <f>VLOOKUP($E192,'Activity List CSI'!$D$4:$J$146,'Mat. List CSI'!G$1,0)</f>
        <v>09</v>
      </c>
      <c r="H192" s="1" t="str">
        <f>VLOOKUP($E192,'Activity List CSI'!$D$4:$J$146,'Mat. List CSI'!H$1,0)</f>
        <v>Finishing</v>
      </c>
      <c r="I192" s="1" t="str">
        <f>VLOOKUP(D192,'Activity List CSI'!$C$4:$H$146,6,0)</f>
        <v>09600</v>
      </c>
      <c r="J192" s="1" t="str">
        <f>VLOOKUP($E192,'Activity List CSI'!$D$4:$J$146,'Mat. List CSI'!J$1,0)</f>
        <v>Flooring</v>
      </c>
      <c r="K192" s="1" t="s">
        <v>442</v>
      </c>
      <c r="L192" s="1">
        <v>110</v>
      </c>
      <c r="M192" s="13" t="str">
        <f t="shared" si="5"/>
        <v>09600110</v>
      </c>
      <c r="N192" s="12" t="s">
        <v>451</v>
      </c>
    </row>
    <row r="193" spans="4:14" x14ac:dyDescent="0.25">
      <c r="D193" s="11" t="s">
        <v>163</v>
      </c>
      <c r="E193" s="134" t="str">
        <f>VLOOKUP(F193,'Activity List CSI'!$B$4:$D$146,3,0)</f>
        <v>09600-04</v>
      </c>
      <c r="F193" s="1" t="s">
        <v>164</v>
      </c>
      <c r="G193" s="1" t="str">
        <f>VLOOKUP($E193,'Activity List CSI'!$D$4:$J$146,'Mat. List CSI'!G$1,0)</f>
        <v>09</v>
      </c>
      <c r="H193" s="1" t="str">
        <f>VLOOKUP($E193,'Activity List CSI'!$D$4:$J$146,'Mat. List CSI'!H$1,0)</f>
        <v>Finishing</v>
      </c>
      <c r="I193" s="1" t="str">
        <f>VLOOKUP(D193,'Activity List CSI'!$C$4:$H$146,6,0)</f>
        <v>09600</v>
      </c>
      <c r="J193" s="1" t="str">
        <f>VLOOKUP($E193,'Activity List CSI'!$D$4:$J$146,'Mat. List CSI'!J$1,0)</f>
        <v>Flooring</v>
      </c>
      <c r="K193" s="1" t="s">
        <v>454</v>
      </c>
      <c r="L193" s="1">
        <v>160</v>
      </c>
      <c r="M193" s="1" t="str">
        <f t="shared" si="5"/>
        <v>09600160</v>
      </c>
      <c r="N193" s="12" t="str">
        <f>M193</f>
        <v>09600160</v>
      </c>
    </row>
    <row r="194" spans="4:14" x14ac:dyDescent="0.25">
      <c r="D194" s="11" t="s">
        <v>163</v>
      </c>
      <c r="E194" s="134" t="str">
        <f>VLOOKUP(F194,'Activity List CSI'!$B$4:$D$146,3,0)</f>
        <v>09600-04</v>
      </c>
      <c r="F194" s="1" t="s">
        <v>164</v>
      </c>
      <c r="G194" s="1" t="str">
        <f>VLOOKUP($E194,'Activity List CSI'!$D$4:$J$146,'Mat. List CSI'!G$1,0)</f>
        <v>09</v>
      </c>
      <c r="H194" s="1" t="str">
        <f>VLOOKUP($E194,'Activity List CSI'!$D$4:$J$146,'Mat. List CSI'!H$1,0)</f>
        <v>Finishing</v>
      </c>
      <c r="I194" s="1" t="str">
        <f>VLOOKUP(D194,'Activity List CSI'!$C$4:$H$146,6,0)</f>
        <v>09600</v>
      </c>
      <c r="J194" s="1" t="str">
        <f>VLOOKUP($E194,'Activity List CSI'!$D$4:$J$146,'Mat. List CSI'!J$1,0)</f>
        <v>Flooring</v>
      </c>
      <c r="K194" s="1" t="s">
        <v>440</v>
      </c>
      <c r="L194" s="1">
        <v>105</v>
      </c>
      <c r="M194" s="13" t="str">
        <f t="shared" si="5"/>
        <v>09600105</v>
      </c>
      <c r="N194" s="12" t="s">
        <v>441</v>
      </c>
    </row>
    <row r="195" spans="4:14" x14ac:dyDescent="0.25">
      <c r="D195" s="11" t="s">
        <v>163</v>
      </c>
      <c r="E195" s="134" t="str">
        <f>VLOOKUP(F195,'Activity List CSI'!$B$4:$D$146,3,0)</f>
        <v>09600-04</v>
      </c>
      <c r="F195" s="1" t="s">
        <v>164</v>
      </c>
      <c r="G195" s="1" t="str">
        <f>VLOOKUP($E195,'Activity List CSI'!$D$4:$J$146,'Mat. List CSI'!G$1,0)</f>
        <v>09</v>
      </c>
      <c r="H195" s="1" t="str">
        <f>VLOOKUP($E195,'Activity List CSI'!$D$4:$J$146,'Mat. List CSI'!H$1,0)</f>
        <v>Finishing</v>
      </c>
      <c r="I195" s="1" t="str">
        <f>VLOOKUP(D195,'Activity List CSI'!$C$4:$H$146,6,0)</f>
        <v>09600</v>
      </c>
      <c r="J195" s="1" t="str">
        <f>VLOOKUP($E195,'Activity List CSI'!$D$4:$J$146,'Mat. List CSI'!J$1,0)</f>
        <v>Flooring</v>
      </c>
      <c r="K195" s="1" t="s">
        <v>442</v>
      </c>
      <c r="L195" s="1">
        <v>110</v>
      </c>
      <c r="M195" s="13" t="str">
        <f t="shared" si="5"/>
        <v>09600110</v>
      </c>
      <c r="N195" s="12" t="s">
        <v>451</v>
      </c>
    </row>
    <row r="196" spans="4:14" x14ac:dyDescent="0.25">
      <c r="D196" s="11" t="s">
        <v>163</v>
      </c>
      <c r="E196" s="134" t="str">
        <f>VLOOKUP(F196,'Activity List CSI'!$B$4:$D$146,3,0)</f>
        <v>09600-04</v>
      </c>
      <c r="F196" s="1" t="s">
        <v>164</v>
      </c>
      <c r="G196" s="1" t="str">
        <f>VLOOKUP($E196,'Activity List CSI'!$D$4:$J$146,'Mat. List CSI'!G$1,0)</f>
        <v>09</v>
      </c>
      <c r="H196" s="1" t="str">
        <f>VLOOKUP($E196,'Activity List CSI'!$D$4:$J$146,'Mat. List CSI'!H$1,0)</f>
        <v>Finishing</v>
      </c>
      <c r="I196" s="1" t="str">
        <f>VLOOKUP(D196,'Activity List CSI'!$C$4:$H$146,6,0)</f>
        <v>09600</v>
      </c>
      <c r="J196" s="1" t="str">
        <f>VLOOKUP($E196,'Activity List CSI'!$D$4:$J$146,'Mat. List CSI'!J$1,0)</f>
        <v>Flooring</v>
      </c>
      <c r="K196" s="1" t="s">
        <v>454</v>
      </c>
      <c r="L196" s="1">
        <v>160</v>
      </c>
      <c r="M196" s="1" t="str">
        <f t="shared" ref="M196:M259" si="12">I196&amp;L196</f>
        <v>09600160</v>
      </c>
      <c r="N196" s="12" t="str">
        <f t="shared" ref="N196:N198" si="13">M196</f>
        <v>09600160</v>
      </c>
    </row>
    <row r="197" spans="4:14" x14ac:dyDescent="0.25">
      <c r="D197" s="11" t="s">
        <v>165</v>
      </c>
      <c r="E197" s="134" t="str">
        <f>VLOOKUP(F197,'Activity List CSI'!$B$4:$D$146,3,0)</f>
        <v>09600-05</v>
      </c>
      <c r="F197" s="1" t="s">
        <v>166</v>
      </c>
      <c r="G197" s="1" t="str">
        <f>VLOOKUP($E197,'Activity List CSI'!$D$4:$J$146,'Mat. List CSI'!G$1,0)</f>
        <v>09</v>
      </c>
      <c r="H197" s="1" t="str">
        <f>VLOOKUP($E197,'Activity List CSI'!$D$4:$J$146,'Mat. List CSI'!H$1,0)</f>
        <v>Finishing</v>
      </c>
      <c r="I197" s="1" t="str">
        <f>VLOOKUP(D197,'Activity List CSI'!$C$4:$H$146,6,0)</f>
        <v>09600</v>
      </c>
      <c r="J197" s="1" t="str">
        <f>VLOOKUP($E197,'Activity List CSI'!$D$4:$J$146,'Mat. List CSI'!J$1,0)</f>
        <v>Flooring</v>
      </c>
      <c r="K197" s="1" t="s">
        <v>166</v>
      </c>
      <c r="L197" s="1">
        <v>170</v>
      </c>
      <c r="M197" s="1" t="str">
        <f t="shared" si="12"/>
        <v>09600170</v>
      </c>
      <c r="N197" s="12" t="str">
        <f t="shared" si="13"/>
        <v>09600170</v>
      </c>
    </row>
    <row r="198" spans="4:14" x14ac:dyDescent="0.25">
      <c r="D198" s="11" t="s">
        <v>165</v>
      </c>
      <c r="E198" s="134" t="str">
        <f>VLOOKUP(F198,'Activity List CSI'!$B$4:$D$146,3,0)</f>
        <v>09600-05</v>
      </c>
      <c r="F198" s="1" t="s">
        <v>166</v>
      </c>
      <c r="G198" s="1" t="str">
        <f>VLOOKUP($E198,'Activity List CSI'!$D$4:$J$146,'Mat. List CSI'!G$1,0)</f>
        <v>09</v>
      </c>
      <c r="H198" s="1" t="str">
        <f>VLOOKUP($E198,'Activity List CSI'!$D$4:$J$146,'Mat. List CSI'!H$1,0)</f>
        <v>Finishing</v>
      </c>
      <c r="I198" s="1" t="str">
        <f>VLOOKUP(D198,'Activity List CSI'!$C$4:$H$146,6,0)</f>
        <v>09600</v>
      </c>
      <c r="J198" s="1" t="str">
        <f>VLOOKUP($E198,'Activity List CSI'!$D$4:$J$146,'Mat. List CSI'!J$1,0)</f>
        <v>Flooring</v>
      </c>
      <c r="K198" s="1" t="s">
        <v>166</v>
      </c>
      <c r="L198" s="1">
        <v>170</v>
      </c>
      <c r="M198" s="1" t="str">
        <f t="shared" si="12"/>
        <v>09600170</v>
      </c>
      <c r="N198" s="12" t="str">
        <f t="shared" si="13"/>
        <v>09600170</v>
      </c>
    </row>
    <row r="199" spans="4:14" x14ac:dyDescent="0.25">
      <c r="D199" s="11" t="s">
        <v>167</v>
      </c>
      <c r="E199" s="134" t="str">
        <f>VLOOKUP(F199,'Activity List CSI'!$B$4:$D$146,3,0)</f>
        <v>09300-01</v>
      </c>
      <c r="F199" s="1" t="s">
        <v>168</v>
      </c>
      <c r="G199" s="1" t="str">
        <f>VLOOKUP($E199,'Activity List CSI'!$D$4:$J$146,'Mat. List CSI'!G$1,0)</f>
        <v>09</v>
      </c>
      <c r="H199" s="1" t="str">
        <f>VLOOKUP($E199,'Activity List CSI'!$D$4:$J$146,'Mat. List CSI'!H$1,0)</f>
        <v>Finishing</v>
      </c>
      <c r="I199" s="1" t="str">
        <f>VLOOKUP(D199,'Activity List CSI'!$C$4:$H$146,6,0)</f>
        <v>09300</v>
      </c>
      <c r="J199" s="1" t="str">
        <f>VLOOKUP($E199,'Activity List CSI'!$D$4:$J$146,'Mat. List CSI'!J$1,0)</f>
        <v>Tile</v>
      </c>
      <c r="K199" s="1" t="s">
        <v>440</v>
      </c>
      <c r="L199" s="1">
        <v>105</v>
      </c>
      <c r="M199" s="13" t="str">
        <f t="shared" si="12"/>
        <v>09300105</v>
      </c>
      <c r="N199" s="12" t="s">
        <v>441</v>
      </c>
    </row>
    <row r="200" spans="4:14" x14ac:dyDescent="0.25">
      <c r="D200" s="11" t="s">
        <v>167</v>
      </c>
      <c r="E200" s="134" t="str">
        <f>VLOOKUP(F200,'Activity List CSI'!$B$4:$D$146,3,0)</f>
        <v>09300-01</v>
      </c>
      <c r="F200" s="1" t="s">
        <v>168</v>
      </c>
      <c r="G200" s="1" t="str">
        <f>VLOOKUP($E200,'Activity List CSI'!$D$4:$J$146,'Mat. List CSI'!G$1,0)</f>
        <v>09</v>
      </c>
      <c r="H200" s="1" t="str">
        <f>VLOOKUP($E200,'Activity List CSI'!$D$4:$J$146,'Mat. List CSI'!H$1,0)</f>
        <v>Finishing</v>
      </c>
      <c r="I200" s="1" t="str">
        <f>VLOOKUP(D200,'Activity List CSI'!$C$4:$H$146,6,0)</f>
        <v>09300</v>
      </c>
      <c r="J200" s="1" t="str">
        <f>VLOOKUP($E200,'Activity List CSI'!$D$4:$J$146,'Mat. List CSI'!J$1,0)</f>
        <v>Tile</v>
      </c>
      <c r="K200" s="1" t="s">
        <v>442</v>
      </c>
      <c r="L200" s="1">
        <v>110</v>
      </c>
      <c r="M200" s="13" t="str">
        <f t="shared" si="12"/>
        <v>09300110</v>
      </c>
      <c r="N200" s="12" t="s">
        <v>451</v>
      </c>
    </row>
    <row r="201" spans="4:14" x14ac:dyDescent="0.25">
      <c r="D201" s="11" t="s">
        <v>167</v>
      </c>
      <c r="E201" s="134" t="str">
        <f>VLOOKUP(F201,'Activity List CSI'!$B$4:$D$146,3,0)</f>
        <v>09300-01</v>
      </c>
      <c r="F201" s="1" t="s">
        <v>168</v>
      </c>
      <c r="G201" s="1" t="str">
        <f>VLOOKUP($E201,'Activity List CSI'!$D$4:$J$146,'Mat. List CSI'!G$1,0)</f>
        <v>09</v>
      </c>
      <c r="H201" s="1" t="str">
        <f>VLOOKUP($E201,'Activity List CSI'!$D$4:$J$146,'Mat. List CSI'!H$1,0)</f>
        <v>Finishing</v>
      </c>
      <c r="I201" s="1" t="str">
        <f>VLOOKUP(D201,'Activity List CSI'!$C$4:$H$146,6,0)</f>
        <v>09300</v>
      </c>
      <c r="J201" s="1" t="str">
        <f>VLOOKUP($E201,'Activity List CSI'!$D$4:$J$146,'Mat. List CSI'!J$1,0)</f>
        <v>Tile</v>
      </c>
      <c r="K201" s="1" t="s">
        <v>455</v>
      </c>
      <c r="L201" s="1">
        <v>105</v>
      </c>
      <c r="M201" s="1" t="str">
        <f t="shared" si="12"/>
        <v>09300105</v>
      </c>
      <c r="N201" s="12" t="str">
        <f>M201</f>
        <v>09300105</v>
      </c>
    </row>
    <row r="202" spans="4:14" x14ac:dyDescent="0.25">
      <c r="D202" s="11" t="s">
        <v>167</v>
      </c>
      <c r="E202" s="134" t="str">
        <f>VLOOKUP(F202,'Activity List CSI'!$B$4:$D$146,3,0)</f>
        <v>09300-01</v>
      </c>
      <c r="F202" s="1" t="s">
        <v>168</v>
      </c>
      <c r="G202" s="1" t="str">
        <f>VLOOKUP($E202,'Activity List CSI'!$D$4:$J$146,'Mat. List CSI'!G$1,0)</f>
        <v>09</v>
      </c>
      <c r="H202" s="1" t="str">
        <f>VLOOKUP($E202,'Activity List CSI'!$D$4:$J$146,'Mat. List CSI'!H$1,0)</f>
        <v>Finishing</v>
      </c>
      <c r="I202" s="1" t="str">
        <f>VLOOKUP(D202,'Activity List CSI'!$C$4:$H$146,6,0)</f>
        <v>09300</v>
      </c>
      <c r="J202" s="1" t="str">
        <f>VLOOKUP($E202,'Activity List CSI'!$D$4:$J$146,'Mat. List CSI'!J$1,0)</f>
        <v>Tile</v>
      </c>
      <c r="K202" s="1" t="s">
        <v>440</v>
      </c>
      <c r="L202" s="1">
        <v>105</v>
      </c>
      <c r="M202" s="13" t="str">
        <f t="shared" si="12"/>
        <v>09300105</v>
      </c>
      <c r="N202" s="12" t="s">
        <v>441</v>
      </c>
    </row>
    <row r="203" spans="4:14" x14ac:dyDescent="0.25">
      <c r="D203" s="11" t="s">
        <v>167</v>
      </c>
      <c r="E203" s="134" t="str">
        <f>VLOOKUP(F203,'Activity List CSI'!$B$4:$D$146,3,0)</f>
        <v>09300-01</v>
      </c>
      <c r="F203" s="1" t="s">
        <v>168</v>
      </c>
      <c r="G203" s="1" t="str">
        <f>VLOOKUP($E203,'Activity List CSI'!$D$4:$J$146,'Mat. List CSI'!G$1,0)</f>
        <v>09</v>
      </c>
      <c r="H203" s="1" t="str">
        <f>VLOOKUP($E203,'Activity List CSI'!$D$4:$J$146,'Mat. List CSI'!H$1,0)</f>
        <v>Finishing</v>
      </c>
      <c r="I203" s="1" t="str">
        <f>VLOOKUP(D203,'Activity List CSI'!$C$4:$H$146,6,0)</f>
        <v>09300</v>
      </c>
      <c r="J203" s="1" t="str">
        <f>VLOOKUP($E203,'Activity List CSI'!$D$4:$J$146,'Mat. List CSI'!J$1,0)</f>
        <v>Tile</v>
      </c>
      <c r="K203" s="1" t="s">
        <v>442</v>
      </c>
      <c r="L203" s="1">
        <v>110</v>
      </c>
      <c r="M203" s="13" t="str">
        <f t="shared" si="12"/>
        <v>09300110</v>
      </c>
      <c r="N203" s="12" t="s">
        <v>451</v>
      </c>
    </row>
    <row r="204" spans="4:14" x14ac:dyDescent="0.25">
      <c r="D204" s="11" t="s">
        <v>167</v>
      </c>
      <c r="E204" s="134" t="str">
        <f>VLOOKUP(F204,'Activity List CSI'!$B$4:$D$146,3,0)</f>
        <v>09300-01</v>
      </c>
      <c r="F204" s="1" t="s">
        <v>168</v>
      </c>
      <c r="G204" s="1" t="str">
        <f>VLOOKUP($E204,'Activity List CSI'!$D$4:$J$146,'Mat. List CSI'!G$1,0)</f>
        <v>09</v>
      </c>
      <c r="H204" s="1" t="str">
        <f>VLOOKUP($E204,'Activity List CSI'!$D$4:$J$146,'Mat. List CSI'!H$1,0)</f>
        <v>Finishing</v>
      </c>
      <c r="I204" s="1" t="str">
        <f>VLOOKUP(D204,'Activity List CSI'!$C$4:$H$146,6,0)</f>
        <v>09300</v>
      </c>
      <c r="J204" s="1" t="str">
        <f>VLOOKUP($E204,'Activity List CSI'!$D$4:$J$146,'Mat. List CSI'!J$1,0)</f>
        <v>Tile</v>
      </c>
      <c r="K204" s="1" t="s">
        <v>455</v>
      </c>
      <c r="L204" s="1">
        <v>105</v>
      </c>
      <c r="M204" s="1" t="str">
        <f t="shared" si="12"/>
        <v>09300105</v>
      </c>
      <c r="N204" s="12" t="str">
        <f>M204</f>
        <v>09300105</v>
      </c>
    </row>
    <row r="205" spans="4:14" x14ac:dyDescent="0.25">
      <c r="D205" s="11" t="s">
        <v>169</v>
      </c>
      <c r="E205" s="134" t="str">
        <f>VLOOKUP(F205,'Activity List CSI'!$B$4:$D$146,3,0)</f>
        <v>09300-02</v>
      </c>
      <c r="F205" s="1" t="s">
        <v>170</v>
      </c>
      <c r="G205" s="1" t="str">
        <f>VLOOKUP($E205,'Activity List CSI'!$D$4:$J$146,'Mat. List CSI'!G$1,0)</f>
        <v>09</v>
      </c>
      <c r="H205" s="1" t="str">
        <f>VLOOKUP($E205,'Activity List CSI'!$D$4:$J$146,'Mat. List CSI'!H$1,0)</f>
        <v>Finishing</v>
      </c>
      <c r="I205" s="1" t="str">
        <f>VLOOKUP(D205,'Activity List CSI'!$C$4:$H$146,6,0)</f>
        <v>09300</v>
      </c>
      <c r="J205" s="1" t="str">
        <f>VLOOKUP($E205,'Activity List CSI'!$D$4:$J$146,'Mat. List CSI'!J$1,0)</f>
        <v>Tile</v>
      </c>
      <c r="K205" s="1" t="s">
        <v>440</v>
      </c>
      <c r="L205" s="1">
        <v>105</v>
      </c>
      <c r="M205" s="13" t="str">
        <f t="shared" si="12"/>
        <v>09300105</v>
      </c>
      <c r="N205" s="12" t="s">
        <v>441</v>
      </c>
    </row>
    <row r="206" spans="4:14" x14ac:dyDescent="0.25">
      <c r="D206" s="11" t="s">
        <v>169</v>
      </c>
      <c r="E206" s="134" t="str">
        <f>VLOOKUP(F206,'Activity List CSI'!$B$4:$D$146,3,0)</f>
        <v>09300-02</v>
      </c>
      <c r="F206" s="1" t="s">
        <v>170</v>
      </c>
      <c r="G206" s="1" t="str">
        <f>VLOOKUP($E206,'Activity List CSI'!$D$4:$J$146,'Mat. List CSI'!G$1,0)</f>
        <v>09</v>
      </c>
      <c r="H206" s="1" t="str">
        <f>VLOOKUP($E206,'Activity List CSI'!$D$4:$J$146,'Mat. List CSI'!H$1,0)</f>
        <v>Finishing</v>
      </c>
      <c r="I206" s="1" t="str">
        <f>VLOOKUP(D206,'Activity List CSI'!$C$4:$H$146,6,0)</f>
        <v>09300</v>
      </c>
      <c r="J206" s="1" t="str">
        <f>VLOOKUP($E206,'Activity List CSI'!$D$4:$J$146,'Mat. List CSI'!J$1,0)</f>
        <v>Tile</v>
      </c>
      <c r="K206" s="1" t="s">
        <v>442</v>
      </c>
      <c r="L206" s="1">
        <v>110</v>
      </c>
      <c r="M206" s="13" t="str">
        <f t="shared" si="12"/>
        <v>09300110</v>
      </c>
      <c r="N206" s="12" t="s">
        <v>451</v>
      </c>
    </row>
    <row r="207" spans="4:14" x14ac:dyDescent="0.25">
      <c r="D207" s="11" t="s">
        <v>169</v>
      </c>
      <c r="E207" s="134" t="str">
        <f>VLOOKUP(F207,'Activity List CSI'!$B$4:$D$146,3,0)</f>
        <v>09300-02</v>
      </c>
      <c r="F207" s="1" t="s">
        <v>170</v>
      </c>
      <c r="G207" s="1" t="str">
        <f>VLOOKUP($E207,'Activity List CSI'!$D$4:$J$146,'Mat. List CSI'!G$1,0)</f>
        <v>09</v>
      </c>
      <c r="H207" s="1" t="str">
        <f>VLOOKUP($E207,'Activity List CSI'!$D$4:$J$146,'Mat. List CSI'!H$1,0)</f>
        <v>Finishing</v>
      </c>
      <c r="I207" s="1" t="str">
        <f>VLOOKUP(D207,'Activity List CSI'!$C$4:$H$146,6,0)</f>
        <v>09300</v>
      </c>
      <c r="J207" s="1" t="str">
        <f>VLOOKUP($E207,'Activity List CSI'!$D$4:$J$146,'Mat. List CSI'!J$1,0)</f>
        <v>Tile</v>
      </c>
      <c r="K207" s="1" t="s">
        <v>456</v>
      </c>
      <c r="L207" s="1">
        <v>175</v>
      </c>
      <c r="M207" s="1" t="str">
        <f t="shared" si="12"/>
        <v>09300175</v>
      </c>
      <c r="N207" s="12" t="str">
        <f>M207</f>
        <v>09300175</v>
      </c>
    </row>
    <row r="208" spans="4:14" x14ac:dyDescent="0.25">
      <c r="D208" s="11" t="s">
        <v>169</v>
      </c>
      <c r="E208" s="134" t="str">
        <f>VLOOKUP(F208,'Activity List CSI'!$B$4:$D$146,3,0)</f>
        <v>09300-02</v>
      </c>
      <c r="F208" s="1" t="s">
        <v>170</v>
      </c>
      <c r="G208" s="1" t="str">
        <f>VLOOKUP($E208,'Activity List CSI'!$D$4:$J$146,'Mat. List CSI'!G$1,0)</f>
        <v>09</v>
      </c>
      <c r="H208" s="1" t="str">
        <f>VLOOKUP($E208,'Activity List CSI'!$D$4:$J$146,'Mat. List CSI'!H$1,0)</f>
        <v>Finishing</v>
      </c>
      <c r="I208" s="1" t="str">
        <f>VLOOKUP(D208,'Activity List CSI'!$C$4:$H$146,6,0)</f>
        <v>09300</v>
      </c>
      <c r="J208" s="1" t="str">
        <f>VLOOKUP($E208,'Activity List CSI'!$D$4:$J$146,'Mat. List CSI'!J$1,0)</f>
        <v>Tile</v>
      </c>
      <c r="K208" s="1" t="s">
        <v>440</v>
      </c>
      <c r="L208" s="1">
        <v>105</v>
      </c>
      <c r="M208" s="13" t="str">
        <f t="shared" si="12"/>
        <v>09300105</v>
      </c>
      <c r="N208" s="12" t="s">
        <v>441</v>
      </c>
    </row>
    <row r="209" spans="4:14" x14ac:dyDescent="0.25">
      <c r="D209" s="11" t="s">
        <v>169</v>
      </c>
      <c r="E209" s="134" t="str">
        <f>VLOOKUP(F209,'Activity List CSI'!$B$4:$D$146,3,0)</f>
        <v>09300-02</v>
      </c>
      <c r="F209" s="1" t="s">
        <v>170</v>
      </c>
      <c r="G209" s="1" t="str">
        <f>VLOOKUP($E209,'Activity List CSI'!$D$4:$J$146,'Mat. List CSI'!G$1,0)</f>
        <v>09</v>
      </c>
      <c r="H209" s="1" t="str">
        <f>VLOOKUP($E209,'Activity List CSI'!$D$4:$J$146,'Mat. List CSI'!H$1,0)</f>
        <v>Finishing</v>
      </c>
      <c r="I209" s="1" t="str">
        <f>VLOOKUP(D209,'Activity List CSI'!$C$4:$H$146,6,0)</f>
        <v>09300</v>
      </c>
      <c r="J209" s="1" t="str">
        <f>VLOOKUP($E209,'Activity List CSI'!$D$4:$J$146,'Mat. List CSI'!J$1,0)</f>
        <v>Tile</v>
      </c>
      <c r="K209" s="1" t="s">
        <v>442</v>
      </c>
      <c r="L209" s="1">
        <v>110</v>
      </c>
      <c r="M209" s="13" t="str">
        <f t="shared" si="12"/>
        <v>09300110</v>
      </c>
      <c r="N209" s="12" t="s">
        <v>451</v>
      </c>
    </row>
    <row r="210" spans="4:14" x14ac:dyDescent="0.25">
      <c r="D210" s="11" t="s">
        <v>169</v>
      </c>
      <c r="E210" s="134" t="str">
        <f>VLOOKUP(F210,'Activity List CSI'!$B$4:$D$146,3,0)</f>
        <v>09300-02</v>
      </c>
      <c r="F210" s="1" t="s">
        <v>170</v>
      </c>
      <c r="G210" s="1" t="str">
        <f>VLOOKUP($E210,'Activity List CSI'!$D$4:$J$146,'Mat. List CSI'!G$1,0)</f>
        <v>09</v>
      </c>
      <c r="H210" s="1" t="str">
        <f>VLOOKUP($E210,'Activity List CSI'!$D$4:$J$146,'Mat. List CSI'!H$1,0)</f>
        <v>Finishing</v>
      </c>
      <c r="I210" s="1" t="str">
        <f>VLOOKUP(D210,'Activity List CSI'!$C$4:$H$146,6,0)</f>
        <v>09300</v>
      </c>
      <c r="J210" s="1" t="str">
        <f>VLOOKUP($E210,'Activity List CSI'!$D$4:$J$146,'Mat. List CSI'!J$1,0)</f>
        <v>Tile</v>
      </c>
      <c r="K210" s="1" t="s">
        <v>456</v>
      </c>
      <c r="L210" s="1">
        <v>175</v>
      </c>
      <c r="M210" s="1" t="str">
        <f t="shared" si="12"/>
        <v>09300175</v>
      </c>
      <c r="N210" s="12" t="str">
        <f>M210</f>
        <v>09300175</v>
      </c>
    </row>
    <row r="211" spans="4:14" x14ac:dyDescent="0.25">
      <c r="D211" s="11" t="s">
        <v>171</v>
      </c>
      <c r="E211" s="134" t="str">
        <f>VLOOKUP(F211,'Activity List CSI'!$B$4:$D$146,3,0)</f>
        <v>09300-03</v>
      </c>
      <c r="F211" s="1" t="s">
        <v>172</v>
      </c>
      <c r="G211" s="1" t="str">
        <f>VLOOKUP($E211,'Activity List CSI'!$D$4:$J$146,'Mat. List CSI'!G$1,0)</f>
        <v>09</v>
      </c>
      <c r="H211" s="1" t="str">
        <f>VLOOKUP($E211,'Activity List CSI'!$D$4:$J$146,'Mat. List CSI'!H$1,0)</f>
        <v>Finishing</v>
      </c>
      <c r="I211" s="1" t="str">
        <f>VLOOKUP(D211,'Activity List CSI'!$C$4:$H$146,6,0)</f>
        <v>09300</v>
      </c>
      <c r="J211" s="1" t="str">
        <f>VLOOKUP($E211,'Activity List CSI'!$D$4:$J$146,'Mat. List CSI'!J$1,0)</f>
        <v>Tile</v>
      </c>
      <c r="K211" s="1" t="s">
        <v>440</v>
      </c>
      <c r="L211" s="1">
        <v>105</v>
      </c>
      <c r="M211" s="13" t="str">
        <f t="shared" si="12"/>
        <v>09300105</v>
      </c>
      <c r="N211" s="12" t="s">
        <v>441</v>
      </c>
    </row>
    <row r="212" spans="4:14" x14ac:dyDescent="0.25">
      <c r="D212" s="11" t="s">
        <v>171</v>
      </c>
      <c r="E212" s="134" t="str">
        <f>VLOOKUP(F212,'Activity List CSI'!$B$4:$D$146,3,0)</f>
        <v>09300-03</v>
      </c>
      <c r="F212" s="1" t="s">
        <v>172</v>
      </c>
      <c r="G212" s="1" t="str">
        <f>VLOOKUP($E212,'Activity List CSI'!$D$4:$J$146,'Mat. List CSI'!G$1,0)</f>
        <v>09</v>
      </c>
      <c r="H212" s="1" t="str">
        <f>VLOOKUP($E212,'Activity List CSI'!$D$4:$J$146,'Mat. List CSI'!H$1,0)</f>
        <v>Finishing</v>
      </c>
      <c r="I212" s="1" t="str">
        <f>VLOOKUP(D212,'Activity List CSI'!$C$4:$H$146,6,0)</f>
        <v>09300</v>
      </c>
      <c r="J212" s="1" t="str">
        <f>VLOOKUP($E212,'Activity List CSI'!$D$4:$J$146,'Mat. List CSI'!J$1,0)</f>
        <v>Tile</v>
      </c>
      <c r="K212" s="1" t="s">
        <v>442</v>
      </c>
      <c r="L212" s="1">
        <v>110</v>
      </c>
      <c r="M212" s="13" t="str">
        <f t="shared" si="12"/>
        <v>09300110</v>
      </c>
      <c r="N212" s="12" t="s">
        <v>451</v>
      </c>
    </row>
    <row r="213" spans="4:14" x14ac:dyDescent="0.25">
      <c r="D213" s="11" t="s">
        <v>171</v>
      </c>
      <c r="E213" s="134" t="str">
        <f>VLOOKUP(F213,'Activity List CSI'!$B$4:$D$146,3,0)</f>
        <v>09300-03</v>
      </c>
      <c r="F213" s="1" t="s">
        <v>172</v>
      </c>
      <c r="G213" s="1" t="str">
        <f>VLOOKUP($E213,'Activity List CSI'!$D$4:$J$146,'Mat. List CSI'!G$1,0)</f>
        <v>09</v>
      </c>
      <c r="H213" s="1" t="str">
        <f>VLOOKUP($E213,'Activity List CSI'!$D$4:$J$146,'Mat. List CSI'!H$1,0)</f>
        <v>Finishing</v>
      </c>
      <c r="I213" s="1" t="str">
        <f>VLOOKUP(D213,'Activity List CSI'!$C$4:$H$146,6,0)</f>
        <v>09300</v>
      </c>
      <c r="J213" s="1" t="str">
        <f>VLOOKUP($E213,'Activity List CSI'!$D$4:$J$146,'Mat. List CSI'!J$1,0)</f>
        <v>Tile</v>
      </c>
      <c r="K213" s="1" t="s">
        <v>454</v>
      </c>
      <c r="L213" s="1">
        <v>160</v>
      </c>
      <c r="M213" s="13" t="str">
        <f t="shared" si="12"/>
        <v>09300160</v>
      </c>
      <c r="N213" s="12" t="s">
        <v>457</v>
      </c>
    </row>
    <row r="214" spans="4:14" x14ac:dyDescent="0.25">
      <c r="D214" s="11" t="s">
        <v>171</v>
      </c>
      <c r="E214" s="134" t="str">
        <f>VLOOKUP(F214,'Activity List CSI'!$B$4:$D$146,3,0)</f>
        <v>09300-03</v>
      </c>
      <c r="F214" s="1" t="s">
        <v>172</v>
      </c>
      <c r="G214" s="1" t="str">
        <f>VLOOKUP($E214,'Activity List CSI'!$D$4:$J$146,'Mat. List CSI'!G$1,0)</f>
        <v>09</v>
      </c>
      <c r="H214" s="1" t="str">
        <f>VLOOKUP($E214,'Activity List CSI'!$D$4:$J$146,'Mat. List CSI'!H$1,0)</f>
        <v>Finishing</v>
      </c>
      <c r="I214" s="1" t="str">
        <f>VLOOKUP(D214,'Activity List CSI'!$C$4:$H$146,6,0)</f>
        <v>09300</v>
      </c>
      <c r="J214" s="1" t="str">
        <f>VLOOKUP($E214,'Activity List CSI'!$D$4:$J$146,'Mat. List CSI'!J$1,0)</f>
        <v>Tile</v>
      </c>
      <c r="K214" s="1" t="s">
        <v>440</v>
      </c>
      <c r="L214" s="1">
        <v>105</v>
      </c>
      <c r="M214" s="13" t="str">
        <f t="shared" si="12"/>
        <v>09300105</v>
      </c>
      <c r="N214" s="12" t="s">
        <v>441</v>
      </c>
    </row>
    <row r="215" spans="4:14" x14ac:dyDescent="0.25">
      <c r="D215" s="11" t="s">
        <v>171</v>
      </c>
      <c r="E215" s="134" t="str">
        <f>VLOOKUP(F215,'Activity List CSI'!$B$4:$D$146,3,0)</f>
        <v>09300-03</v>
      </c>
      <c r="F215" s="1" t="s">
        <v>172</v>
      </c>
      <c r="G215" s="1" t="str">
        <f>VLOOKUP($E215,'Activity List CSI'!$D$4:$J$146,'Mat. List CSI'!G$1,0)</f>
        <v>09</v>
      </c>
      <c r="H215" s="1" t="str">
        <f>VLOOKUP($E215,'Activity List CSI'!$D$4:$J$146,'Mat. List CSI'!H$1,0)</f>
        <v>Finishing</v>
      </c>
      <c r="I215" s="1" t="str">
        <f>VLOOKUP(D215,'Activity List CSI'!$C$4:$H$146,6,0)</f>
        <v>09300</v>
      </c>
      <c r="J215" s="1" t="str">
        <f>VLOOKUP($E215,'Activity List CSI'!$D$4:$J$146,'Mat. List CSI'!J$1,0)</f>
        <v>Tile</v>
      </c>
      <c r="K215" s="1" t="s">
        <v>442</v>
      </c>
      <c r="L215" s="1">
        <v>110</v>
      </c>
      <c r="M215" s="13" t="str">
        <f t="shared" si="12"/>
        <v>09300110</v>
      </c>
      <c r="N215" s="12" t="s">
        <v>451</v>
      </c>
    </row>
    <row r="216" spans="4:14" x14ac:dyDescent="0.25">
      <c r="D216" s="11" t="s">
        <v>171</v>
      </c>
      <c r="E216" s="134" t="str">
        <f>VLOOKUP(F216,'Activity List CSI'!$B$4:$D$146,3,0)</f>
        <v>09300-03</v>
      </c>
      <c r="F216" s="1" t="s">
        <v>172</v>
      </c>
      <c r="G216" s="1" t="str">
        <f>VLOOKUP($E216,'Activity List CSI'!$D$4:$J$146,'Mat. List CSI'!G$1,0)</f>
        <v>09</v>
      </c>
      <c r="H216" s="1" t="str">
        <f>VLOOKUP($E216,'Activity List CSI'!$D$4:$J$146,'Mat. List CSI'!H$1,0)</f>
        <v>Finishing</v>
      </c>
      <c r="I216" s="1" t="str">
        <f>VLOOKUP(D216,'Activity List CSI'!$C$4:$H$146,6,0)</f>
        <v>09300</v>
      </c>
      <c r="J216" s="1" t="str">
        <f>VLOOKUP($E216,'Activity List CSI'!$D$4:$J$146,'Mat. List CSI'!J$1,0)</f>
        <v>Tile</v>
      </c>
      <c r="K216" s="1" t="s">
        <v>454</v>
      </c>
      <c r="L216" s="1">
        <v>160</v>
      </c>
      <c r="M216" s="13" t="str">
        <f t="shared" si="12"/>
        <v>09300160</v>
      </c>
      <c r="N216" s="12" t="s">
        <v>457</v>
      </c>
    </row>
    <row r="217" spans="4:14" x14ac:dyDescent="0.25">
      <c r="D217" s="11" t="s">
        <v>173</v>
      </c>
      <c r="E217" s="134" t="str">
        <f>VLOOKUP(F217,'Activity List CSI'!$B$4:$D$146,3,0)</f>
        <v>09300-04</v>
      </c>
      <c r="F217" s="1" t="s">
        <v>174</v>
      </c>
      <c r="G217" s="1" t="str">
        <f>VLOOKUP($E217,'Activity List CSI'!$D$4:$J$146,'Mat. List CSI'!G$1,0)</f>
        <v>09</v>
      </c>
      <c r="H217" s="1" t="str">
        <f>VLOOKUP($E217,'Activity List CSI'!$D$4:$J$146,'Mat. List CSI'!H$1,0)</f>
        <v>Finishing</v>
      </c>
      <c r="I217" s="1" t="str">
        <f>VLOOKUP(D217,'Activity List CSI'!$C$4:$H$146,6,0)</f>
        <v>09300</v>
      </c>
      <c r="J217" s="1" t="str">
        <f>VLOOKUP($E217,'Activity List CSI'!$D$4:$J$146,'Mat. List CSI'!J$1,0)</f>
        <v>Tile</v>
      </c>
      <c r="K217" s="1" t="s">
        <v>166</v>
      </c>
      <c r="L217" s="1">
        <v>170</v>
      </c>
      <c r="M217" s="13" t="str">
        <f t="shared" si="12"/>
        <v>09300170</v>
      </c>
      <c r="N217" s="12" t="s">
        <v>458</v>
      </c>
    </row>
    <row r="218" spans="4:14" x14ac:dyDescent="0.25">
      <c r="D218" s="11" t="s">
        <v>173</v>
      </c>
      <c r="E218" s="134" t="str">
        <f>VLOOKUP(F218,'Activity List CSI'!$B$4:$D$146,3,0)</f>
        <v>09300-04</v>
      </c>
      <c r="F218" s="1" t="s">
        <v>174</v>
      </c>
      <c r="G218" s="1" t="str">
        <f>VLOOKUP($E218,'Activity List CSI'!$D$4:$J$146,'Mat. List CSI'!G$1,0)</f>
        <v>09</v>
      </c>
      <c r="H218" s="1" t="str">
        <f>VLOOKUP($E218,'Activity List CSI'!$D$4:$J$146,'Mat. List CSI'!H$1,0)</f>
        <v>Finishing</v>
      </c>
      <c r="I218" s="1" t="str">
        <f>VLOOKUP(D218,'Activity List CSI'!$C$4:$H$146,6,0)</f>
        <v>09300</v>
      </c>
      <c r="J218" s="1" t="str">
        <f>VLOOKUP($E218,'Activity List CSI'!$D$4:$J$146,'Mat. List CSI'!J$1,0)</f>
        <v>Tile</v>
      </c>
      <c r="K218" s="1" t="s">
        <v>166</v>
      </c>
      <c r="L218" s="1">
        <v>170</v>
      </c>
      <c r="M218" s="13" t="str">
        <f t="shared" si="12"/>
        <v>09300170</v>
      </c>
      <c r="N218" s="12" t="s">
        <v>458</v>
      </c>
    </row>
    <row r="219" spans="4:14" x14ac:dyDescent="0.25">
      <c r="D219" s="11" t="s">
        <v>175</v>
      </c>
      <c r="E219" s="134" t="str">
        <f>VLOOKUP(F219,'Activity List CSI'!$B$4:$D$146,3,0)</f>
        <v>09300-05</v>
      </c>
      <c r="F219" s="1" t="s">
        <v>176</v>
      </c>
      <c r="G219" s="1" t="str">
        <f>VLOOKUP($E219,'Activity List CSI'!$D$4:$J$146,'Mat. List CSI'!G$1,0)</f>
        <v>09</v>
      </c>
      <c r="H219" s="1" t="str">
        <f>VLOOKUP($E219,'Activity List CSI'!$D$4:$J$146,'Mat. List CSI'!H$1,0)</f>
        <v>Finishing</v>
      </c>
      <c r="I219" s="1" t="str">
        <f>VLOOKUP(D219,'Activity List CSI'!$C$4:$H$146,6,0)</f>
        <v>09300</v>
      </c>
      <c r="J219" s="1" t="str">
        <f>VLOOKUP($E219,'Activity List CSI'!$D$4:$J$146,'Mat. List CSI'!J$1,0)</f>
        <v>Tile</v>
      </c>
      <c r="K219" s="1" t="s">
        <v>440</v>
      </c>
      <c r="L219" s="1">
        <v>105</v>
      </c>
      <c r="M219" s="13" t="str">
        <f t="shared" si="12"/>
        <v>09300105</v>
      </c>
      <c r="N219" s="12" t="s">
        <v>441</v>
      </c>
    </row>
    <row r="220" spans="4:14" x14ac:dyDescent="0.25">
      <c r="D220" s="11" t="s">
        <v>175</v>
      </c>
      <c r="E220" s="134" t="str">
        <f>VLOOKUP(F220,'Activity List CSI'!$B$4:$D$146,3,0)</f>
        <v>09300-05</v>
      </c>
      <c r="F220" s="1" t="s">
        <v>176</v>
      </c>
      <c r="G220" s="1" t="str">
        <f>VLOOKUP($E220,'Activity List CSI'!$D$4:$J$146,'Mat. List CSI'!G$1,0)</f>
        <v>09</v>
      </c>
      <c r="H220" s="1" t="str">
        <f>VLOOKUP($E220,'Activity List CSI'!$D$4:$J$146,'Mat. List CSI'!H$1,0)</f>
        <v>Finishing</v>
      </c>
      <c r="I220" s="1" t="str">
        <f>VLOOKUP(D220,'Activity List CSI'!$C$4:$H$146,6,0)</f>
        <v>09300</v>
      </c>
      <c r="J220" s="1" t="str">
        <f>VLOOKUP($E220,'Activity List CSI'!$D$4:$J$146,'Mat. List CSI'!J$1,0)</f>
        <v>Tile</v>
      </c>
      <c r="K220" s="1" t="s">
        <v>442</v>
      </c>
      <c r="L220" s="1">
        <v>110</v>
      </c>
      <c r="M220" s="13" t="str">
        <f t="shared" si="12"/>
        <v>09300110</v>
      </c>
      <c r="N220" s="12" t="s">
        <v>451</v>
      </c>
    </row>
    <row r="221" spans="4:14" x14ac:dyDescent="0.25">
      <c r="D221" s="11" t="s">
        <v>175</v>
      </c>
      <c r="E221" s="134" t="str">
        <f>VLOOKUP(F221,'Activity List CSI'!$B$4:$D$146,3,0)</f>
        <v>09300-05</v>
      </c>
      <c r="F221" s="1" t="s">
        <v>176</v>
      </c>
      <c r="G221" s="1" t="str">
        <f>VLOOKUP($E221,'Activity List CSI'!$D$4:$J$146,'Mat. List CSI'!G$1,0)</f>
        <v>09</v>
      </c>
      <c r="H221" s="1" t="str">
        <f>VLOOKUP($E221,'Activity List CSI'!$D$4:$J$146,'Mat. List CSI'!H$1,0)</f>
        <v>Finishing</v>
      </c>
      <c r="I221" s="1" t="str">
        <f>VLOOKUP(D221,'Activity List CSI'!$C$4:$H$146,6,0)</f>
        <v>09300</v>
      </c>
      <c r="J221" s="1" t="str">
        <f>VLOOKUP($E221,'Activity List CSI'!$D$4:$J$146,'Mat. List CSI'!J$1,0)</f>
        <v>Tile</v>
      </c>
      <c r="K221" s="1" t="s">
        <v>455</v>
      </c>
      <c r="L221" s="1">
        <v>105</v>
      </c>
      <c r="M221" s="1" t="str">
        <f t="shared" si="12"/>
        <v>09300105</v>
      </c>
      <c r="N221" s="12" t="str">
        <f>M221</f>
        <v>09300105</v>
      </c>
    </row>
    <row r="222" spans="4:14" x14ac:dyDescent="0.25">
      <c r="D222" s="11" t="s">
        <v>175</v>
      </c>
      <c r="E222" s="134" t="str">
        <f>VLOOKUP(F222,'Activity List CSI'!$B$4:$D$146,3,0)</f>
        <v>09300-05</v>
      </c>
      <c r="F222" s="1" t="s">
        <v>176</v>
      </c>
      <c r="G222" s="1" t="str">
        <f>VLOOKUP($E222,'Activity List CSI'!$D$4:$J$146,'Mat. List CSI'!G$1,0)</f>
        <v>09</v>
      </c>
      <c r="H222" s="1" t="str">
        <f>VLOOKUP($E222,'Activity List CSI'!$D$4:$J$146,'Mat. List CSI'!H$1,0)</f>
        <v>Finishing</v>
      </c>
      <c r="I222" s="1" t="str">
        <f>VLOOKUP(D222,'Activity List CSI'!$C$4:$H$146,6,0)</f>
        <v>09300</v>
      </c>
      <c r="J222" s="1" t="str">
        <f>VLOOKUP($E222,'Activity List CSI'!$D$4:$J$146,'Mat. List CSI'!J$1,0)</f>
        <v>Tile</v>
      </c>
      <c r="K222" s="1" t="s">
        <v>440</v>
      </c>
      <c r="L222" s="1">
        <v>105</v>
      </c>
      <c r="M222" s="13" t="str">
        <f t="shared" si="12"/>
        <v>09300105</v>
      </c>
      <c r="N222" s="12" t="s">
        <v>441</v>
      </c>
    </row>
    <row r="223" spans="4:14" x14ac:dyDescent="0.25">
      <c r="D223" s="11" t="s">
        <v>175</v>
      </c>
      <c r="E223" s="134" t="str">
        <f>VLOOKUP(F223,'Activity List CSI'!$B$4:$D$146,3,0)</f>
        <v>09300-05</v>
      </c>
      <c r="F223" s="1" t="s">
        <v>176</v>
      </c>
      <c r="G223" s="1" t="str">
        <f>VLOOKUP($E223,'Activity List CSI'!$D$4:$J$146,'Mat. List CSI'!G$1,0)</f>
        <v>09</v>
      </c>
      <c r="H223" s="1" t="str">
        <f>VLOOKUP($E223,'Activity List CSI'!$D$4:$J$146,'Mat. List CSI'!H$1,0)</f>
        <v>Finishing</v>
      </c>
      <c r="I223" s="1" t="str">
        <f>VLOOKUP(D223,'Activity List CSI'!$C$4:$H$146,6,0)</f>
        <v>09300</v>
      </c>
      <c r="J223" s="1" t="str">
        <f>VLOOKUP($E223,'Activity List CSI'!$D$4:$J$146,'Mat. List CSI'!J$1,0)</f>
        <v>Tile</v>
      </c>
      <c r="K223" s="1" t="s">
        <v>442</v>
      </c>
      <c r="L223" s="1">
        <v>110</v>
      </c>
      <c r="M223" s="13" t="str">
        <f t="shared" si="12"/>
        <v>09300110</v>
      </c>
      <c r="N223" s="12" t="s">
        <v>451</v>
      </c>
    </row>
    <row r="224" spans="4:14" x14ac:dyDescent="0.25">
      <c r="D224" s="11" t="s">
        <v>175</v>
      </c>
      <c r="E224" s="134" t="str">
        <f>VLOOKUP(F224,'Activity List CSI'!$B$4:$D$146,3,0)</f>
        <v>09300-05</v>
      </c>
      <c r="F224" s="1" t="s">
        <v>176</v>
      </c>
      <c r="G224" s="1" t="str">
        <f>VLOOKUP($E224,'Activity List CSI'!$D$4:$J$146,'Mat. List CSI'!G$1,0)</f>
        <v>09</v>
      </c>
      <c r="H224" s="1" t="str">
        <f>VLOOKUP($E224,'Activity List CSI'!$D$4:$J$146,'Mat. List CSI'!H$1,0)</f>
        <v>Finishing</v>
      </c>
      <c r="I224" s="1" t="str">
        <f>VLOOKUP(D224,'Activity List CSI'!$C$4:$H$146,6,0)</f>
        <v>09300</v>
      </c>
      <c r="J224" s="1" t="str">
        <f>VLOOKUP($E224,'Activity List CSI'!$D$4:$J$146,'Mat. List CSI'!J$1,0)</f>
        <v>Tile</v>
      </c>
      <c r="K224" s="1" t="s">
        <v>455</v>
      </c>
      <c r="L224" s="1">
        <v>105</v>
      </c>
      <c r="M224" s="1" t="str">
        <f t="shared" si="12"/>
        <v>09300105</v>
      </c>
      <c r="N224" s="12" t="str">
        <f>M224</f>
        <v>09300105</v>
      </c>
    </row>
    <row r="225" spans="4:14" x14ac:dyDescent="0.25">
      <c r="D225" s="11" t="s">
        <v>177</v>
      </c>
      <c r="E225" s="134" t="str">
        <f>VLOOKUP(F225,'Activity List CSI'!$B$4:$D$146,3,0)</f>
        <v>09300-06</v>
      </c>
      <c r="F225" s="1" t="s">
        <v>178</v>
      </c>
      <c r="G225" s="1" t="str">
        <f>VLOOKUP($E225,'Activity List CSI'!$D$4:$J$146,'Mat. List CSI'!G$1,0)</f>
        <v>09</v>
      </c>
      <c r="H225" s="1" t="str">
        <f>VLOOKUP($E225,'Activity List CSI'!$D$4:$J$146,'Mat. List CSI'!H$1,0)</f>
        <v>Finishing</v>
      </c>
      <c r="I225" s="1" t="str">
        <f>VLOOKUP(D225,'Activity List CSI'!$C$4:$H$146,6,0)</f>
        <v>09300</v>
      </c>
      <c r="J225" s="1" t="str">
        <f>VLOOKUP($E225,'Activity List CSI'!$D$4:$J$146,'Mat. List CSI'!J$1,0)</f>
        <v>Tile</v>
      </c>
      <c r="K225" s="1" t="s">
        <v>440</v>
      </c>
      <c r="L225" s="1">
        <v>105</v>
      </c>
      <c r="M225" s="13" t="str">
        <f t="shared" si="12"/>
        <v>09300105</v>
      </c>
      <c r="N225" s="12" t="s">
        <v>441</v>
      </c>
    </row>
    <row r="226" spans="4:14" x14ac:dyDescent="0.25">
      <c r="D226" s="11" t="s">
        <v>177</v>
      </c>
      <c r="E226" s="134" t="str">
        <f>VLOOKUP(F226,'Activity List CSI'!$B$4:$D$146,3,0)</f>
        <v>09300-06</v>
      </c>
      <c r="F226" s="1" t="s">
        <v>178</v>
      </c>
      <c r="G226" s="1" t="str">
        <f>VLOOKUP($E226,'Activity List CSI'!$D$4:$J$146,'Mat. List CSI'!G$1,0)</f>
        <v>09</v>
      </c>
      <c r="H226" s="1" t="str">
        <f>VLOOKUP($E226,'Activity List CSI'!$D$4:$J$146,'Mat. List CSI'!H$1,0)</f>
        <v>Finishing</v>
      </c>
      <c r="I226" s="1" t="str">
        <f>VLOOKUP(D226,'Activity List CSI'!$C$4:$H$146,6,0)</f>
        <v>09300</v>
      </c>
      <c r="J226" s="1" t="str">
        <f>VLOOKUP($E226,'Activity List CSI'!$D$4:$J$146,'Mat. List CSI'!J$1,0)</f>
        <v>Tile</v>
      </c>
      <c r="K226" s="1" t="s">
        <v>442</v>
      </c>
      <c r="L226" s="1">
        <v>110</v>
      </c>
      <c r="M226" s="13" t="str">
        <f t="shared" si="12"/>
        <v>09300110</v>
      </c>
      <c r="N226" s="12" t="s">
        <v>451</v>
      </c>
    </row>
    <row r="227" spans="4:14" x14ac:dyDescent="0.25">
      <c r="D227" s="11" t="s">
        <v>177</v>
      </c>
      <c r="E227" s="134" t="str">
        <f>VLOOKUP(F227,'Activity List CSI'!$B$4:$D$146,3,0)</f>
        <v>09300-06</v>
      </c>
      <c r="F227" s="1" t="s">
        <v>178</v>
      </c>
      <c r="G227" s="1" t="str">
        <f>VLOOKUP($E227,'Activity List CSI'!$D$4:$J$146,'Mat. List CSI'!G$1,0)</f>
        <v>09</v>
      </c>
      <c r="H227" s="1" t="str">
        <f>VLOOKUP($E227,'Activity List CSI'!$D$4:$J$146,'Mat. List CSI'!H$1,0)</f>
        <v>Finishing</v>
      </c>
      <c r="I227" s="1" t="str">
        <f>VLOOKUP(D227,'Activity List CSI'!$C$4:$H$146,6,0)</f>
        <v>09300</v>
      </c>
      <c r="J227" s="1" t="str">
        <f>VLOOKUP($E227,'Activity List CSI'!$D$4:$J$146,'Mat. List CSI'!J$1,0)</f>
        <v>Tile</v>
      </c>
      <c r="K227" s="1" t="s">
        <v>453</v>
      </c>
      <c r="L227" s="1">
        <v>130</v>
      </c>
      <c r="M227" s="13" t="str">
        <f t="shared" si="12"/>
        <v>09300130</v>
      </c>
      <c r="N227" s="12" t="s">
        <v>459</v>
      </c>
    </row>
    <row r="228" spans="4:14" x14ac:dyDescent="0.25">
      <c r="D228" s="11" t="s">
        <v>177</v>
      </c>
      <c r="E228" s="134" t="str">
        <f>VLOOKUP(F228,'Activity List CSI'!$B$4:$D$146,3,0)</f>
        <v>09300-06</v>
      </c>
      <c r="F228" s="1" t="s">
        <v>178</v>
      </c>
      <c r="G228" s="1" t="str">
        <f>VLOOKUP($E228,'Activity List CSI'!$D$4:$J$146,'Mat. List CSI'!G$1,0)</f>
        <v>09</v>
      </c>
      <c r="H228" s="1" t="str">
        <f>VLOOKUP($E228,'Activity List CSI'!$D$4:$J$146,'Mat. List CSI'!H$1,0)</f>
        <v>Finishing</v>
      </c>
      <c r="I228" s="1" t="str">
        <f>VLOOKUP(D228,'Activity List CSI'!$C$4:$H$146,6,0)</f>
        <v>09300</v>
      </c>
      <c r="J228" s="1" t="str">
        <f>VLOOKUP($E228,'Activity List CSI'!$D$4:$J$146,'Mat. List CSI'!J$1,0)</f>
        <v>Tile</v>
      </c>
      <c r="K228" s="1" t="s">
        <v>440</v>
      </c>
      <c r="L228" s="1">
        <v>105</v>
      </c>
      <c r="M228" s="13" t="str">
        <f t="shared" si="12"/>
        <v>09300105</v>
      </c>
      <c r="N228" s="12" t="s">
        <v>441</v>
      </c>
    </row>
    <row r="229" spans="4:14" x14ac:dyDescent="0.25">
      <c r="D229" s="11" t="s">
        <v>177</v>
      </c>
      <c r="E229" s="134" t="str">
        <f>VLOOKUP(F229,'Activity List CSI'!$B$4:$D$146,3,0)</f>
        <v>09300-06</v>
      </c>
      <c r="F229" s="1" t="s">
        <v>178</v>
      </c>
      <c r="G229" s="1" t="str">
        <f>VLOOKUP($E229,'Activity List CSI'!$D$4:$J$146,'Mat. List CSI'!G$1,0)</f>
        <v>09</v>
      </c>
      <c r="H229" s="1" t="str">
        <f>VLOOKUP($E229,'Activity List CSI'!$D$4:$J$146,'Mat. List CSI'!H$1,0)</f>
        <v>Finishing</v>
      </c>
      <c r="I229" s="1" t="str">
        <f>VLOOKUP(D229,'Activity List CSI'!$C$4:$H$146,6,0)</f>
        <v>09300</v>
      </c>
      <c r="J229" s="1" t="str">
        <f>VLOOKUP($E229,'Activity List CSI'!$D$4:$J$146,'Mat. List CSI'!J$1,0)</f>
        <v>Tile</v>
      </c>
      <c r="K229" s="1" t="s">
        <v>442</v>
      </c>
      <c r="L229" s="1">
        <v>110</v>
      </c>
      <c r="M229" s="13" t="str">
        <f t="shared" si="12"/>
        <v>09300110</v>
      </c>
      <c r="N229" s="12" t="s">
        <v>451</v>
      </c>
    </row>
    <row r="230" spans="4:14" x14ac:dyDescent="0.25">
      <c r="D230" s="11" t="s">
        <v>177</v>
      </c>
      <c r="E230" s="134" t="str">
        <f>VLOOKUP(F230,'Activity List CSI'!$B$4:$D$146,3,0)</f>
        <v>09300-06</v>
      </c>
      <c r="F230" s="1" t="s">
        <v>178</v>
      </c>
      <c r="G230" s="1" t="str">
        <f>VLOOKUP($E230,'Activity List CSI'!$D$4:$J$146,'Mat. List CSI'!G$1,0)</f>
        <v>09</v>
      </c>
      <c r="H230" s="1" t="str">
        <f>VLOOKUP($E230,'Activity List CSI'!$D$4:$J$146,'Mat. List CSI'!H$1,0)</f>
        <v>Finishing</v>
      </c>
      <c r="I230" s="1" t="str">
        <f>VLOOKUP(D230,'Activity List CSI'!$C$4:$H$146,6,0)</f>
        <v>09300</v>
      </c>
      <c r="J230" s="1" t="str">
        <f>VLOOKUP($E230,'Activity List CSI'!$D$4:$J$146,'Mat. List CSI'!J$1,0)</f>
        <v>Tile</v>
      </c>
      <c r="K230" s="1" t="s">
        <v>453</v>
      </c>
      <c r="L230" s="1">
        <v>130</v>
      </c>
      <c r="M230" s="13" t="str">
        <f t="shared" si="12"/>
        <v>09300130</v>
      </c>
      <c r="N230" s="12" t="s">
        <v>459</v>
      </c>
    </row>
    <row r="231" spans="4:14" x14ac:dyDescent="0.25">
      <c r="D231" s="11" t="s">
        <v>179</v>
      </c>
      <c r="E231" s="134" t="str">
        <f>VLOOKUP(F231,'Activity List CSI'!$B$4:$D$146,3,0)</f>
        <v>09300-07</v>
      </c>
      <c r="F231" s="1" t="s">
        <v>180</v>
      </c>
      <c r="G231" s="1" t="str">
        <f>VLOOKUP($E231,'Activity List CSI'!$D$4:$J$146,'Mat. List CSI'!G$1,0)</f>
        <v>09</v>
      </c>
      <c r="H231" s="1" t="str">
        <f>VLOOKUP($E231,'Activity List CSI'!$D$4:$J$146,'Mat. List CSI'!H$1,0)</f>
        <v>Finishing</v>
      </c>
      <c r="I231" s="1" t="str">
        <f>VLOOKUP(D231,'Activity List CSI'!$C$4:$H$146,6,0)</f>
        <v>09300</v>
      </c>
      <c r="J231" s="1" t="str">
        <f>VLOOKUP($E231,'Activity List CSI'!$D$4:$J$146,'Mat. List CSI'!J$1,0)</f>
        <v>Tile</v>
      </c>
      <c r="K231" s="1" t="s">
        <v>440</v>
      </c>
      <c r="L231" s="1">
        <v>105</v>
      </c>
      <c r="M231" s="13" t="str">
        <f t="shared" si="12"/>
        <v>09300105</v>
      </c>
      <c r="N231" s="12" t="s">
        <v>441</v>
      </c>
    </row>
    <row r="232" spans="4:14" x14ac:dyDescent="0.25">
      <c r="D232" s="11" t="s">
        <v>179</v>
      </c>
      <c r="E232" s="134" t="str">
        <f>VLOOKUP(F232,'Activity List CSI'!$B$4:$D$146,3,0)</f>
        <v>09300-07</v>
      </c>
      <c r="F232" s="1" t="s">
        <v>180</v>
      </c>
      <c r="G232" s="1" t="str">
        <f>VLOOKUP($E232,'Activity List CSI'!$D$4:$J$146,'Mat. List CSI'!G$1,0)</f>
        <v>09</v>
      </c>
      <c r="H232" s="1" t="str">
        <f>VLOOKUP($E232,'Activity List CSI'!$D$4:$J$146,'Mat. List CSI'!H$1,0)</f>
        <v>Finishing</v>
      </c>
      <c r="I232" s="1" t="str">
        <f>VLOOKUP(D232,'Activity List CSI'!$C$4:$H$146,6,0)</f>
        <v>09300</v>
      </c>
      <c r="J232" s="1" t="str">
        <f>VLOOKUP($E232,'Activity List CSI'!$D$4:$J$146,'Mat. List CSI'!J$1,0)</f>
        <v>Tile</v>
      </c>
      <c r="K232" s="1" t="s">
        <v>442</v>
      </c>
      <c r="L232" s="1">
        <v>110</v>
      </c>
      <c r="M232" s="13" t="str">
        <f t="shared" si="12"/>
        <v>09300110</v>
      </c>
      <c r="N232" s="12" t="s">
        <v>451</v>
      </c>
    </row>
    <row r="233" spans="4:14" x14ac:dyDescent="0.25">
      <c r="D233" s="11" t="s">
        <v>179</v>
      </c>
      <c r="E233" s="134" t="str">
        <f>VLOOKUP(F233,'Activity List CSI'!$B$4:$D$146,3,0)</f>
        <v>09300-07</v>
      </c>
      <c r="F233" s="1" t="s">
        <v>180</v>
      </c>
      <c r="G233" s="1" t="str">
        <f>VLOOKUP($E233,'Activity List CSI'!$D$4:$J$146,'Mat. List CSI'!G$1,0)</f>
        <v>09</v>
      </c>
      <c r="H233" s="1" t="str">
        <f>VLOOKUP($E233,'Activity List CSI'!$D$4:$J$146,'Mat. List CSI'!H$1,0)</f>
        <v>Finishing</v>
      </c>
      <c r="I233" s="1" t="str">
        <f>VLOOKUP(D233,'Activity List CSI'!$C$4:$H$146,6,0)</f>
        <v>09300</v>
      </c>
      <c r="J233" s="1" t="str">
        <f>VLOOKUP($E233,'Activity List CSI'!$D$4:$J$146,'Mat. List CSI'!J$1,0)</f>
        <v>Tile</v>
      </c>
      <c r="K233" s="1" t="s">
        <v>454</v>
      </c>
      <c r="L233" s="1">
        <v>160</v>
      </c>
      <c r="M233" s="13" t="str">
        <f t="shared" si="12"/>
        <v>09300160</v>
      </c>
      <c r="N233" s="12" t="s">
        <v>457</v>
      </c>
    </row>
    <row r="234" spans="4:14" x14ac:dyDescent="0.25">
      <c r="D234" s="11" t="s">
        <v>179</v>
      </c>
      <c r="E234" s="134" t="str">
        <f>VLOOKUP(F234,'Activity List CSI'!$B$4:$D$146,3,0)</f>
        <v>09300-07</v>
      </c>
      <c r="F234" s="1" t="s">
        <v>180</v>
      </c>
      <c r="G234" s="1" t="str">
        <f>VLOOKUP($E234,'Activity List CSI'!$D$4:$J$146,'Mat. List CSI'!G$1,0)</f>
        <v>09</v>
      </c>
      <c r="H234" s="1" t="str">
        <f>VLOOKUP($E234,'Activity List CSI'!$D$4:$J$146,'Mat. List CSI'!H$1,0)</f>
        <v>Finishing</v>
      </c>
      <c r="I234" s="1" t="str">
        <f>VLOOKUP(D234,'Activity List CSI'!$C$4:$H$146,6,0)</f>
        <v>09300</v>
      </c>
      <c r="J234" s="1" t="str">
        <f>VLOOKUP($E234,'Activity List CSI'!$D$4:$J$146,'Mat. List CSI'!J$1,0)</f>
        <v>Tile</v>
      </c>
      <c r="K234" s="1" t="s">
        <v>440</v>
      </c>
      <c r="L234" s="1">
        <v>105</v>
      </c>
      <c r="M234" s="13" t="str">
        <f t="shared" si="12"/>
        <v>09300105</v>
      </c>
      <c r="N234" s="12" t="s">
        <v>441</v>
      </c>
    </row>
    <row r="235" spans="4:14" x14ac:dyDescent="0.25">
      <c r="D235" s="11" t="s">
        <v>179</v>
      </c>
      <c r="E235" s="134" t="str">
        <f>VLOOKUP(F235,'Activity List CSI'!$B$4:$D$146,3,0)</f>
        <v>09300-07</v>
      </c>
      <c r="F235" s="1" t="s">
        <v>180</v>
      </c>
      <c r="G235" s="1" t="str">
        <f>VLOOKUP($E235,'Activity List CSI'!$D$4:$J$146,'Mat. List CSI'!G$1,0)</f>
        <v>09</v>
      </c>
      <c r="H235" s="1" t="str">
        <f>VLOOKUP($E235,'Activity List CSI'!$D$4:$J$146,'Mat. List CSI'!H$1,0)</f>
        <v>Finishing</v>
      </c>
      <c r="I235" s="1" t="str">
        <f>VLOOKUP(D235,'Activity List CSI'!$C$4:$H$146,6,0)</f>
        <v>09300</v>
      </c>
      <c r="J235" s="1" t="str">
        <f>VLOOKUP($E235,'Activity List CSI'!$D$4:$J$146,'Mat. List CSI'!J$1,0)</f>
        <v>Tile</v>
      </c>
      <c r="K235" s="1" t="s">
        <v>442</v>
      </c>
      <c r="L235" s="1">
        <v>110</v>
      </c>
      <c r="M235" s="13" t="str">
        <f t="shared" si="12"/>
        <v>09300110</v>
      </c>
      <c r="N235" s="12" t="s">
        <v>451</v>
      </c>
    </row>
    <row r="236" spans="4:14" x14ac:dyDescent="0.25">
      <c r="D236" s="11" t="s">
        <v>179</v>
      </c>
      <c r="E236" s="134" t="str">
        <f>VLOOKUP(F236,'Activity List CSI'!$B$4:$D$146,3,0)</f>
        <v>09300-07</v>
      </c>
      <c r="F236" s="1" t="s">
        <v>180</v>
      </c>
      <c r="G236" s="1" t="str">
        <f>VLOOKUP($E236,'Activity List CSI'!$D$4:$J$146,'Mat. List CSI'!G$1,0)</f>
        <v>09</v>
      </c>
      <c r="H236" s="1" t="str">
        <f>VLOOKUP($E236,'Activity List CSI'!$D$4:$J$146,'Mat. List CSI'!H$1,0)</f>
        <v>Finishing</v>
      </c>
      <c r="I236" s="1" t="str">
        <f>VLOOKUP(D236,'Activity List CSI'!$C$4:$H$146,6,0)</f>
        <v>09300</v>
      </c>
      <c r="J236" s="1" t="str">
        <f>VLOOKUP($E236,'Activity List CSI'!$D$4:$J$146,'Mat. List CSI'!J$1,0)</f>
        <v>Tile</v>
      </c>
      <c r="K236" s="1" t="s">
        <v>454</v>
      </c>
      <c r="L236" s="1">
        <v>160</v>
      </c>
      <c r="M236" s="13" t="str">
        <f t="shared" si="12"/>
        <v>09300160</v>
      </c>
      <c r="N236" s="12" t="s">
        <v>457</v>
      </c>
    </row>
    <row r="237" spans="4:14" x14ac:dyDescent="0.25">
      <c r="D237" s="11" t="s">
        <v>181</v>
      </c>
      <c r="E237" s="134" t="str">
        <f>VLOOKUP(F237,'Activity List CSI'!$B$4:$D$146,3,0)</f>
        <v>09700-01</v>
      </c>
      <c r="F237" s="1" t="s">
        <v>182</v>
      </c>
      <c r="G237" s="1" t="str">
        <f>VLOOKUP($E237,'Activity List CSI'!$D$4:$J$146,'Mat. List CSI'!G$1,0)</f>
        <v>09</v>
      </c>
      <c r="H237" s="1" t="str">
        <f>VLOOKUP($E237,'Activity List CSI'!$D$4:$J$146,'Mat. List CSI'!H$1,0)</f>
        <v>Finishing</v>
      </c>
      <c r="I237" s="1" t="str">
        <f>VLOOKUP(D237,'Activity List CSI'!$C$4:$H$146,6,0)</f>
        <v>09700</v>
      </c>
      <c r="J237" s="1" t="str">
        <f>VLOOKUP($E237,'Activity List CSI'!$D$4:$J$146,'Mat. List CSI'!J$1,0)</f>
        <v>Wall Finishes</v>
      </c>
      <c r="K237" s="1" t="s">
        <v>460</v>
      </c>
      <c r="L237" s="1">
        <v>190</v>
      </c>
      <c r="M237" s="1" t="str">
        <f t="shared" si="12"/>
        <v>09700190</v>
      </c>
      <c r="N237" s="12" t="str">
        <f t="shared" ref="N237:N238" si="14">M237</f>
        <v>09700190</v>
      </c>
    </row>
    <row r="238" spans="4:14" x14ac:dyDescent="0.25">
      <c r="D238" s="11" t="s">
        <v>181</v>
      </c>
      <c r="E238" s="134" t="str">
        <f>VLOOKUP(F238,'Activity List CSI'!$B$4:$D$146,3,0)</f>
        <v>09700-01</v>
      </c>
      <c r="F238" s="1" t="s">
        <v>182</v>
      </c>
      <c r="G238" s="1" t="str">
        <f>VLOOKUP($E238,'Activity List CSI'!$D$4:$J$146,'Mat. List CSI'!G$1,0)</f>
        <v>09</v>
      </c>
      <c r="H238" s="1" t="str">
        <f>VLOOKUP($E238,'Activity List CSI'!$D$4:$J$146,'Mat. List CSI'!H$1,0)</f>
        <v>Finishing</v>
      </c>
      <c r="I238" s="1" t="str">
        <f>VLOOKUP(D238,'Activity List CSI'!$C$4:$H$146,6,0)</f>
        <v>09700</v>
      </c>
      <c r="J238" s="1" t="str">
        <f>VLOOKUP($E238,'Activity List CSI'!$D$4:$J$146,'Mat. List CSI'!J$1,0)</f>
        <v>Wall Finishes</v>
      </c>
      <c r="K238" s="1" t="s">
        <v>460</v>
      </c>
      <c r="L238" s="1">
        <v>190</v>
      </c>
      <c r="M238" s="1" t="str">
        <f t="shared" si="12"/>
        <v>09700190</v>
      </c>
      <c r="N238" s="12" t="str">
        <f t="shared" si="14"/>
        <v>09700190</v>
      </c>
    </row>
    <row r="239" spans="4:14" x14ac:dyDescent="0.25">
      <c r="D239" s="11" t="s">
        <v>183</v>
      </c>
      <c r="E239" s="134" t="str">
        <f>VLOOKUP(F239,'Activity List CSI'!$B$4:$D$146,3,0)</f>
        <v>09700-02</v>
      </c>
      <c r="F239" s="1" t="s">
        <v>184</v>
      </c>
      <c r="G239" s="1" t="str">
        <f>VLOOKUP($E239,'Activity List CSI'!$D$4:$J$146,'Mat. List CSI'!G$1,0)</f>
        <v>09</v>
      </c>
      <c r="H239" s="1" t="str">
        <f>VLOOKUP($E239,'Activity List CSI'!$D$4:$J$146,'Mat. List CSI'!H$1,0)</f>
        <v>Finishing</v>
      </c>
      <c r="I239" s="1" t="str">
        <f>VLOOKUP(D239,'Activity List CSI'!$C$4:$H$146,6,0)</f>
        <v>09700</v>
      </c>
      <c r="J239" s="1" t="str">
        <f>VLOOKUP($E239,'Activity List CSI'!$D$4:$J$146,'Mat. List CSI'!J$1,0)</f>
        <v>Wall Finishes</v>
      </c>
      <c r="K239" s="1" t="s">
        <v>440</v>
      </c>
      <c r="L239" s="1">
        <v>105</v>
      </c>
      <c r="M239" s="13" t="str">
        <f t="shared" si="12"/>
        <v>09700105</v>
      </c>
      <c r="N239" s="12" t="s">
        <v>441</v>
      </c>
    </row>
    <row r="240" spans="4:14" x14ac:dyDescent="0.25">
      <c r="D240" s="11" t="s">
        <v>183</v>
      </c>
      <c r="E240" s="134" t="str">
        <f>VLOOKUP(F240,'Activity List CSI'!$B$4:$D$146,3,0)</f>
        <v>09700-02</v>
      </c>
      <c r="F240" s="1" t="s">
        <v>184</v>
      </c>
      <c r="G240" s="1" t="str">
        <f>VLOOKUP($E240,'Activity List CSI'!$D$4:$J$146,'Mat. List CSI'!G$1,0)</f>
        <v>09</v>
      </c>
      <c r="H240" s="1" t="str">
        <f>VLOOKUP($E240,'Activity List CSI'!$D$4:$J$146,'Mat. List CSI'!H$1,0)</f>
        <v>Finishing</v>
      </c>
      <c r="I240" s="1" t="str">
        <f>VLOOKUP(D240,'Activity List CSI'!$C$4:$H$146,6,0)</f>
        <v>09700</v>
      </c>
      <c r="J240" s="1" t="str">
        <f>VLOOKUP($E240,'Activity List CSI'!$D$4:$J$146,'Mat. List CSI'!J$1,0)</f>
        <v>Wall Finishes</v>
      </c>
      <c r="K240" s="1" t="s">
        <v>442</v>
      </c>
      <c r="L240" s="1">
        <v>110</v>
      </c>
      <c r="M240" s="13" t="str">
        <f t="shared" si="12"/>
        <v>09700110</v>
      </c>
      <c r="N240" s="12" t="s">
        <v>451</v>
      </c>
    </row>
    <row r="241" spans="4:14" x14ac:dyDescent="0.25">
      <c r="D241" s="11" t="s">
        <v>183</v>
      </c>
      <c r="E241" s="134" t="str">
        <f>VLOOKUP(F241,'Activity List CSI'!$B$4:$D$146,3,0)</f>
        <v>09700-02</v>
      </c>
      <c r="F241" s="1" t="s">
        <v>184</v>
      </c>
      <c r="G241" s="1" t="str">
        <f>VLOOKUP($E241,'Activity List CSI'!$D$4:$J$146,'Mat. List CSI'!G$1,0)</f>
        <v>09</v>
      </c>
      <c r="H241" s="1" t="str">
        <f>VLOOKUP($E241,'Activity List CSI'!$D$4:$J$146,'Mat. List CSI'!H$1,0)</f>
        <v>Finishing</v>
      </c>
      <c r="I241" s="1" t="str">
        <f>VLOOKUP(D241,'Activity List CSI'!$C$4:$H$146,6,0)</f>
        <v>09700</v>
      </c>
      <c r="J241" s="1" t="str">
        <f>VLOOKUP($E241,'Activity List CSI'!$D$4:$J$146,'Mat. List CSI'!J$1,0)</f>
        <v>Wall Finishes</v>
      </c>
      <c r="K241" s="1" t="s">
        <v>461</v>
      </c>
      <c r="L241" s="1">
        <v>107</v>
      </c>
      <c r="M241" s="1" t="str">
        <f t="shared" si="12"/>
        <v>09700107</v>
      </c>
      <c r="N241" s="12" t="str">
        <f>M241</f>
        <v>09700107</v>
      </c>
    </row>
    <row r="242" spans="4:14" x14ac:dyDescent="0.25">
      <c r="D242" s="11" t="s">
        <v>183</v>
      </c>
      <c r="E242" s="134" t="str">
        <f>VLOOKUP(F242,'Activity List CSI'!$B$4:$D$146,3,0)</f>
        <v>09700-02</v>
      </c>
      <c r="F242" s="1" t="s">
        <v>184</v>
      </c>
      <c r="G242" s="1" t="str">
        <f>VLOOKUP($E242,'Activity List CSI'!$D$4:$J$146,'Mat. List CSI'!G$1,0)</f>
        <v>09</v>
      </c>
      <c r="H242" s="1" t="str">
        <f>VLOOKUP($E242,'Activity List CSI'!$D$4:$J$146,'Mat. List CSI'!H$1,0)</f>
        <v>Finishing</v>
      </c>
      <c r="I242" s="1" t="str">
        <f>VLOOKUP(D242,'Activity List CSI'!$C$4:$H$146,6,0)</f>
        <v>09700</v>
      </c>
      <c r="J242" s="1" t="str">
        <f>VLOOKUP($E242,'Activity List CSI'!$D$4:$J$146,'Mat. List CSI'!J$1,0)</f>
        <v>Wall Finishes</v>
      </c>
      <c r="K242" s="1" t="s">
        <v>440</v>
      </c>
      <c r="L242" s="1">
        <v>105</v>
      </c>
      <c r="M242" s="13" t="str">
        <f t="shared" si="12"/>
        <v>09700105</v>
      </c>
      <c r="N242" s="12" t="s">
        <v>441</v>
      </c>
    </row>
    <row r="243" spans="4:14" x14ac:dyDescent="0.25">
      <c r="D243" s="11" t="s">
        <v>183</v>
      </c>
      <c r="E243" s="134" t="str">
        <f>VLOOKUP(F243,'Activity List CSI'!$B$4:$D$146,3,0)</f>
        <v>09700-02</v>
      </c>
      <c r="F243" s="1" t="s">
        <v>184</v>
      </c>
      <c r="G243" s="1" t="str">
        <f>VLOOKUP($E243,'Activity List CSI'!$D$4:$J$146,'Mat. List CSI'!G$1,0)</f>
        <v>09</v>
      </c>
      <c r="H243" s="1" t="str">
        <f>VLOOKUP($E243,'Activity List CSI'!$D$4:$J$146,'Mat. List CSI'!H$1,0)</f>
        <v>Finishing</v>
      </c>
      <c r="I243" s="1" t="str">
        <f>VLOOKUP(D243,'Activity List CSI'!$C$4:$H$146,6,0)</f>
        <v>09700</v>
      </c>
      <c r="J243" s="1" t="str">
        <f>VLOOKUP($E243,'Activity List CSI'!$D$4:$J$146,'Mat. List CSI'!J$1,0)</f>
        <v>Wall Finishes</v>
      </c>
      <c r="K243" s="1" t="s">
        <v>442</v>
      </c>
      <c r="L243" s="1">
        <v>110</v>
      </c>
      <c r="M243" s="13" t="str">
        <f t="shared" si="12"/>
        <v>09700110</v>
      </c>
      <c r="N243" s="12" t="s">
        <v>451</v>
      </c>
    </row>
    <row r="244" spans="4:14" x14ac:dyDescent="0.25">
      <c r="D244" s="11" t="s">
        <v>183</v>
      </c>
      <c r="E244" s="134" t="str">
        <f>VLOOKUP(F244,'Activity List CSI'!$B$4:$D$146,3,0)</f>
        <v>09700-02</v>
      </c>
      <c r="F244" s="1" t="s">
        <v>184</v>
      </c>
      <c r="G244" s="1" t="str">
        <f>VLOOKUP($E244,'Activity List CSI'!$D$4:$J$146,'Mat. List CSI'!G$1,0)</f>
        <v>09</v>
      </c>
      <c r="H244" s="1" t="str">
        <f>VLOOKUP($E244,'Activity List CSI'!$D$4:$J$146,'Mat. List CSI'!H$1,0)</f>
        <v>Finishing</v>
      </c>
      <c r="I244" s="1" t="str">
        <f>VLOOKUP(D244,'Activity List CSI'!$C$4:$H$146,6,0)</f>
        <v>09700</v>
      </c>
      <c r="J244" s="1" t="str">
        <f>VLOOKUP($E244,'Activity List CSI'!$D$4:$J$146,'Mat. List CSI'!J$1,0)</f>
        <v>Wall Finishes</v>
      </c>
      <c r="K244" s="1" t="s">
        <v>461</v>
      </c>
      <c r="L244" s="1">
        <v>107</v>
      </c>
      <c r="M244" s="1" t="str">
        <f t="shared" si="12"/>
        <v>09700107</v>
      </c>
      <c r="N244" s="12" t="str">
        <f t="shared" ref="N244:N246" si="15">M244</f>
        <v>09700107</v>
      </c>
    </row>
    <row r="245" spans="4:14" x14ac:dyDescent="0.25">
      <c r="D245" s="11" t="s">
        <v>185</v>
      </c>
      <c r="E245" s="134" t="str">
        <f>VLOOKUP(F245,'Activity List CSI'!$B$4:$D$146,3,0)</f>
        <v>09200-01</v>
      </c>
      <c r="F245" s="1" t="s">
        <v>186</v>
      </c>
      <c r="G245" s="1" t="str">
        <f>VLOOKUP($E245,'Activity List CSI'!$D$4:$J$146,'Mat. List CSI'!G$1,0)</f>
        <v>09</v>
      </c>
      <c r="H245" s="1" t="str">
        <f>VLOOKUP($E245,'Activity List CSI'!$D$4:$J$146,'Mat. List CSI'!H$1,0)</f>
        <v>Finishing</v>
      </c>
      <c r="I245" s="1" t="str">
        <f>VLOOKUP(D245,'Activity List CSI'!$C$4:$H$146,6,0)</f>
        <v>09200</v>
      </c>
      <c r="J245" s="1" t="str">
        <f>VLOOKUP($E245,'Activity List CSI'!$D$4:$J$146,'Mat. List CSI'!J$1,0)</f>
        <v>Plaster &amp; Gypsum Board</v>
      </c>
      <c r="K245" s="1" t="s">
        <v>462</v>
      </c>
      <c r="L245" s="1">
        <v>120</v>
      </c>
      <c r="M245" s="1" t="str">
        <f t="shared" si="12"/>
        <v>09200120</v>
      </c>
      <c r="N245" s="12" t="str">
        <f t="shared" si="15"/>
        <v>09200120</v>
      </c>
    </row>
    <row r="246" spans="4:14" x14ac:dyDescent="0.25">
      <c r="D246" s="11" t="s">
        <v>185</v>
      </c>
      <c r="E246" s="134" t="str">
        <f>VLOOKUP(F246,'Activity List CSI'!$B$4:$D$146,3,0)</f>
        <v>09200-01</v>
      </c>
      <c r="F246" s="1" t="s">
        <v>186</v>
      </c>
      <c r="G246" s="1" t="str">
        <f>VLOOKUP($E246,'Activity List CSI'!$D$4:$J$146,'Mat. List CSI'!G$1,0)</f>
        <v>09</v>
      </c>
      <c r="H246" s="1" t="str">
        <f>VLOOKUP($E246,'Activity List CSI'!$D$4:$J$146,'Mat. List CSI'!H$1,0)</f>
        <v>Finishing</v>
      </c>
      <c r="I246" s="1" t="str">
        <f>VLOOKUP(D246,'Activity List CSI'!$C$4:$H$146,6,0)</f>
        <v>09200</v>
      </c>
      <c r="J246" s="1" t="str">
        <f>VLOOKUP($E246,'Activity List CSI'!$D$4:$J$146,'Mat. List CSI'!J$1,0)</f>
        <v>Plaster &amp; Gypsum Board</v>
      </c>
      <c r="K246" s="1" t="s">
        <v>440</v>
      </c>
      <c r="L246" s="1">
        <v>105</v>
      </c>
      <c r="M246" s="1" t="str">
        <f t="shared" si="12"/>
        <v>09200105</v>
      </c>
      <c r="N246" s="12" t="str">
        <f t="shared" si="15"/>
        <v>09200105</v>
      </c>
    </row>
    <row r="247" spans="4:14" x14ac:dyDescent="0.25">
      <c r="D247" s="11" t="s">
        <v>185</v>
      </c>
      <c r="E247" s="134" t="str">
        <f>VLOOKUP(F247,'Activity List CSI'!$B$4:$D$146,3,0)</f>
        <v>09200-01</v>
      </c>
      <c r="F247" s="1" t="s">
        <v>186</v>
      </c>
      <c r="G247" s="1" t="str">
        <f>VLOOKUP($E247,'Activity List CSI'!$D$4:$J$146,'Mat. List CSI'!G$1,0)</f>
        <v>09</v>
      </c>
      <c r="H247" s="1" t="str">
        <f>VLOOKUP($E247,'Activity List CSI'!$D$4:$J$146,'Mat. List CSI'!H$1,0)</f>
        <v>Finishing</v>
      </c>
      <c r="I247" s="1" t="str">
        <f>VLOOKUP(D247,'Activity List CSI'!$C$4:$H$146,6,0)</f>
        <v>09200</v>
      </c>
      <c r="J247" s="1" t="str">
        <f>VLOOKUP($E247,'Activity List CSI'!$D$4:$J$146,'Mat. List CSI'!J$1,0)</f>
        <v>Plaster &amp; Gypsum Board</v>
      </c>
      <c r="K247" s="1" t="s">
        <v>442</v>
      </c>
      <c r="L247" s="1">
        <v>110</v>
      </c>
      <c r="M247" s="13" t="str">
        <f t="shared" si="12"/>
        <v>09200110</v>
      </c>
      <c r="N247" s="12" t="s">
        <v>451</v>
      </c>
    </row>
    <row r="248" spans="4:14" x14ac:dyDescent="0.25">
      <c r="D248" s="11" t="s">
        <v>185</v>
      </c>
      <c r="E248" s="134" t="str">
        <f>VLOOKUP(F248,'Activity List CSI'!$B$4:$D$146,3,0)</f>
        <v>09200-01</v>
      </c>
      <c r="F248" s="1" t="s">
        <v>186</v>
      </c>
      <c r="G248" s="1" t="str">
        <f>VLOOKUP($E248,'Activity List CSI'!$D$4:$J$146,'Mat. List CSI'!G$1,0)</f>
        <v>09</v>
      </c>
      <c r="H248" s="1" t="str">
        <f>VLOOKUP($E248,'Activity List CSI'!$D$4:$J$146,'Mat. List CSI'!H$1,0)</f>
        <v>Finishing</v>
      </c>
      <c r="I248" s="1" t="str">
        <f>VLOOKUP(D248,'Activity List CSI'!$C$4:$H$146,6,0)</f>
        <v>09200</v>
      </c>
      <c r="J248" s="1" t="str">
        <f>VLOOKUP($E248,'Activity List CSI'!$D$4:$J$146,'Mat. List CSI'!J$1,0)</f>
        <v>Plaster &amp; Gypsum Board</v>
      </c>
      <c r="K248" s="1" t="s">
        <v>462</v>
      </c>
      <c r="L248" s="1">
        <v>120</v>
      </c>
      <c r="M248" s="1" t="str">
        <f t="shared" si="12"/>
        <v>09200120</v>
      </c>
      <c r="N248" s="12" t="str">
        <f t="shared" ref="N248:N249" si="16">M248</f>
        <v>09200120</v>
      </c>
    </row>
    <row r="249" spans="4:14" x14ac:dyDescent="0.25">
      <c r="D249" s="11" t="s">
        <v>185</v>
      </c>
      <c r="E249" s="134" t="str">
        <f>VLOOKUP(F249,'Activity List CSI'!$B$4:$D$146,3,0)</f>
        <v>09200-01</v>
      </c>
      <c r="F249" s="1" t="s">
        <v>186</v>
      </c>
      <c r="G249" s="1" t="str">
        <f>VLOOKUP($E249,'Activity List CSI'!$D$4:$J$146,'Mat. List CSI'!G$1,0)</f>
        <v>09</v>
      </c>
      <c r="H249" s="1" t="str">
        <f>VLOOKUP($E249,'Activity List CSI'!$D$4:$J$146,'Mat. List CSI'!H$1,0)</f>
        <v>Finishing</v>
      </c>
      <c r="I249" s="1" t="str">
        <f>VLOOKUP(D249,'Activity List CSI'!$C$4:$H$146,6,0)</f>
        <v>09200</v>
      </c>
      <c r="J249" s="1" t="str">
        <f>VLOOKUP($E249,'Activity List CSI'!$D$4:$J$146,'Mat. List CSI'!J$1,0)</f>
        <v>Plaster &amp; Gypsum Board</v>
      </c>
      <c r="K249" s="1" t="s">
        <v>440</v>
      </c>
      <c r="L249" s="1">
        <v>105</v>
      </c>
      <c r="M249" s="1" t="str">
        <f t="shared" si="12"/>
        <v>09200105</v>
      </c>
      <c r="N249" s="12" t="str">
        <f t="shared" si="16"/>
        <v>09200105</v>
      </c>
    </row>
    <row r="250" spans="4:14" x14ac:dyDescent="0.25">
      <c r="D250" s="11" t="s">
        <v>185</v>
      </c>
      <c r="E250" s="134" t="str">
        <f>VLOOKUP(F250,'Activity List CSI'!$B$4:$D$146,3,0)</f>
        <v>09200-01</v>
      </c>
      <c r="F250" s="1" t="s">
        <v>186</v>
      </c>
      <c r="G250" s="1" t="str">
        <f>VLOOKUP($E250,'Activity List CSI'!$D$4:$J$146,'Mat. List CSI'!G$1,0)</f>
        <v>09</v>
      </c>
      <c r="H250" s="1" t="str">
        <f>VLOOKUP($E250,'Activity List CSI'!$D$4:$J$146,'Mat. List CSI'!H$1,0)</f>
        <v>Finishing</v>
      </c>
      <c r="I250" s="1" t="str">
        <f>VLOOKUP(D250,'Activity List CSI'!$C$4:$H$146,6,0)</f>
        <v>09200</v>
      </c>
      <c r="J250" s="1" t="str">
        <f>VLOOKUP($E250,'Activity List CSI'!$D$4:$J$146,'Mat. List CSI'!J$1,0)</f>
        <v>Plaster &amp; Gypsum Board</v>
      </c>
      <c r="K250" s="1" t="s">
        <v>442</v>
      </c>
      <c r="L250" s="1">
        <v>110</v>
      </c>
      <c r="M250" s="13" t="str">
        <f t="shared" si="12"/>
        <v>09200110</v>
      </c>
      <c r="N250" s="12" t="s">
        <v>451</v>
      </c>
    </row>
    <row r="251" spans="4:14" x14ac:dyDescent="0.25">
      <c r="D251" s="11" t="s">
        <v>187</v>
      </c>
      <c r="E251" s="134" t="str">
        <f>VLOOKUP(F251,'Activity List CSI'!$B$4:$D$146,3,0)</f>
        <v>09200-02</v>
      </c>
      <c r="F251" s="1" t="s">
        <v>188</v>
      </c>
      <c r="G251" s="1" t="str">
        <f>VLOOKUP($E251,'Activity List CSI'!$D$4:$J$146,'Mat. List CSI'!G$1,0)</f>
        <v>09</v>
      </c>
      <c r="H251" s="1" t="str">
        <f>VLOOKUP($E251,'Activity List CSI'!$D$4:$J$146,'Mat. List CSI'!H$1,0)</f>
        <v>Finishing</v>
      </c>
      <c r="I251" s="1" t="str">
        <f>VLOOKUP(D251,'Activity List CSI'!$C$4:$H$146,6,0)</f>
        <v>09200</v>
      </c>
      <c r="J251" s="1" t="str">
        <f>VLOOKUP($E251,'Activity List CSI'!$D$4:$J$146,'Mat. List CSI'!J$1,0)</f>
        <v>Plaster &amp; Gypsum Board</v>
      </c>
      <c r="K251" s="1" t="s">
        <v>462</v>
      </c>
      <c r="L251" s="1">
        <v>120</v>
      </c>
      <c r="M251" s="1" t="str">
        <f t="shared" si="12"/>
        <v>09200120</v>
      </c>
      <c r="N251" s="12" t="str">
        <f t="shared" ref="N251:N252" si="17">M251</f>
        <v>09200120</v>
      </c>
    </row>
    <row r="252" spans="4:14" x14ac:dyDescent="0.25">
      <c r="D252" s="11" t="s">
        <v>187</v>
      </c>
      <c r="E252" s="134" t="str">
        <f>VLOOKUP(F252,'Activity List CSI'!$B$4:$D$146,3,0)</f>
        <v>09200-02</v>
      </c>
      <c r="F252" s="1" t="s">
        <v>188</v>
      </c>
      <c r="G252" s="1" t="str">
        <f>VLOOKUP($E252,'Activity List CSI'!$D$4:$J$146,'Mat. List CSI'!G$1,0)</f>
        <v>09</v>
      </c>
      <c r="H252" s="1" t="str">
        <f>VLOOKUP($E252,'Activity List CSI'!$D$4:$J$146,'Mat. List CSI'!H$1,0)</f>
        <v>Finishing</v>
      </c>
      <c r="I252" s="1" t="str">
        <f>VLOOKUP(D252,'Activity List CSI'!$C$4:$H$146,6,0)</f>
        <v>09200</v>
      </c>
      <c r="J252" s="1" t="str">
        <f>VLOOKUP($E252,'Activity List CSI'!$D$4:$J$146,'Mat. List CSI'!J$1,0)</f>
        <v>Plaster &amp; Gypsum Board</v>
      </c>
      <c r="K252" s="1" t="s">
        <v>440</v>
      </c>
      <c r="L252" s="1">
        <v>105</v>
      </c>
      <c r="M252" s="1" t="str">
        <f t="shared" si="12"/>
        <v>09200105</v>
      </c>
      <c r="N252" s="12" t="str">
        <f t="shared" si="17"/>
        <v>09200105</v>
      </c>
    </row>
    <row r="253" spans="4:14" x14ac:dyDescent="0.25">
      <c r="D253" s="11" t="s">
        <v>187</v>
      </c>
      <c r="E253" s="134" t="str">
        <f>VLOOKUP(F253,'Activity List CSI'!$B$4:$D$146,3,0)</f>
        <v>09200-02</v>
      </c>
      <c r="F253" s="1" t="s">
        <v>188</v>
      </c>
      <c r="G253" s="1" t="str">
        <f>VLOOKUP($E253,'Activity List CSI'!$D$4:$J$146,'Mat. List CSI'!G$1,0)</f>
        <v>09</v>
      </c>
      <c r="H253" s="1" t="str">
        <f>VLOOKUP($E253,'Activity List CSI'!$D$4:$J$146,'Mat. List CSI'!H$1,0)</f>
        <v>Finishing</v>
      </c>
      <c r="I253" s="1" t="str">
        <f>VLOOKUP(D253,'Activity List CSI'!$C$4:$H$146,6,0)</f>
        <v>09200</v>
      </c>
      <c r="J253" s="1" t="str">
        <f>VLOOKUP($E253,'Activity List CSI'!$D$4:$J$146,'Mat. List CSI'!J$1,0)</f>
        <v>Plaster &amp; Gypsum Board</v>
      </c>
      <c r="K253" s="1" t="s">
        <v>442</v>
      </c>
      <c r="L253" s="1">
        <v>110</v>
      </c>
      <c r="M253" s="13" t="str">
        <f t="shared" si="12"/>
        <v>09200110</v>
      </c>
      <c r="N253" s="12" t="s">
        <v>451</v>
      </c>
    </row>
    <row r="254" spans="4:14" x14ac:dyDescent="0.25">
      <c r="D254" s="11" t="s">
        <v>187</v>
      </c>
      <c r="E254" s="134" t="str">
        <f>VLOOKUP(F254,'Activity List CSI'!$B$4:$D$146,3,0)</f>
        <v>09200-02</v>
      </c>
      <c r="F254" s="1" t="s">
        <v>188</v>
      </c>
      <c r="G254" s="1" t="str">
        <f>VLOOKUP($E254,'Activity List CSI'!$D$4:$J$146,'Mat. List CSI'!G$1,0)</f>
        <v>09</v>
      </c>
      <c r="H254" s="1" t="str">
        <f>VLOOKUP($E254,'Activity List CSI'!$D$4:$J$146,'Mat. List CSI'!H$1,0)</f>
        <v>Finishing</v>
      </c>
      <c r="I254" s="1" t="str">
        <f>VLOOKUP(D254,'Activity List CSI'!$C$4:$H$146,6,0)</f>
        <v>09200</v>
      </c>
      <c r="J254" s="1" t="str">
        <f>VLOOKUP($E254,'Activity List CSI'!$D$4:$J$146,'Mat. List CSI'!J$1,0)</f>
        <v>Plaster &amp; Gypsum Board</v>
      </c>
      <c r="K254" s="1" t="s">
        <v>462</v>
      </c>
      <c r="L254" s="1">
        <v>120</v>
      </c>
      <c r="M254" s="1" t="str">
        <f t="shared" si="12"/>
        <v>09200120</v>
      </c>
      <c r="N254" s="12" t="str">
        <f t="shared" ref="N254:N255" si="18">M254</f>
        <v>09200120</v>
      </c>
    </row>
    <row r="255" spans="4:14" x14ac:dyDescent="0.25">
      <c r="D255" s="11" t="s">
        <v>187</v>
      </c>
      <c r="E255" s="134" t="str">
        <f>VLOOKUP(F255,'Activity List CSI'!$B$4:$D$146,3,0)</f>
        <v>09200-02</v>
      </c>
      <c r="F255" s="1" t="s">
        <v>188</v>
      </c>
      <c r="G255" s="1" t="str">
        <f>VLOOKUP($E255,'Activity List CSI'!$D$4:$J$146,'Mat. List CSI'!G$1,0)</f>
        <v>09</v>
      </c>
      <c r="H255" s="1" t="str">
        <f>VLOOKUP($E255,'Activity List CSI'!$D$4:$J$146,'Mat. List CSI'!H$1,0)</f>
        <v>Finishing</v>
      </c>
      <c r="I255" s="1" t="str">
        <f>VLOOKUP(D255,'Activity List CSI'!$C$4:$H$146,6,0)</f>
        <v>09200</v>
      </c>
      <c r="J255" s="1" t="str">
        <f>VLOOKUP($E255,'Activity List CSI'!$D$4:$J$146,'Mat. List CSI'!J$1,0)</f>
        <v>Plaster &amp; Gypsum Board</v>
      </c>
      <c r="K255" s="1" t="s">
        <v>440</v>
      </c>
      <c r="L255" s="1">
        <v>105</v>
      </c>
      <c r="M255" s="1" t="str">
        <f t="shared" si="12"/>
        <v>09200105</v>
      </c>
      <c r="N255" s="12" t="str">
        <f t="shared" si="18"/>
        <v>09200105</v>
      </c>
    </row>
    <row r="256" spans="4:14" x14ac:dyDescent="0.25">
      <c r="D256" s="11" t="s">
        <v>187</v>
      </c>
      <c r="E256" s="134" t="str">
        <f>VLOOKUP(F256,'Activity List CSI'!$B$4:$D$146,3,0)</f>
        <v>09200-02</v>
      </c>
      <c r="F256" s="1" t="s">
        <v>188</v>
      </c>
      <c r="G256" s="1" t="str">
        <f>VLOOKUP($E256,'Activity List CSI'!$D$4:$J$146,'Mat. List CSI'!G$1,0)</f>
        <v>09</v>
      </c>
      <c r="H256" s="1" t="str">
        <f>VLOOKUP($E256,'Activity List CSI'!$D$4:$J$146,'Mat. List CSI'!H$1,0)</f>
        <v>Finishing</v>
      </c>
      <c r="I256" s="1" t="str">
        <f>VLOOKUP(D256,'Activity List CSI'!$C$4:$H$146,6,0)</f>
        <v>09200</v>
      </c>
      <c r="J256" s="1" t="str">
        <f>VLOOKUP($E256,'Activity List CSI'!$D$4:$J$146,'Mat. List CSI'!J$1,0)</f>
        <v>Plaster &amp; Gypsum Board</v>
      </c>
      <c r="K256" s="1" t="s">
        <v>442</v>
      </c>
      <c r="L256" s="1">
        <v>110</v>
      </c>
      <c r="M256" s="13" t="str">
        <f t="shared" si="12"/>
        <v>09200110</v>
      </c>
      <c r="N256" s="12" t="s">
        <v>451</v>
      </c>
    </row>
    <row r="257" spans="4:14" x14ac:dyDescent="0.25">
      <c r="D257" s="11" t="s">
        <v>189</v>
      </c>
      <c r="E257" s="134" t="str">
        <f>VLOOKUP(F257,'Activity List CSI'!$B$4:$D$146,3,0)</f>
        <v>09200-03</v>
      </c>
      <c r="F257" s="1" t="s">
        <v>190</v>
      </c>
      <c r="G257" s="1" t="str">
        <f>VLOOKUP($E257,'Activity List CSI'!$D$4:$J$146,'Mat. List CSI'!G$1,0)</f>
        <v>09</v>
      </c>
      <c r="H257" s="1" t="str">
        <f>VLOOKUP($E257,'Activity List CSI'!$D$4:$J$146,'Mat. List CSI'!H$1,0)</f>
        <v>Finishing</v>
      </c>
      <c r="I257" s="1" t="str">
        <f>VLOOKUP(D257,'Activity List CSI'!$C$4:$H$146,6,0)</f>
        <v>09200</v>
      </c>
      <c r="J257" s="1" t="str">
        <f>VLOOKUP($E257,'Activity List CSI'!$D$4:$J$146,'Mat. List CSI'!J$1,0)</f>
        <v>Plaster &amp; Gypsum Board</v>
      </c>
      <c r="K257" s="1" t="s">
        <v>190</v>
      </c>
      <c r="L257" s="1">
        <v>115</v>
      </c>
      <c r="M257" s="1" t="str">
        <f t="shared" si="12"/>
        <v>09200115</v>
      </c>
      <c r="N257" s="12" t="str">
        <f t="shared" ref="N257:N260" si="19">M257</f>
        <v>09200115</v>
      </c>
    </row>
    <row r="258" spans="4:14" x14ac:dyDescent="0.25">
      <c r="D258" s="11" t="s">
        <v>189</v>
      </c>
      <c r="E258" s="134" t="str">
        <f>VLOOKUP(F258,'Activity List CSI'!$B$4:$D$146,3,0)</f>
        <v>09200-03</v>
      </c>
      <c r="F258" s="1" t="s">
        <v>190</v>
      </c>
      <c r="G258" s="1" t="str">
        <f>VLOOKUP($E258,'Activity List CSI'!$D$4:$J$146,'Mat. List CSI'!G$1,0)</f>
        <v>09</v>
      </c>
      <c r="H258" s="1" t="str">
        <f>VLOOKUP($E258,'Activity List CSI'!$D$4:$J$146,'Mat. List CSI'!H$1,0)</f>
        <v>Finishing</v>
      </c>
      <c r="I258" s="1" t="str">
        <f>VLOOKUP(D258,'Activity List CSI'!$C$4:$H$146,6,0)</f>
        <v>09200</v>
      </c>
      <c r="J258" s="1" t="str">
        <f>VLOOKUP($E258,'Activity List CSI'!$D$4:$J$146,'Mat. List CSI'!J$1,0)</f>
        <v>Plaster &amp; Gypsum Board</v>
      </c>
      <c r="K258" s="1" t="s">
        <v>190</v>
      </c>
      <c r="L258" s="1">
        <v>115</v>
      </c>
      <c r="M258" s="1" t="str">
        <f t="shared" si="12"/>
        <v>09200115</v>
      </c>
      <c r="N258" s="12" t="str">
        <f t="shared" si="19"/>
        <v>09200115</v>
      </c>
    </row>
    <row r="259" spans="4:14" x14ac:dyDescent="0.25">
      <c r="D259" s="11" t="s">
        <v>191</v>
      </c>
      <c r="E259" s="134" t="str">
        <f>VLOOKUP(F259,'Activity List CSI'!$B$4:$D$146,3,0)</f>
        <v>09200-04</v>
      </c>
      <c r="F259" s="1" t="s">
        <v>192</v>
      </c>
      <c r="G259" s="1" t="str">
        <f>VLOOKUP($E259,'Activity List CSI'!$D$4:$J$146,'Mat. List CSI'!G$1,0)</f>
        <v>09</v>
      </c>
      <c r="H259" s="1" t="str">
        <f>VLOOKUP($E259,'Activity List CSI'!$D$4:$J$146,'Mat. List CSI'!H$1,0)</f>
        <v>Finishing</v>
      </c>
      <c r="I259" s="1" t="str">
        <f>VLOOKUP(D259,'Activity List CSI'!$C$4:$H$146,6,0)</f>
        <v>09200</v>
      </c>
      <c r="J259" s="1" t="str">
        <f>VLOOKUP($E259,'Activity List CSI'!$D$4:$J$146,'Mat. List CSI'!J$1,0)</f>
        <v>Plaster &amp; Gypsum Board</v>
      </c>
      <c r="K259" s="1" t="s">
        <v>463</v>
      </c>
      <c r="L259" s="1">
        <v>110</v>
      </c>
      <c r="M259" s="1" t="str">
        <f t="shared" si="12"/>
        <v>09200110</v>
      </c>
      <c r="N259" s="12" t="str">
        <f t="shared" si="19"/>
        <v>09200110</v>
      </c>
    </row>
    <row r="260" spans="4:14" x14ac:dyDescent="0.25">
      <c r="D260" s="11" t="s">
        <v>191</v>
      </c>
      <c r="E260" s="134" t="str">
        <f>VLOOKUP(F260,'Activity List CSI'!$B$4:$D$146,3,0)</f>
        <v>09200-04</v>
      </c>
      <c r="F260" s="1" t="s">
        <v>192</v>
      </c>
      <c r="G260" s="1" t="str">
        <f>VLOOKUP($E260,'Activity List CSI'!$D$4:$J$146,'Mat. List CSI'!G$1,0)</f>
        <v>09</v>
      </c>
      <c r="H260" s="1" t="str">
        <f>VLOOKUP($E260,'Activity List CSI'!$D$4:$J$146,'Mat. List CSI'!H$1,0)</f>
        <v>Finishing</v>
      </c>
      <c r="I260" s="1" t="str">
        <f>VLOOKUP(D260,'Activity List CSI'!$C$4:$H$146,6,0)</f>
        <v>09200</v>
      </c>
      <c r="J260" s="1" t="str">
        <f>VLOOKUP($E260,'Activity List CSI'!$D$4:$J$146,'Mat. List CSI'!J$1,0)</f>
        <v>Plaster &amp; Gypsum Board</v>
      </c>
      <c r="K260" s="1" t="s">
        <v>463</v>
      </c>
      <c r="L260" s="1">
        <v>110</v>
      </c>
      <c r="M260" s="1" t="str">
        <f t="shared" ref="M260:M323" si="20">I260&amp;L260</f>
        <v>09200110</v>
      </c>
      <c r="N260" s="12" t="str">
        <f t="shared" si="19"/>
        <v>09200110</v>
      </c>
    </row>
    <row r="261" spans="4:14" x14ac:dyDescent="0.25">
      <c r="D261" s="11" t="s">
        <v>193</v>
      </c>
      <c r="E261" s="134" t="str">
        <f>VLOOKUP(F261,'Activity List CSI'!$B$4:$D$146,3,0)</f>
        <v>09200-05</v>
      </c>
      <c r="F261" s="1" t="s">
        <v>194</v>
      </c>
      <c r="G261" s="1" t="str">
        <f>VLOOKUP($E261,'Activity List CSI'!$D$4:$J$146,'Mat. List CSI'!G$1,0)</f>
        <v>09</v>
      </c>
      <c r="H261" s="1" t="str">
        <f>VLOOKUP($E261,'Activity List CSI'!$D$4:$J$146,'Mat. List CSI'!H$1,0)</f>
        <v>Finishing</v>
      </c>
      <c r="I261" s="1" t="str">
        <f>VLOOKUP(D261,'Activity List CSI'!$C$4:$H$146,6,0)</f>
        <v>09200</v>
      </c>
      <c r="J261" s="1" t="str">
        <f>VLOOKUP($E261,'Activity List CSI'!$D$4:$J$146,'Mat. List CSI'!J$1,0)</f>
        <v>Plaster &amp; Gypsum Board</v>
      </c>
      <c r="K261" s="1" t="s">
        <v>460</v>
      </c>
      <c r="L261" s="1">
        <v>190</v>
      </c>
      <c r="M261" s="13" t="str">
        <f t="shared" si="20"/>
        <v>09200190</v>
      </c>
      <c r="N261" s="12" t="s">
        <v>464</v>
      </c>
    </row>
    <row r="262" spans="4:14" x14ac:dyDescent="0.25">
      <c r="D262" s="11" t="s">
        <v>193</v>
      </c>
      <c r="E262" s="134" t="str">
        <f>VLOOKUP(F262,'Activity List CSI'!$B$4:$D$146,3,0)</f>
        <v>09200-05</v>
      </c>
      <c r="F262" s="1" t="s">
        <v>194</v>
      </c>
      <c r="G262" s="1" t="str">
        <f>VLOOKUP($E262,'Activity List CSI'!$D$4:$J$146,'Mat. List CSI'!G$1,0)</f>
        <v>09</v>
      </c>
      <c r="H262" s="1" t="str">
        <f>VLOOKUP($E262,'Activity List CSI'!$D$4:$J$146,'Mat. List CSI'!H$1,0)</f>
        <v>Finishing</v>
      </c>
      <c r="I262" s="1" t="str">
        <f>VLOOKUP(D262,'Activity List CSI'!$C$4:$H$146,6,0)</f>
        <v>09200</v>
      </c>
      <c r="J262" s="1" t="str">
        <f>VLOOKUP($E262,'Activity List CSI'!$D$4:$J$146,'Mat. List CSI'!J$1,0)</f>
        <v>Plaster &amp; Gypsum Board</v>
      </c>
      <c r="K262" s="1" t="s">
        <v>460</v>
      </c>
      <c r="L262" s="1">
        <v>190</v>
      </c>
      <c r="M262" s="13" t="str">
        <f t="shared" si="20"/>
        <v>09200190</v>
      </c>
      <c r="N262" s="12" t="s">
        <v>464</v>
      </c>
    </row>
    <row r="263" spans="4:14" x14ac:dyDescent="0.25">
      <c r="D263" s="11" t="s">
        <v>195</v>
      </c>
      <c r="E263" s="134" t="str">
        <f>VLOOKUP(F263,'Activity List CSI'!$B$4:$D$146,3,0)</f>
        <v>09900-01</v>
      </c>
      <c r="F263" s="1" t="s">
        <v>465</v>
      </c>
      <c r="G263" s="1" t="str">
        <f>VLOOKUP($E263,'Activity List CSI'!$D$4:$J$146,'Mat. List CSI'!G$1,0)</f>
        <v>09</v>
      </c>
      <c r="H263" s="1" t="str">
        <f>VLOOKUP($E263,'Activity List CSI'!$D$4:$J$146,'Mat. List CSI'!H$1,0)</f>
        <v>Finishing</v>
      </c>
      <c r="I263" s="1" t="str">
        <f>VLOOKUP(D263,'Activity List CSI'!$C$4:$H$146,6,0)</f>
        <v>09900</v>
      </c>
      <c r="J263" s="1" t="str">
        <f>VLOOKUP($E263,'Activity List CSI'!$D$4:$J$146,'Mat. List CSI'!J$1,0)</f>
        <v>Paints &amp; Coatings</v>
      </c>
      <c r="K263" s="1" t="s">
        <v>466</v>
      </c>
      <c r="L263" s="1">
        <v>110</v>
      </c>
      <c r="M263" s="1" t="str">
        <f t="shared" si="20"/>
        <v>09900110</v>
      </c>
      <c r="N263" s="12" t="str">
        <f t="shared" ref="N263:N276" si="21">M263</f>
        <v>09900110</v>
      </c>
    </row>
    <row r="264" spans="4:14" x14ac:dyDescent="0.25">
      <c r="D264" s="11" t="s">
        <v>195</v>
      </c>
      <c r="E264" s="134" t="str">
        <f>VLOOKUP(F264,'Activity List CSI'!$B$4:$D$146,3,0)</f>
        <v>09900-01</v>
      </c>
      <c r="F264" s="1" t="s">
        <v>465</v>
      </c>
      <c r="G264" s="1" t="str">
        <f>VLOOKUP($E264,'Activity List CSI'!$D$4:$J$146,'Mat. List CSI'!G$1,0)</f>
        <v>09</v>
      </c>
      <c r="H264" s="1" t="str">
        <f>VLOOKUP($E264,'Activity List CSI'!$D$4:$J$146,'Mat. List CSI'!H$1,0)</f>
        <v>Finishing</v>
      </c>
      <c r="I264" s="1" t="str">
        <f>VLOOKUP(D264,'Activity List CSI'!$C$4:$H$146,6,0)</f>
        <v>09900</v>
      </c>
      <c r="J264" s="1" t="str">
        <f>VLOOKUP($E264,'Activity List CSI'!$D$4:$J$146,'Mat. List CSI'!J$1,0)</f>
        <v>Paints &amp; Coatings</v>
      </c>
      <c r="K264" s="1" t="s">
        <v>467</v>
      </c>
      <c r="L264" s="1">
        <v>115</v>
      </c>
      <c r="M264" s="1" t="str">
        <f t="shared" si="20"/>
        <v>09900115</v>
      </c>
      <c r="N264" s="12" t="str">
        <f t="shared" si="21"/>
        <v>09900115</v>
      </c>
    </row>
    <row r="265" spans="4:14" x14ac:dyDescent="0.25">
      <c r="D265" s="11" t="s">
        <v>195</v>
      </c>
      <c r="E265" s="134" t="str">
        <f>VLOOKUP(F265,'Activity List CSI'!$B$4:$D$146,3,0)</f>
        <v>09900-01</v>
      </c>
      <c r="F265" s="1" t="s">
        <v>465</v>
      </c>
      <c r="G265" s="1" t="str">
        <f>VLOOKUP($E265,'Activity List CSI'!$D$4:$J$146,'Mat. List CSI'!G$1,0)</f>
        <v>09</v>
      </c>
      <c r="H265" s="1" t="str">
        <f>VLOOKUP($E265,'Activity List CSI'!$D$4:$J$146,'Mat. List CSI'!H$1,0)</f>
        <v>Finishing</v>
      </c>
      <c r="I265" s="1" t="str">
        <f>VLOOKUP(D265,'Activity List CSI'!$C$4:$H$146,6,0)</f>
        <v>09900</v>
      </c>
      <c r="J265" s="1" t="str">
        <f>VLOOKUP($E265,'Activity List CSI'!$D$4:$J$146,'Mat. List CSI'!J$1,0)</f>
        <v>Paints &amp; Coatings</v>
      </c>
      <c r="K265" s="1" t="s">
        <v>468</v>
      </c>
      <c r="L265" s="1">
        <v>130</v>
      </c>
      <c r="M265" s="1" t="str">
        <f t="shared" si="20"/>
        <v>09900130</v>
      </c>
      <c r="N265" s="12" t="str">
        <f t="shared" si="21"/>
        <v>09900130</v>
      </c>
    </row>
    <row r="266" spans="4:14" x14ac:dyDescent="0.25">
      <c r="D266" s="11" t="s">
        <v>195</v>
      </c>
      <c r="E266" s="134" t="str">
        <f>VLOOKUP(F266,'Activity List CSI'!$B$4:$D$146,3,0)</f>
        <v>09900-01</v>
      </c>
      <c r="F266" s="1" t="s">
        <v>465</v>
      </c>
      <c r="G266" s="1" t="str">
        <f>VLOOKUP($E266,'Activity List CSI'!$D$4:$J$146,'Mat. List CSI'!G$1,0)</f>
        <v>09</v>
      </c>
      <c r="H266" s="1" t="str">
        <f>VLOOKUP($E266,'Activity List CSI'!$D$4:$J$146,'Mat. List CSI'!H$1,0)</f>
        <v>Finishing</v>
      </c>
      <c r="I266" s="1" t="str">
        <f>VLOOKUP(D266,'Activity List CSI'!$C$4:$H$146,6,0)</f>
        <v>09900</v>
      </c>
      <c r="J266" s="1" t="str">
        <f>VLOOKUP($E266,'Activity List CSI'!$D$4:$J$146,'Mat. List CSI'!J$1,0)</f>
        <v>Paints &amp; Coatings</v>
      </c>
      <c r="K266" s="1" t="s">
        <v>466</v>
      </c>
      <c r="L266" s="1">
        <v>110</v>
      </c>
      <c r="M266" s="1" t="str">
        <f t="shared" si="20"/>
        <v>09900110</v>
      </c>
      <c r="N266" s="12" t="str">
        <f t="shared" si="21"/>
        <v>09900110</v>
      </c>
    </row>
    <row r="267" spans="4:14" x14ac:dyDescent="0.25">
      <c r="D267" s="11" t="s">
        <v>195</v>
      </c>
      <c r="E267" s="134" t="str">
        <f>VLOOKUP(F267,'Activity List CSI'!$B$4:$D$146,3,0)</f>
        <v>09900-01</v>
      </c>
      <c r="F267" s="1" t="s">
        <v>465</v>
      </c>
      <c r="G267" s="1" t="str">
        <f>VLOOKUP($E267,'Activity List CSI'!$D$4:$J$146,'Mat. List CSI'!G$1,0)</f>
        <v>09</v>
      </c>
      <c r="H267" s="1" t="str">
        <f>VLOOKUP($E267,'Activity List CSI'!$D$4:$J$146,'Mat. List CSI'!H$1,0)</f>
        <v>Finishing</v>
      </c>
      <c r="I267" s="1" t="str">
        <f>VLOOKUP(D267,'Activity List CSI'!$C$4:$H$146,6,0)</f>
        <v>09900</v>
      </c>
      <c r="J267" s="1" t="str">
        <f>VLOOKUP($E267,'Activity List CSI'!$D$4:$J$146,'Mat. List CSI'!J$1,0)</f>
        <v>Paints &amp; Coatings</v>
      </c>
      <c r="K267" s="1" t="s">
        <v>467</v>
      </c>
      <c r="L267" s="1">
        <v>115</v>
      </c>
      <c r="M267" s="1" t="str">
        <f t="shared" si="20"/>
        <v>09900115</v>
      </c>
      <c r="N267" s="12" t="str">
        <f t="shared" si="21"/>
        <v>09900115</v>
      </c>
    </row>
    <row r="268" spans="4:14" x14ac:dyDescent="0.25">
      <c r="D268" s="11" t="s">
        <v>195</v>
      </c>
      <c r="E268" s="134" t="str">
        <f>VLOOKUP(F268,'Activity List CSI'!$B$4:$D$146,3,0)</f>
        <v>09900-01</v>
      </c>
      <c r="F268" s="1" t="s">
        <v>465</v>
      </c>
      <c r="G268" s="1" t="str">
        <f>VLOOKUP($E268,'Activity List CSI'!$D$4:$J$146,'Mat. List CSI'!G$1,0)</f>
        <v>09</v>
      </c>
      <c r="H268" s="1" t="str">
        <f>VLOOKUP($E268,'Activity List CSI'!$D$4:$J$146,'Mat. List CSI'!H$1,0)</f>
        <v>Finishing</v>
      </c>
      <c r="I268" s="1" t="str">
        <f>VLOOKUP(D268,'Activity List CSI'!$C$4:$H$146,6,0)</f>
        <v>09900</v>
      </c>
      <c r="J268" s="1" t="str">
        <f>VLOOKUP($E268,'Activity List CSI'!$D$4:$J$146,'Mat. List CSI'!J$1,0)</f>
        <v>Paints &amp; Coatings</v>
      </c>
      <c r="K268" s="1" t="s">
        <v>468</v>
      </c>
      <c r="L268" s="1">
        <v>130</v>
      </c>
      <c r="M268" s="1" t="str">
        <f t="shared" si="20"/>
        <v>09900130</v>
      </c>
      <c r="N268" s="12" t="str">
        <f t="shared" si="21"/>
        <v>09900130</v>
      </c>
    </row>
    <row r="269" spans="4:14" x14ac:dyDescent="0.25">
      <c r="D269" s="11" t="s">
        <v>196</v>
      </c>
      <c r="E269" s="134" t="str">
        <f>VLOOKUP(F269,'Activity List CSI'!$B$4:$D$146,3,0)</f>
        <v>09900-02</v>
      </c>
      <c r="F269" s="1" t="s">
        <v>197</v>
      </c>
      <c r="G269" s="1" t="str">
        <f>VLOOKUP($E269,'Activity List CSI'!$D$4:$J$146,'Mat. List CSI'!G$1,0)</f>
        <v>09</v>
      </c>
      <c r="H269" s="1" t="str">
        <f>VLOOKUP($E269,'Activity List CSI'!$D$4:$J$146,'Mat. List CSI'!H$1,0)</f>
        <v>Finishing</v>
      </c>
      <c r="I269" s="1" t="str">
        <f>VLOOKUP(D269,'Activity List CSI'!$C$4:$H$146,6,0)</f>
        <v>09900</v>
      </c>
      <c r="J269" s="1" t="str">
        <f>VLOOKUP($E269,'Activity List CSI'!$D$4:$J$146,'Mat. List CSI'!J$1,0)</f>
        <v>Paints &amp; Coatings</v>
      </c>
      <c r="K269" s="1" t="s">
        <v>466</v>
      </c>
      <c r="L269" s="1">
        <v>110</v>
      </c>
      <c r="M269" s="1" t="str">
        <f t="shared" si="20"/>
        <v>09900110</v>
      </c>
      <c r="N269" s="12" t="str">
        <f t="shared" si="21"/>
        <v>09900110</v>
      </c>
    </row>
    <row r="270" spans="4:14" x14ac:dyDescent="0.25">
      <c r="D270" s="11" t="s">
        <v>196</v>
      </c>
      <c r="E270" s="134" t="str">
        <f>VLOOKUP(F270,'Activity List CSI'!$B$4:$D$146,3,0)</f>
        <v>09900-02</v>
      </c>
      <c r="F270" s="1" t="s">
        <v>197</v>
      </c>
      <c r="G270" s="1" t="str">
        <f>VLOOKUP($E270,'Activity List CSI'!$D$4:$J$146,'Mat. List CSI'!G$1,0)</f>
        <v>09</v>
      </c>
      <c r="H270" s="1" t="str">
        <f>VLOOKUP($E270,'Activity List CSI'!$D$4:$J$146,'Mat. List CSI'!H$1,0)</f>
        <v>Finishing</v>
      </c>
      <c r="I270" s="1" t="str">
        <f>VLOOKUP(D270,'Activity List CSI'!$C$4:$H$146,6,0)</f>
        <v>09900</v>
      </c>
      <c r="J270" s="1" t="str">
        <f>VLOOKUP($E270,'Activity List CSI'!$D$4:$J$146,'Mat. List CSI'!J$1,0)</f>
        <v>Paints &amp; Coatings</v>
      </c>
      <c r="K270" s="1" t="s">
        <v>467</v>
      </c>
      <c r="L270" s="1">
        <v>115</v>
      </c>
      <c r="M270" s="1" t="str">
        <f t="shared" si="20"/>
        <v>09900115</v>
      </c>
      <c r="N270" s="12" t="str">
        <f t="shared" si="21"/>
        <v>09900115</v>
      </c>
    </row>
    <row r="271" spans="4:14" x14ac:dyDescent="0.25">
      <c r="D271" s="11" t="s">
        <v>196</v>
      </c>
      <c r="E271" s="134" t="str">
        <f>VLOOKUP(F271,'Activity List CSI'!$B$4:$D$146,3,0)</f>
        <v>09900-02</v>
      </c>
      <c r="F271" s="1" t="s">
        <v>197</v>
      </c>
      <c r="G271" s="1" t="str">
        <f>VLOOKUP($E271,'Activity List CSI'!$D$4:$J$146,'Mat. List CSI'!G$1,0)</f>
        <v>09</v>
      </c>
      <c r="H271" s="1" t="str">
        <f>VLOOKUP($E271,'Activity List CSI'!$D$4:$J$146,'Mat. List CSI'!H$1,0)</f>
        <v>Finishing</v>
      </c>
      <c r="I271" s="1" t="str">
        <f>VLOOKUP(D271,'Activity List CSI'!$C$4:$H$146,6,0)</f>
        <v>09900</v>
      </c>
      <c r="J271" s="1" t="str">
        <f>VLOOKUP($E271,'Activity List CSI'!$D$4:$J$146,'Mat. List CSI'!J$1,0)</f>
        <v>Paints &amp; Coatings</v>
      </c>
      <c r="K271" s="1" t="s">
        <v>468</v>
      </c>
      <c r="L271" s="1">
        <v>130</v>
      </c>
      <c r="M271" s="1" t="str">
        <f t="shared" si="20"/>
        <v>09900130</v>
      </c>
      <c r="N271" s="12" t="str">
        <f t="shared" si="21"/>
        <v>09900130</v>
      </c>
    </row>
    <row r="272" spans="4:14" x14ac:dyDescent="0.25">
      <c r="D272" s="11" t="s">
        <v>196</v>
      </c>
      <c r="E272" s="134" t="str">
        <f>VLOOKUP(F272,'Activity List CSI'!$B$4:$D$146,3,0)</f>
        <v>09900-02</v>
      </c>
      <c r="F272" s="1" t="s">
        <v>197</v>
      </c>
      <c r="G272" s="1" t="str">
        <f>VLOOKUP($E272,'Activity List CSI'!$D$4:$J$146,'Mat. List CSI'!G$1,0)</f>
        <v>09</v>
      </c>
      <c r="H272" s="1" t="str">
        <f>VLOOKUP($E272,'Activity List CSI'!$D$4:$J$146,'Mat. List CSI'!H$1,0)</f>
        <v>Finishing</v>
      </c>
      <c r="I272" s="1" t="str">
        <f>VLOOKUP(D272,'Activity List CSI'!$C$4:$H$146,6,0)</f>
        <v>09900</v>
      </c>
      <c r="J272" s="1" t="str">
        <f>VLOOKUP($E272,'Activity List CSI'!$D$4:$J$146,'Mat. List CSI'!J$1,0)</f>
        <v>Paints &amp; Coatings</v>
      </c>
      <c r="K272" s="1" t="s">
        <v>466</v>
      </c>
      <c r="L272" s="1">
        <v>110</v>
      </c>
      <c r="M272" s="1" t="str">
        <f t="shared" si="20"/>
        <v>09900110</v>
      </c>
      <c r="N272" s="12" t="str">
        <f t="shared" si="21"/>
        <v>09900110</v>
      </c>
    </row>
    <row r="273" spans="4:14" x14ac:dyDescent="0.25">
      <c r="D273" s="11" t="s">
        <v>196</v>
      </c>
      <c r="E273" s="134" t="str">
        <f>VLOOKUP(F273,'Activity List CSI'!$B$4:$D$146,3,0)</f>
        <v>09900-02</v>
      </c>
      <c r="F273" s="1" t="s">
        <v>197</v>
      </c>
      <c r="G273" s="1" t="str">
        <f>VLOOKUP($E273,'Activity List CSI'!$D$4:$J$146,'Mat. List CSI'!G$1,0)</f>
        <v>09</v>
      </c>
      <c r="H273" s="1" t="str">
        <f>VLOOKUP($E273,'Activity List CSI'!$D$4:$J$146,'Mat. List CSI'!H$1,0)</f>
        <v>Finishing</v>
      </c>
      <c r="I273" s="1" t="str">
        <f>VLOOKUP(D273,'Activity List CSI'!$C$4:$H$146,6,0)</f>
        <v>09900</v>
      </c>
      <c r="J273" s="1" t="str">
        <f>VLOOKUP($E273,'Activity List CSI'!$D$4:$J$146,'Mat. List CSI'!J$1,0)</f>
        <v>Paints &amp; Coatings</v>
      </c>
      <c r="K273" s="1" t="s">
        <v>467</v>
      </c>
      <c r="L273" s="1">
        <v>115</v>
      </c>
      <c r="M273" s="1" t="str">
        <f t="shared" si="20"/>
        <v>09900115</v>
      </c>
      <c r="N273" s="12" t="str">
        <f t="shared" si="21"/>
        <v>09900115</v>
      </c>
    </row>
    <row r="274" spans="4:14" x14ac:dyDescent="0.25">
      <c r="D274" s="11" t="s">
        <v>196</v>
      </c>
      <c r="E274" s="134" t="str">
        <f>VLOOKUP(F274,'Activity List CSI'!$B$4:$D$146,3,0)</f>
        <v>09900-02</v>
      </c>
      <c r="F274" s="1" t="s">
        <v>197</v>
      </c>
      <c r="G274" s="1" t="str">
        <f>VLOOKUP($E274,'Activity List CSI'!$D$4:$J$146,'Mat. List CSI'!G$1,0)</f>
        <v>09</v>
      </c>
      <c r="H274" s="1" t="str">
        <f>VLOOKUP($E274,'Activity List CSI'!$D$4:$J$146,'Mat. List CSI'!H$1,0)</f>
        <v>Finishing</v>
      </c>
      <c r="I274" s="1" t="str">
        <f>VLOOKUP(D274,'Activity List CSI'!$C$4:$H$146,6,0)</f>
        <v>09900</v>
      </c>
      <c r="J274" s="1" t="str">
        <f>VLOOKUP($E274,'Activity List CSI'!$D$4:$J$146,'Mat. List CSI'!J$1,0)</f>
        <v>Paints &amp; Coatings</v>
      </c>
      <c r="K274" s="1" t="s">
        <v>468</v>
      </c>
      <c r="L274" s="1">
        <v>130</v>
      </c>
      <c r="M274" s="1" t="str">
        <f t="shared" si="20"/>
        <v>09900130</v>
      </c>
      <c r="N274" s="12" t="str">
        <f t="shared" si="21"/>
        <v>09900130</v>
      </c>
    </row>
    <row r="275" spans="4:14" x14ac:dyDescent="0.25">
      <c r="D275" s="11" t="s">
        <v>198</v>
      </c>
      <c r="E275" s="134" t="str">
        <f>VLOOKUP(F275,'Activity List CSI'!$B$4:$D$146,3,0)</f>
        <v>09200-06</v>
      </c>
      <c r="F275" s="1" t="s">
        <v>199</v>
      </c>
      <c r="G275" s="1" t="str">
        <f>VLOOKUP($E275,'Activity List CSI'!$D$4:$J$146,'Mat. List CSI'!G$1,0)</f>
        <v>09</v>
      </c>
      <c r="H275" s="1" t="str">
        <f>VLOOKUP($E275,'Activity List CSI'!$D$4:$J$146,'Mat. List CSI'!H$1,0)</f>
        <v>Finishing</v>
      </c>
      <c r="I275" s="1" t="str">
        <f>VLOOKUP(D275,'Activity List CSI'!$C$4:$H$146,6,0)</f>
        <v>09200</v>
      </c>
      <c r="J275" s="1" t="str">
        <f>VLOOKUP($E275,'Activity List CSI'!$D$4:$J$146,'Mat. List CSI'!J$1,0)</f>
        <v>Plaster &amp; Gypsum Board</v>
      </c>
      <c r="K275" s="1" t="s">
        <v>462</v>
      </c>
      <c r="L275" s="1">
        <v>120</v>
      </c>
      <c r="M275" s="1" t="str">
        <f t="shared" si="20"/>
        <v>09200120</v>
      </c>
      <c r="N275" s="12" t="str">
        <f t="shared" si="21"/>
        <v>09200120</v>
      </c>
    </row>
    <row r="276" spans="4:14" x14ac:dyDescent="0.25">
      <c r="D276" s="11" t="s">
        <v>198</v>
      </c>
      <c r="E276" s="134" t="str">
        <f>VLOOKUP(F276,'Activity List CSI'!$B$4:$D$146,3,0)</f>
        <v>09200-06</v>
      </c>
      <c r="F276" s="1" t="s">
        <v>199</v>
      </c>
      <c r="G276" s="1" t="str">
        <f>VLOOKUP($E276,'Activity List CSI'!$D$4:$J$146,'Mat. List CSI'!G$1,0)</f>
        <v>09</v>
      </c>
      <c r="H276" s="1" t="str">
        <f>VLOOKUP($E276,'Activity List CSI'!$D$4:$J$146,'Mat. List CSI'!H$1,0)</f>
        <v>Finishing</v>
      </c>
      <c r="I276" s="1" t="str">
        <f>VLOOKUP(D276,'Activity List CSI'!$C$4:$H$146,6,0)</f>
        <v>09200</v>
      </c>
      <c r="J276" s="1" t="str">
        <f>VLOOKUP($E276,'Activity List CSI'!$D$4:$J$146,'Mat. List CSI'!J$1,0)</f>
        <v>Plaster &amp; Gypsum Board</v>
      </c>
      <c r="K276" s="1" t="s">
        <v>440</v>
      </c>
      <c r="L276" s="1">
        <v>105</v>
      </c>
      <c r="M276" s="1" t="str">
        <f t="shared" si="20"/>
        <v>09200105</v>
      </c>
      <c r="N276" s="12" t="str">
        <f t="shared" si="21"/>
        <v>09200105</v>
      </c>
    </row>
    <row r="277" spans="4:14" x14ac:dyDescent="0.25">
      <c r="D277" s="11" t="s">
        <v>198</v>
      </c>
      <c r="E277" s="134" t="str">
        <f>VLOOKUP(F277,'Activity List CSI'!$B$4:$D$146,3,0)</f>
        <v>09200-06</v>
      </c>
      <c r="F277" s="1" t="s">
        <v>199</v>
      </c>
      <c r="G277" s="1" t="str">
        <f>VLOOKUP($E277,'Activity List CSI'!$D$4:$J$146,'Mat. List CSI'!G$1,0)</f>
        <v>09</v>
      </c>
      <c r="H277" s="1" t="str">
        <f>VLOOKUP($E277,'Activity List CSI'!$D$4:$J$146,'Mat. List CSI'!H$1,0)</f>
        <v>Finishing</v>
      </c>
      <c r="I277" s="1" t="str">
        <f>VLOOKUP(D277,'Activity List CSI'!$C$4:$H$146,6,0)</f>
        <v>09200</v>
      </c>
      <c r="J277" s="1" t="str">
        <f>VLOOKUP($E277,'Activity List CSI'!$D$4:$J$146,'Mat. List CSI'!J$1,0)</f>
        <v>Plaster &amp; Gypsum Board</v>
      </c>
      <c r="K277" s="1" t="s">
        <v>442</v>
      </c>
      <c r="L277" s="1">
        <v>110</v>
      </c>
      <c r="M277" s="13" t="str">
        <f t="shared" si="20"/>
        <v>09200110</v>
      </c>
      <c r="N277" s="12" t="s">
        <v>451</v>
      </c>
    </row>
    <row r="278" spans="4:14" x14ac:dyDescent="0.25">
      <c r="D278" s="11" t="s">
        <v>198</v>
      </c>
      <c r="E278" s="134" t="str">
        <f>VLOOKUP(F278,'Activity List CSI'!$B$4:$D$146,3,0)</f>
        <v>09200-06</v>
      </c>
      <c r="F278" s="1" t="s">
        <v>199</v>
      </c>
      <c r="G278" s="1" t="str">
        <f>VLOOKUP($E278,'Activity List CSI'!$D$4:$J$146,'Mat. List CSI'!G$1,0)</f>
        <v>09</v>
      </c>
      <c r="H278" s="1" t="str">
        <f>VLOOKUP($E278,'Activity List CSI'!$D$4:$J$146,'Mat. List CSI'!H$1,0)</f>
        <v>Finishing</v>
      </c>
      <c r="I278" s="1" t="str">
        <f>VLOOKUP(D278,'Activity List CSI'!$C$4:$H$146,6,0)</f>
        <v>09200</v>
      </c>
      <c r="J278" s="1" t="str">
        <f>VLOOKUP($E278,'Activity List CSI'!$D$4:$J$146,'Mat. List CSI'!J$1,0)</f>
        <v>Plaster &amp; Gypsum Board</v>
      </c>
      <c r="K278" s="1" t="s">
        <v>462</v>
      </c>
      <c r="L278" s="1">
        <v>120</v>
      </c>
      <c r="M278" s="1" t="str">
        <f t="shared" si="20"/>
        <v>09200120</v>
      </c>
      <c r="N278" s="12" t="str">
        <f t="shared" ref="N278:N279" si="22">M278</f>
        <v>09200120</v>
      </c>
    </row>
    <row r="279" spans="4:14" x14ac:dyDescent="0.25">
      <c r="D279" s="11" t="s">
        <v>198</v>
      </c>
      <c r="E279" s="134" t="str">
        <f>VLOOKUP(F279,'Activity List CSI'!$B$4:$D$146,3,0)</f>
        <v>09200-06</v>
      </c>
      <c r="F279" s="1" t="s">
        <v>199</v>
      </c>
      <c r="G279" s="1" t="str">
        <f>VLOOKUP($E279,'Activity List CSI'!$D$4:$J$146,'Mat. List CSI'!G$1,0)</f>
        <v>09</v>
      </c>
      <c r="H279" s="1" t="str">
        <f>VLOOKUP($E279,'Activity List CSI'!$D$4:$J$146,'Mat. List CSI'!H$1,0)</f>
        <v>Finishing</v>
      </c>
      <c r="I279" s="1" t="str">
        <f>VLOOKUP(D279,'Activity List CSI'!$C$4:$H$146,6,0)</f>
        <v>09200</v>
      </c>
      <c r="J279" s="1" t="str">
        <f>VLOOKUP($E279,'Activity List CSI'!$D$4:$J$146,'Mat. List CSI'!J$1,0)</f>
        <v>Plaster &amp; Gypsum Board</v>
      </c>
      <c r="K279" s="1" t="s">
        <v>440</v>
      </c>
      <c r="L279" s="1">
        <v>105</v>
      </c>
      <c r="M279" s="1" t="str">
        <f t="shared" si="20"/>
        <v>09200105</v>
      </c>
      <c r="N279" s="12" t="str">
        <f t="shared" si="22"/>
        <v>09200105</v>
      </c>
    </row>
    <row r="280" spans="4:14" x14ac:dyDescent="0.25">
      <c r="D280" s="11" t="s">
        <v>198</v>
      </c>
      <c r="E280" s="134" t="str">
        <f>VLOOKUP(F280,'Activity List CSI'!$B$4:$D$146,3,0)</f>
        <v>09200-06</v>
      </c>
      <c r="F280" s="1" t="s">
        <v>199</v>
      </c>
      <c r="G280" s="1" t="str">
        <f>VLOOKUP($E280,'Activity List CSI'!$D$4:$J$146,'Mat. List CSI'!G$1,0)</f>
        <v>09</v>
      </c>
      <c r="H280" s="1" t="str">
        <f>VLOOKUP($E280,'Activity List CSI'!$D$4:$J$146,'Mat. List CSI'!H$1,0)</f>
        <v>Finishing</v>
      </c>
      <c r="I280" s="1" t="str">
        <f>VLOOKUP(D280,'Activity List CSI'!$C$4:$H$146,6,0)</f>
        <v>09200</v>
      </c>
      <c r="J280" s="1" t="str">
        <f>VLOOKUP($E280,'Activity List CSI'!$D$4:$J$146,'Mat. List CSI'!J$1,0)</f>
        <v>Plaster &amp; Gypsum Board</v>
      </c>
      <c r="K280" s="1" t="s">
        <v>442</v>
      </c>
      <c r="L280" s="1">
        <v>110</v>
      </c>
      <c r="M280" s="13" t="str">
        <f t="shared" si="20"/>
        <v>09200110</v>
      </c>
      <c r="N280" s="12" t="s">
        <v>451</v>
      </c>
    </row>
    <row r="281" spans="4:14" x14ac:dyDescent="0.25">
      <c r="D281" s="11" t="s">
        <v>200</v>
      </c>
      <c r="E281" s="134" t="str">
        <f>VLOOKUP(F281,'Activity List CSI'!$B$4:$D$146,3,0)</f>
        <v>09900-03</v>
      </c>
      <c r="F281" s="1" t="s">
        <v>201</v>
      </c>
      <c r="G281" s="1" t="str">
        <f>VLOOKUP($E281,'Activity List CSI'!$D$4:$J$146,'Mat. List CSI'!G$1,0)</f>
        <v>09</v>
      </c>
      <c r="H281" s="1" t="str">
        <f>VLOOKUP($E281,'Activity List CSI'!$D$4:$J$146,'Mat. List CSI'!H$1,0)</f>
        <v>Finishing</v>
      </c>
      <c r="I281" s="1" t="str">
        <f>VLOOKUP(D281,'Activity List CSI'!$C$4:$H$146,6,0)</f>
        <v>09900</v>
      </c>
      <c r="J281" s="1" t="str">
        <f>VLOOKUP($E281,'Activity List CSI'!$D$4:$J$146,'Mat. List CSI'!J$1,0)</f>
        <v>Paints &amp; Coatings</v>
      </c>
      <c r="K281" s="1" t="s">
        <v>466</v>
      </c>
      <c r="L281" s="1">
        <v>110</v>
      </c>
      <c r="M281" s="1" t="str">
        <f t="shared" si="20"/>
        <v>09900110</v>
      </c>
      <c r="N281" s="12" t="str">
        <f t="shared" ref="N281:N286" si="23">M281</f>
        <v>09900110</v>
      </c>
    </row>
    <row r="282" spans="4:14" x14ac:dyDescent="0.25">
      <c r="D282" s="11" t="s">
        <v>200</v>
      </c>
      <c r="E282" s="134" t="str">
        <f>VLOOKUP(F282,'Activity List CSI'!$B$4:$D$146,3,0)</f>
        <v>09900-03</v>
      </c>
      <c r="F282" s="1" t="s">
        <v>201</v>
      </c>
      <c r="G282" s="1" t="str">
        <f>VLOOKUP($E282,'Activity List CSI'!$D$4:$J$146,'Mat. List CSI'!G$1,0)</f>
        <v>09</v>
      </c>
      <c r="H282" s="1" t="str">
        <f>VLOOKUP($E282,'Activity List CSI'!$D$4:$J$146,'Mat. List CSI'!H$1,0)</f>
        <v>Finishing</v>
      </c>
      <c r="I282" s="1" t="str">
        <f>VLOOKUP(D282,'Activity List CSI'!$C$4:$H$146,6,0)</f>
        <v>09900</v>
      </c>
      <c r="J282" s="1" t="str">
        <f>VLOOKUP($E282,'Activity List CSI'!$D$4:$J$146,'Mat. List CSI'!J$1,0)</f>
        <v>Paints &amp; Coatings</v>
      </c>
      <c r="K282" s="1" t="s">
        <v>467</v>
      </c>
      <c r="L282" s="1">
        <v>115</v>
      </c>
      <c r="M282" s="1" t="str">
        <f t="shared" si="20"/>
        <v>09900115</v>
      </c>
      <c r="N282" s="12" t="str">
        <f t="shared" si="23"/>
        <v>09900115</v>
      </c>
    </row>
    <row r="283" spans="4:14" x14ac:dyDescent="0.25">
      <c r="D283" s="11" t="s">
        <v>200</v>
      </c>
      <c r="E283" s="134" t="str">
        <f>VLOOKUP(F283,'Activity List CSI'!$B$4:$D$146,3,0)</f>
        <v>09900-03</v>
      </c>
      <c r="F283" s="1" t="s">
        <v>201</v>
      </c>
      <c r="G283" s="1" t="str">
        <f>VLOOKUP($E283,'Activity List CSI'!$D$4:$J$146,'Mat. List CSI'!G$1,0)</f>
        <v>09</v>
      </c>
      <c r="H283" s="1" t="str">
        <f>VLOOKUP($E283,'Activity List CSI'!$D$4:$J$146,'Mat. List CSI'!H$1,0)</f>
        <v>Finishing</v>
      </c>
      <c r="I283" s="1" t="str">
        <f>VLOOKUP(D283,'Activity List CSI'!$C$4:$H$146,6,0)</f>
        <v>09900</v>
      </c>
      <c r="J283" s="1" t="str">
        <f>VLOOKUP($E283,'Activity List CSI'!$D$4:$J$146,'Mat. List CSI'!J$1,0)</f>
        <v>Paints &amp; Coatings</v>
      </c>
      <c r="K283" s="1" t="s">
        <v>468</v>
      </c>
      <c r="L283" s="1">
        <v>130</v>
      </c>
      <c r="M283" s="1" t="str">
        <f t="shared" si="20"/>
        <v>09900130</v>
      </c>
      <c r="N283" s="12" t="str">
        <f t="shared" si="23"/>
        <v>09900130</v>
      </c>
    </row>
    <row r="284" spans="4:14" x14ac:dyDescent="0.25">
      <c r="D284" s="11" t="s">
        <v>200</v>
      </c>
      <c r="E284" s="134" t="str">
        <f>VLOOKUP(F284,'Activity List CSI'!$B$4:$D$146,3,0)</f>
        <v>09900-03</v>
      </c>
      <c r="F284" s="1" t="s">
        <v>201</v>
      </c>
      <c r="G284" s="1" t="str">
        <f>VLOOKUP($E284,'Activity List CSI'!$D$4:$J$146,'Mat. List CSI'!G$1,0)</f>
        <v>09</v>
      </c>
      <c r="H284" s="1" t="str">
        <f>VLOOKUP($E284,'Activity List CSI'!$D$4:$J$146,'Mat. List CSI'!H$1,0)</f>
        <v>Finishing</v>
      </c>
      <c r="I284" s="1" t="str">
        <f>VLOOKUP(D284,'Activity List CSI'!$C$4:$H$146,6,0)</f>
        <v>09900</v>
      </c>
      <c r="J284" s="1" t="str">
        <f>VLOOKUP($E284,'Activity List CSI'!$D$4:$J$146,'Mat. List CSI'!J$1,0)</f>
        <v>Paints &amp; Coatings</v>
      </c>
      <c r="K284" s="1" t="s">
        <v>466</v>
      </c>
      <c r="L284" s="1">
        <v>110</v>
      </c>
      <c r="M284" s="1" t="str">
        <f t="shared" si="20"/>
        <v>09900110</v>
      </c>
      <c r="N284" s="12" t="str">
        <f t="shared" si="23"/>
        <v>09900110</v>
      </c>
    </row>
    <row r="285" spans="4:14" x14ac:dyDescent="0.25">
      <c r="D285" s="11" t="s">
        <v>200</v>
      </c>
      <c r="E285" s="134" t="str">
        <f>VLOOKUP(F285,'Activity List CSI'!$B$4:$D$146,3,0)</f>
        <v>09900-03</v>
      </c>
      <c r="F285" s="1" t="s">
        <v>201</v>
      </c>
      <c r="G285" s="1" t="str">
        <f>VLOOKUP($E285,'Activity List CSI'!$D$4:$J$146,'Mat. List CSI'!G$1,0)</f>
        <v>09</v>
      </c>
      <c r="H285" s="1" t="str">
        <f>VLOOKUP($E285,'Activity List CSI'!$D$4:$J$146,'Mat. List CSI'!H$1,0)</f>
        <v>Finishing</v>
      </c>
      <c r="I285" s="1" t="str">
        <f>VLOOKUP(D285,'Activity List CSI'!$C$4:$H$146,6,0)</f>
        <v>09900</v>
      </c>
      <c r="J285" s="1" t="str">
        <f>VLOOKUP($E285,'Activity List CSI'!$D$4:$J$146,'Mat. List CSI'!J$1,0)</f>
        <v>Paints &amp; Coatings</v>
      </c>
      <c r="K285" s="1" t="s">
        <v>467</v>
      </c>
      <c r="L285" s="1">
        <v>115</v>
      </c>
      <c r="M285" s="1" t="str">
        <f t="shared" si="20"/>
        <v>09900115</v>
      </c>
      <c r="N285" s="12" t="str">
        <f t="shared" si="23"/>
        <v>09900115</v>
      </c>
    </row>
    <row r="286" spans="4:14" x14ac:dyDescent="0.25">
      <c r="D286" s="11" t="s">
        <v>200</v>
      </c>
      <c r="E286" s="134" t="str">
        <f>VLOOKUP(F286,'Activity List CSI'!$B$4:$D$146,3,0)</f>
        <v>09900-03</v>
      </c>
      <c r="F286" s="1" t="s">
        <v>201</v>
      </c>
      <c r="G286" s="1" t="str">
        <f>VLOOKUP($E286,'Activity List CSI'!$D$4:$J$146,'Mat. List CSI'!G$1,0)</f>
        <v>09</v>
      </c>
      <c r="H286" s="1" t="str">
        <f>VLOOKUP($E286,'Activity List CSI'!$D$4:$J$146,'Mat. List CSI'!H$1,0)</f>
        <v>Finishing</v>
      </c>
      <c r="I286" s="1" t="str">
        <f>VLOOKUP(D286,'Activity List CSI'!$C$4:$H$146,6,0)</f>
        <v>09900</v>
      </c>
      <c r="J286" s="1" t="str">
        <f>VLOOKUP($E286,'Activity List CSI'!$D$4:$J$146,'Mat. List CSI'!J$1,0)</f>
        <v>Paints &amp; Coatings</v>
      </c>
      <c r="K286" s="1" t="s">
        <v>468</v>
      </c>
      <c r="L286" s="1">
        <v>130</v>
      </c>
      <c r="M286" s="1" t="str">
        <f t="shared" si="20"/>
        <v>09900130</v>
      </c>
      <c r="N286" s="12" t="str">
        <f t="shared" si="23"/>
        <v>09900130</v>
      </c>
    </row>
    <row r="287" spans="4:14" x14ac:dyDescent="0.25">
      <c r="D287" s="11" t="s">
        <v>202</v>
      </c>
      <c r="E287" s="134" t="str">
        <f>VLOOKUP(F287,'Activity List CSI'!$B$4:$D$146,3,0)</f>
        <v>09700-03</v>
      </c>
      <c r="F287" s="1" t="s">
        <v>203</v>
      </c>
      <c r="G287" s="1" t="str">
        <f>VLOOKUP($E287,'Activity List CSI'!$D$4:$J$146,'Mat. List CSI'!G$1,0)</f>
        <v>09</v>
      </c>
      <c r="H287" s="1" t="str">
        <f>VLOOKUP($E287,'Activity List CSI'!$D$4:$J$146,'Mat. List CSI'!H$1,0)</f>
        <v>Finishing</v>
      </c>
      <c r="I287" s="1" t="str">
        <f>VLOOKUP(D287,'Activity List CSI'!$C$4:$H$146,6,0)</f>
        <v>09700</v>
      </c>
      <c r="J287" s="1" t="str">
        <f>VLOOKUP($E287,'Activity List CSI'!$D$4:$J$146,'Mat. List CSI'!J$1,0)</f>
        <v>Wall Finishes</v>
      </c>
      <c r="K287" s="1" t="s">
        <v>440</v>
      </c>
      <c r="L287" s="1">
        <v>105</v>
      </c>
      <c r="M287" s="13" t="str">
        <f t="shared" si="20"/>
        <v>09700105</v>
      </c>
      <c r="N287" s="12" t="s">
        <v>441</v>
      </c>
    </row>
    <row r="288" spans="4:14" x14ac:dyDescent="0.25">
      <c r="D288" s="11" t="s">
        <v>202</v>
      </c>
      <c r="E288" s="134" t="str">
        <f>VLOOKUP(F288,'Activity List CSI'!$B$4:$D$146,3,0)</f>
        <v>09700-03</v>
      </c>
      <c r="F288" s="1" t="s">
        <v>203</v>
      </c>
      <c r="G288" s="1" t="str">
        <f>VLOOKUP($E288,'Activity List CSI'!$D$4:$J$146,'Mat. List CSI'!G$1,0)</f>
        <v>09</v>
      </c>
      <c r="H288" s="1" t="str">
        <f>VLOOKUP($E288,'Activity List CSI'!$D$4:$J$146,'Mat. List CSI'!H$1,0)</f>
        <v>Finishing</v>
      </c>
      <c r="I288" s="1" t="str">
        <f>VLOOKUP(D288,'Activity List CSI'!$C$4:$H$146,6,0)</f>
        <v>09700</v>
      </c>
      <c r="J288" s="1" t="str">
        <f>VLOOKUP($E288,'Activity List CSI'!$D$4:$J$146,'Mat. List CSI'!J$1,0)</f>
        <v>Wall Finishes</v>
      </c>
      <c r="K288" s="1" t="s">
        <v>442</v>
      </c>
      <c r="L288" s="1">
        <v>110</v>
      </c>
      <c r="M288" s="13" t="str">
        <f t="shared" si="20"/>
        <v>09700110</v>
      </c>
      <c r="N288" s="12" t="s">
        <v>451</v>
      </c>
    </row>
    <row r="289" spans="4:14" x14ac:dyDescent="0.25">
      <c r="D289" s="11" t="s">
        <v>202</v>
      </c>
      <c r="E289" s="134" t="str">
        <f>VLOOKUP(F289,'Activity List CSI'!$B$4:$D$146,3,0)</f>
        <v>09700-03</v>
      </c>
      <c r="F289" s="1" t="s">
        <v>203</v>
      </c>
      <c r="G289" s="1" t="str">
        <f>VLOOKUP($E289,'Activity List CSI'!$D$4:$J$146,'Mat. List CSI'!G$1,0)</f>
        <v>09</v>
      </c>
      <c r="H289" s="1" t="str">
        <f>VLOOKUP($E289,'Activity List CSI'!$D$4:$J$146,'Mat. List CSI'!H$1,0)</f>
        <v>Finishing</v>
      </c>
      <c r="I289" s="1" t="str">
        <f>VLOOKUP(D289,'Activity List CSI'!$C$4:$H$146,6,0)</f>
        <v>09700</v>
      </c>
      <c r="J289" s="1" t="str">
        <f>VLOOKUP($E289,'Activity List CSI'!$D$4:$J$146,'Mat. List CSI'!J$1,0)</f>
        <v>Wall Finishes</v>
      </c>
      <c r="K289" s="1" t="s">
        <v>453</v>
      </c>
      <c r="L289" s="1">
        <v>130</v>
      </c>
      <c r="M289" s="13" t="str">
        <f t="shared" si="20"/>
        <v>09700130</v>
      </c>
      <c r="N289" s="12" t="s">
        <v>459</v>
      </c>
    </row>
    <row r="290" spans="4:14" x14ac:dyDescent="0.25">
      <c r="D290" s="11" t="s">
        <v>202</v>
      </c>
      <c r="E290" s="134" t="str">
        <f>VLOOKUP(F290,'Activity List CSI'!$B$4:$D$146,3,0)</f>
        <v>09700-03</v>
      </c>
      <c r="F290" s="1" t="s">
        <v>203</v>
      </c>
      <c r="G290" s="1" t="str">
        <f>VLOOKUP($E290,'Activity List CSI'!$D$4:$J$146,'Mat. List CSI'!G$1,0)</f>
        <v>09</v>
      </c>
      <c r="H290" s="1" t="str">
        <f>VLOOKUP($E290,'Activity List CSI'!$D$4:$J$146,'Mat. List CSI'!H$1,0)</f>
        <v>Finishing</v>
      </c>
      <c r="I290" s="1" t="str">
        <f>VLOOKUP(D290,'Activity List CSI'!$C$4:$H$146,6,0)</f>
        <v>09700</v>
      </c>
      <c r="J290" s="1" t="str">
        <f>VLOOKUP($E290,'Activity List CSI'!$D$4:$J$146,'Mat. List CSI'!J$1,0)</f>
        <v>Wall Finishes</v>
      </c>
      <c r="K290" s="1" t="s">
        <v>440</v>
      </c>
      <c r="L290" s="1">
        <v>105</v>
      </c>
      <c r="M290" s="13" t="str">
        <f t="shared" si="20"/>
        <v>09700105</v>
      </c>
      <c r="N290" s="12" t="s">
        <v>441</v>
      </c>
    </row>
    <row r="291" spans="4:14" x14ac:dyDescent="0.25">
      <c r="D291" s="11" t="s">
        <v>202</v>
      </c>
      <c r="E291" s="134" t="str">
        <f>VLOOKUP(F291,'Activity List CSI'!$B$4:$D$146,3,0)</f>
        <v>09700-03</v>
      </c>
      <c r="F291" s="1" t="s">
        <v>203</v>
      </c>
      <c r="G291" s="1" t="str">
        <f>VLOOKUP($E291,'Activity List CSI'!$D$4:$J$146,'Mat. List CSI'!G$1,0)</f>
        <v>09</v>
      </c>
      <c r="H291" s="1" t="str">
        <f>VLOOKUP($E291,'Activity List CSI'!$D$4:$J$146,'Mat. List CSI'!H$1,0)</f>
        <v>Finishing</v>
      </c>
      <c r="I291" s="1" t="str">
        <f>VLOOKUP(D291,'Activity List CSI'!$C$4:$H$146,6,0)</f>
        <v>09700</v>
      </c>
      <c r="J291" s="1" t="str">
        <f>VLOOKUP($E291,'Activity List CSI'!$D$4:$J$146,'Mat. List CSI'!J$1,0)</f>
        <v>Wall Finishes</v>
      </c>
      <c r="K291" s="1" t="s">
        <v>442</v>
      </c>
      <c r="L291" s="1">
        <v>110</v>
      </c>
      <c r="M291" s="13" t="str">
        <f t="shared" si="20"/>
        <v>09700110</v>
      </c>
      <c r="N291" s="12" t="s">
        <v>451</v>
      </c>
    </row>
    <row r="292" spans="4:14" x14ac:dyDescent="0.25">
      <c r="D292" s="11" t="s">
        <v>202</v>
      </c>
      <c r="E292" s="134" t="str">
        <f>VLOOKUP(F292,'Activity List CSI'!$B$4:$D$146,3,0)</f>
        <v>09700-03</v>
      </c>
      <c r="F292" s="1" t="s">
        <v>203</v>
      </c>
      <c r="G292" s="1" t="str">
        <f>VLOOKUP($E292,'Activity List CSI'!$D$4:$J$146,'Mat. List CSI'!G$1,0)</f>
        <v>09</v>
      </c>
      <c r="H292" s="1" t="str">
        <f>VLOOKUP($E292,'Activity List CSI'!$D$4:$J$146,'Mat. List CSI'!H$1,0)</f>
        <v>Finishing</v>
      </c>
      <c r="I292" s="1" t="str">
        <f>VLOOKUP(D292,'Activity List CSI'!$C$4:$H$146,6,0)</f>
        <v>09700</v>
      </c>
      <c r="J292" s="1" t="str">
        <f>VLOOKUP($E292,'Activity List CSI'!$D$4:$J$146,'Mat. List CSI'!J$1,0)</f>
        <v>Wall Finishes</v>
      </c>
      <c r="K292" s="1" t="s">
        <v>453</v>
      </c>
      <c r="L292" s="1">
        <v>130</v>
      </c>
      <c r="M292" s="13" t="str">
        <f t="shared" si="20"/>
        <v>09700130</v>
      </c>
      <c r="N292" s="12" t="s">
        <v>459</v>
      </c>
    </row>
    <row r="293" spans="4:14" x14ac:dyDescent="0.25">
      <c r="D293" s="11" t="s">
        <v>204</v>
      </c>
      <c r="E293" s="134" t="str">
        <f>VLOOKUP(F293,'Activity List CSI'!$B$4:$D$146,3,0)</f>
        <v>09700-04</v>
      </c>
      <c r="F293" s="1" t="s">
        <v>205</v>
      </c>
      <c r="G293" s="1" t="str">
        <f>VLOOKUP($E293,'Activity List CSI'!$D$4:$J$146,'Mat. List CSI'!G$1,0)</f>
        <v>09</v>
      </c>
      <c r="H293" s="1" t="str">
        <f>VLOOKUP($E293,'Activity List CSI'!$D$4:$J$146,'Mat. List CSI'!H$1,0)</f>
        <v>Finishing</v>
      </c>
      <c r="I293" s="1" t="str">
        <f>VLOOKUP(D293,'Activity List CSI'!$C$4:$H$146,6,0)</f>
        <v>09700</v>
      </c>
      <c r="J293" s="1" t="str">
        <f>VLOOKUP($E293,'Activity List CSI'!$D$4:$J$146,'Mat. List CSI'!J$1,0)</f>
        <v>Wall Finishes</v>
      </c>
      <c r="K293" s="1" t="s">
        <v>440</v>
      </c>
      <c r="L293" s="1">
        <v>105</v>
      </c>
      <c r="M293" s="13" t="str">
        <f t="shared" si="20"/>
        <v>09700105</v>
      </c>
      <c r="N293" s="12" t="s">
        <v>441</v>
      </c>
    </row>
    <row r="294" spans="4:14" x14ac:dyDescent="0.25">
      <c r="D294" s="11" t="s">
        <v>204</v>
      </c>
      <c r="E294" s="134" t="str">
        <f>VLOOKUP(F294,'Activity List CSI'!$B$4:$D$146,3,0)</f>
        <v>09700-04</v>
      </c>
      <c r="F294" s="1" t="s">
        <v>205</v>
      </c>
      <c r="G294" s="1" t="str">
        <f>VLOOKUP($E294,'Activity List CSI'!$D$4:$J$146,'Mat. List CSI'!G$1,0)</f>
        <v>09</v>
      </c>
      <c r="H294" s="1" t="str">
        <f>VLOOKUP($E294,'Activity List CSI'!$D$4:$J$146,'Mat. List CSI'!H$1,0)</f>
        <v>Finishing</v>
      </c>
      <c r="I294" s="1" t="str">
        <f>VLOOKUP(D294,'Activity List CSI'!$C$4:$H$146,6,0)</f>
        <v>09700</v>
      </c>
      <c r="J294" s="1" t="str">
        <f>VLOOKUP($E294,'Activity List CSI'!$D$4:$J$146,'Mat. List CSI'!J$1,0)</f>
        <v>Wall Finishes</v>
      </c>
      <c r="K294" s="1" t="s">
        <v>442</v>
      </c>
      <c r="L294" s="1">
        <v>110</v>
      </c>
      <c r="M294" s="13" t="str">
        <f t="shared" si="20"/>
        <v>09700110</v>
      </c>
      <c r="N294" s="12" t="s">
        <v>451</v>
      </c>
    </row>
    <row r="295" spans="4:14" x14ac:dyDescent="0.25">
      <c r="D295" s="11" t="s">
        <v>204</v>
      </c>
      <c r="E295" s="134" t="str">
        <f>VLOOKUP(F295,'Activity List CSI'!$B$4:$D$146,3,0)</f>
        <v>09700-04</v>
      </c>
      <c r="F295" s="1" t="s">
        <v>205</v>
      </c>
      <c r="G295" s="1" t="str">
        <f>VLOOKUP($E295,'Activity List CSI'!$D$4:$J$146,'Mat. List CSI'!G$1,0)</f>
        <v>09</v>
      </c>
      <c r="H295" s="1" t="str">
        <f>VLOOKUP($E295,'Activity List CSI'!$D$4:$J$146,'Mat. List CSI'!H$1,0)</f>
        <v>Finishing</v>
      </c>
      <c r="I295" s="1" t="str">
        <f>VLOOKUP(D295,'Activity List CSI'!$C$4:$H$146,6,0)</f>
        <v>09700</v>
      </c>
      <c r="J295" s="1" t="str">
        <f>VLOOKUP($E295,'Activity List CSI'!$D$4:$J$146,'Mat. List CSI'!J$1,0)</f>
        <v>Wall Finishes</v>
      </c>
      <c r="K295" s="1" t="s">
        <v>454</v>
      </c>
      <c r="L295" s="1">
        <v>160</v>
      </c>
      <c r="M295" s="13" t="str">
        <f t="shared" si="20"/>
        <v>09700160</v>
      </c>
      <c r="N295" s="12" t="s">
        <v>457</v>
      </c>
    </row>
    <row r="296" spans="4:14" x14ac:dyDescent="0.25">
      <c r="D296" s="11" t="s">
        <v>204</v>
      </c>
      <c r="E296" s="134" t="str">
        <f>VLOOKUP(F296,'Activity List CSI'!$B$4:$D$146,3,0)</f>
        <v>09700-04</v>
      </c>
      <c r="F296" s="1" t="s">
        <v>205</v>
      </c>
      <c r="G296" s="1" t="str">
        <f>VLOOKUP($E296,'Activity List CSI'!$D$4:$J$146,'Mat. List CSI'!G$1,0)</f>
        <v>09</v>
      </c>
      <c r="H296" s="1" t="str">
        <f>VLOOKUP($E296,'Activity List CSI'!$D$4:$J$146,'Mat. List CSI'!H$1,0)</f>
        <v>Finishing</v>
      </c>
      <c r="I296" s="1" t="str">
        <f>VLOOKUP(D296,'Activity List CSI'!$C$4:$H$146,6,0)</f>
        <v>09700</v>
      </c>
      <c r="J296" s="1" t="str">
        <f>VLOOKUP($E296,'Activity List CSI'!$D$4:$J$146,'Mat. List CSI'!J$1,0)</f>
        <v>Wall Finishes</v>
      </c>
      <c r="K296" s="1" t="s">
        <v>440</v>
      </c>
      <c r="L296" s="1">
        <v>105</v>
      </c>
      <c r="M296" s="13" t="str">
        <f t="shared" si="20"/>
        <v>09700105</v>
      </c>
      <c r="N296" s="12" t="s">
        <v>441</v>
      </c>
    </row>
    <row r="297" spans="4:14" x14ac:dyDescent="0.25">
      <c r="D297" s="11" t="s">
        <v>204</v>
      </c>
      <c r="E297" s="134" t="str">
        <f>VLOOKUP(F297,'Activity List CSI'!$B$4:$D$146,3,0)</f>
        <v>09700-04</v>
      </c>
      <c r="F297" s="1" t="s">
        <v>205</v>
      </c>
      <c r="G297" s="1" t="str">
        <f>VLOOKUP($E297,'Activity List CSI'!$D$4:$J$146,'Mat. List CSI'!G$1,0)</f>
        <v>09</v>
      </c>
      <c r="H297" s="1" t="str">
        <f>VLOOKUP($E297,'Activity List CSI'!$D$4:$J$146,'Mat. List CSI'!H$1,0)</f>
        <v>Finishing</v>
      </c>
      <c r="I297" s="1" t="str">
        <f>VLOOKUP(D297,'Activity List CSI'!$C$4:$H$146,6,0)</f>
        <v>09700</v>
      </c>
      <c r="J297" s="1" t="str">
        <f>VLOOKUP($E297,'Activity List CSI'!$D$4:$J$146,'Mat. List CSI'!J$1,0)</f>
        <v>Wall Finishes</v>
      </c>
      <c r="K297" s="1" t="s">
        <v>442</v>
      </c>
      <c r="L297" s="1">
        <v>110</v>
      </c>
      <c r="M297" s="13" t="str">
        <f t="shared" si="20"/>
        <v>09700110</v>
      </c>
      <c r="N297" s="12" t="s">
        <v>451</v>
      </c>
    </row>
    <row r="298" spans="4:14" x14ac:dyDescent="0.25">
      <c r="D298" s="11" t="s">
        <v>204</v>
      </c>
      <c r="E298" s="134" t="str">
        <f>VLOOKUP(F298,'Activity List CSI'!$B$4:$D$146,3,0)</f>
        <v>09700-04</v>
      </c>
      <c r="F298" s="1" t="s">
        <v>205</v>
      </c>
      <c r="G298" s="1" t="str">
        <f>VLOOKUP($E298,'Activity List CSI'!$D$4:$J$146,'Mat. List CSI'!G$1,0)</f>
        <v>09</v>
      </c>
      <c r="H298" s="1" t="str">
        <f>VLOOKUP($E298,'Activity List CSI'!$D$4:$J$146,'Mat. List CSI'!H$1,0)</f>
        <v>Finishing</v>
      </c>
      <c r="I298" s="1" t="str">
        <f>VLOOKUP(D298,'Activity List CSI'!$C$4:$H$146,6,0)</f>
        <v>09700</v>
      </c>
      <c r="J298" s="1" t="str">
        <f>VLOOKUP($E298,'Activity List CSI'!$D$4:$J$146,'Mat. List CSI'!J$1,0)</f>
        <v>Wall Finishes</v>
      </c>
      <c r="K298" s="1" t="s">
        <v>454</v>
      </c>
      <c r="L298" s="1">
        <v>160</v>
      </c>
      <c r="M298" s="13" t="str">
        <f t="shared" si="20"/>
        <v>09700160</v>
      </c>
      <c r="N298" s="12" t="s">
        <v>457</v>
      </c>
    </row>
    <row r="299" spans="4:14" x14ac:dyDescent="0.25">
      <c r="D299" s="11" t="s">
        <v>206</v>
      </c>
      <c r="E299" s="134" t="str">
        <f>VLOOKUP(F299,'Activity List CSI'!$B$4:$D$146,3,0)</f>
        <v>09700-05</v>
      </c>
      <c r="F299" s="1" t="s">
        <v>469</v>
      </c>
      <c r="G299" s="1" t="str">
        <f>VLOOKUP($E299,'Activity List CSI'!$D$4:$J$146,'Mat. List CSI'!G$1,0)</f>
        <v>09</v>
      </c>
      <c r="H299" s="1" t="str">
        <f>VLOOKUP($E299,'Activity List CSI'!$D$4:$J$146,'Mat. List CSI'!H$1,0)</f>
        <v>Finishing</v>
      </c>
      <c r="I299" s="1" t="str">
        <f>VLOOKUP(D299,'Activity List CSI'!$C$4:$H$146,6,0)</f>
        <v>09700</v>
      </c>
      <c r="J299" s="1" t="str">
        <f>VLOOKUP($E299,'Activity List CSI'!$D$4:$J$146,'Mat. List CSI'!J$1,0)</f>
        <v>Wall Finishes</v>
      </c>
      <c r="K299" s="1" t="s">
        <v>443</v>
      </c>
      <c r="L299" s="1">
        <v>105</v>
      </c>
      <c r="M299" s="13" t="str">
        <f t="shared" si="20"/>
        <v>09700105</v>
      </c>
      <c r="N299" s="12" t="s">
        <v>470</v>
      </c>
    </row>
    <row r="300" spans="4:14" x14ac:dyDescent="0.25">
      <c r="D300" s="11" t="s">
        <v>206</v>
      </c>
      <c r="E300" s="134" t="str">
        <f>VLOOKUP(F300,'Activity List CSI'!$B$4:$D$146,3,0)</f>
        <v>09700-05</v>
      </c>
      <c r="F300" s="1" t="s">
        <v>469</v>
      </c>
      <c r="G300" s="1" t="str">
        <f>VLOOKUP($E300,'Activity List CSI'!$D$4:$J$146,'Mat. List CSI'!G$1,0)</f>
        <v>09</v>
      </c>
      <c r="H300" s="1" t="str">
        <f>VLOOKUP($E300,'Activity List CSI'!$D$4:$J$146,'Mat. List CSI'!H$1,0)</f>
        <v>Finishing</v>
      </c>
      <c r="I300" s="1" t="str">
        <f>VLOOKUP(D300,'Activity List CSI'!$C$4:$H$146,6,0)</f>
        <v>09700</v>
      </c>
      <c r="J300" s="1" t="str">
        <f>VLOOKUP($E300,'Activity List CSI'!$D$4:$J$146,'Mat. List CSI'!J$1,0)</f>
        <v>Wall Finishes</v>
      </c>
      <c r="K300" s="1" t="s">
        <v>462</v>
      </c>
      <c r="L300" s="1">
        <v>120</v>
      </c>
      <c r="M300" s="13" t="str">
        <f t="shared" si="20"/>
        <v>09700120</v>
      </c>
      <c r="N300" s="12" t="s">
        <v>471</v>
      </c>
    </row>
    <row r="301" spans="4:14" x14ac:dyDescent="0.25">
      <c r="D301" s="11" t="s">
        <v>206</v>
      </c>
      <c r="E301" s="134" t="str">
        <f>VLOOKUP(F301,'Activity List CSI'!$B$4:$D$146,3,0)</f>
        <v>09700-05</v>
      </c>
      <c r="F301" s="1" t="s">
        <v>469</v>
      </c>
      <c r="G301" s="1" t="str">
        <f>VLOOKUP($E301,'Activity List CSI'!$D$4:$J$146,'Mat. List CSI'!G$1,0)</f>
        <v>09</v>
      </c>
      <c r="H301" s="1" t="str">
        <f>VLOOKUP($E301,'Activity List CSI'!$D$4:$J$146,'Mat. List CSI'!H$1,0)</f>
        <v>Finishing</v>
      </c>
      <c r="I301" s="1" t="str">
        <f>VLOOKUP(D301,'Activity List CSI'!$C$4:$H$146,6,0)</f>
        <v>09700</v>
      </c>
      <c r="J301" s="1" t="str">
        <f>VLOOKUP($E301,'Activity List CSI'!$D$4:$J$146,'Mat. List CSI'!J$1,0)</f>
        <v>Wall Finishes</v>
      </c>
      <c r="K301" s="1" t="s">
        <v>440</v>
      </c>
      <c r="L301" s="1">
        <v>105</v>
      </c>
      <c r="M301" s="13" t="str">
        <f t="shared" si="20"/>
        <v>09700105</v>
      </c>
      <c r="N301" s="12" t="s">
        <v>441</v>
      </c>
    </row>
    <row r="302" spans="4:14" x14ac:dyDescent="0.25">
      <c r="D302" s="11" t="s">
        <v>206</v>
      </c>
      <c r="E302" s="134" t="str">
        <f>VLOOKUP(F302,'Activity List CSI'!$B$4:$D$146,3,0)</f>
        <v>09700-05</v>
      </c>
      <c r="F302" s="1" t="s">
        <v>469</v>
      </c>
      <c r="G302" s="1" t="str">
        <f>VLOOKUP($E302,'Activity List CSI'!$D$4:$J$146,'Mat. List CSI'!G$1,0)</f>
        <v>09</v>
      </c>
      <c r="H302" s="1" t="str">
        <f>VLOOKUP($E302,'Activity List CSI'!$D$4:$J$146,'Mat. List CSI'!H$1,0)</f>
        <v>Finishing</v>
      </c>
      <c r="I302" s="1" t="str">
        <f>VLOOKUP(D302,'Activity List CSI'!$C$4:$H$146,6,0)</f>
        <v>09700</v>
      </c>
      <c r="J302" s="1" t="str">
        <f>VLOOKUP($E302,'Activity List CSI'!$D$4:$J$146,'Mat. List CSI'!J$1,0)</f>
        <v>Wall Finishes</v>
      </c>
      <c r="K302" s="1" t="s">
        <v>442</v>
      </c>
      <c r="L302" s="1">
        <v>110</v>
      </c>
      <c r="M302" s="13" t="str">
        <f t="shared" si="20"/>
        <v>09700110</v>
      </c>
      <c r="N302" s="12" t="s">
        <v>451</v>
      </c>
    </row>
    <row r="303" spans="4:14" x14ac:dyDescent="0.25">
      <c r="D303" s="11" t="s">
        <v>206</v>
      </c>
      <c r="E303" s="134" t="str">
        <f>VLOOKUP(F303,'Activity List CSI'!$B$4:$D$146,3,0)</f>
        <v>09700-05</v>
      </c>
      <c r="F303" s="1" t="s">
        <v>469</v>
      </c>
      <c r="G303" s="1" t="str">
        <f>VLOOKUP($E303,'Activity List CSI'!$D$4:$J$146,'Mat. List CSI'!G$1,0)</f>
        <v>09</v>
      </c>
      <c r="H303" s="1" t="str">
        <f>VLOOKUP($E303,'Activity List CSI'!$D$4:$J$146,'Mat. List CSI'!H$1,0)</f>
        <v>Finishing</v>
      </c>
      <c r="I303" s="1" t="str">
        <f>VLOOKUP(D303,'Activity List CSI'!$C$4:$H$146,6,0)</f>
        <v>09700</v>
      </c>
      <c r="J303" s="1" t="str">
        <f>VLOOKUP($E303,'Activity List CSI'!$D$4:$J$146,'Mat. List CSI'!J$1,0)</f>
        <v>Wall Finishes</v>
      </c>
      <c r="K303" s="1" t="s">
        <v>443</v>
      </c>
      <c r="L303" s="1">
        <v>105</v>
      </c>
      <c r="M303" s="13" t="str">
        <f t="shared" si="20"/>
        <v>09700105</v>
      </c>
      <c r="N303" s="12" t="s">
        <v>470</v>
      </c>
    </row>
    <row r="304" spans="4:14" x14ac:dyDescent="0.25">
      <c r="D304" s="11" t="s">
        <v>206</v>
      </c>
      <c r="E304" s="134" t="str">
        <f>VLOOKUP(F304,'Activity List CSI'!$B$4:$D$146,3,0)</f>
        <v>09700-05</v>
      </c>
      <c r="F304" s="1" t="s">
        <v>469</v>
      </c>
      <c r="G304" s="1" t="str">
        <f>VLOOKUP($E304,'Activity List CSI'!$D$4:$J$146,'Mat. List CSI'!G$1,0)</f>
        <v>09</v>
      </c>
      <c r="H304" s="1" t="str">
        <f>VLOOKUP($E304,'Activity List CSI'!$D$4:$J$146,'Mat. List CSI'!H$1,0)</f>
        <v>Finishing</v>
      </c>
      <c r="I304" s="1" t="str">
        <f>VLOOKUP(D304,'Activity List CSI'!$C$4:$H$146,6,0)</f>
        <v>09700</v>
      </c>
      <c r="J304" s="1" t="str">
        <f>VLOOKUP($E304,'Activity List CSI'!$D$4:$J$146,'Mat. List CSI'!J$1,0)</f>
        <v>Wall Finishes</v>
      </c>
      <c r="K304" s="1" t="s">
        <v>462</v>
      </c>
      <c r="L304" s="1">
        <v>120</v>
      </c>
      <c r="M304" s="13" t="str">
        <f t="shared" si="20"/>
        <v>09700120</v>
      </c>
      <c r="N304" s="12" t="s">
        <v>471</v>
      </c>
    </row>
    <row r="305" spans="4:14" x14ac:dyDescent="0.25">
      <c r="D305" s="11" t="s">
        <v>206</v>
      </c>
      <c r="E305" s="134" t="str">
        <f>VLOOKUP(F305,'Activity List CSI'!$B$4:$D$146,3,0)</f>
        <v>09700-05</v>
      </c>
      <c r="F305" s="1" t="s">
        <v>469</v>
      </c>
      <c r="G305" s="1" t="str">
        <f>VLOOKUP($E305,'Activity List CSI'!$D$4:$J$146,'Mat. List CSI'!G$1,0)</f>
        <v>09</v>
      </c>
      <c r="H305" s="1" t="str">
        <f>VLOOKUP($E305,'Activity List CSI'!$D$4:$J$146,'Mat. List CSI'!H$1,0)</f>
        <v>Finishing</v>
      </c>
      <c r="I305" s="1" t="str">
        <f>VLOOKUP(D305,'Activity List CSI'!$C$4:$H$146,6,0)</f>
        <v>09700</v>
      </c>
      <c r="J305" s="1" t="str">
        <f>VLOOKUP($E305,'Activity List CSI'!$D$4:$J$146,'Mat. List CSI'!J$1,0)</f>
        <v>Wall Finishes</v>
      </c>
      <c r="K305" s="1" t="s">
        <v>440</v>
      </c>
      <c r="L305" s="1">
        <v>105</v>
      </c>
      <c r="M305" s="13" t="str">
        <f t="shared" si="20"/>
        <v>09700105</v>
      </c>
      <c r="N305" s="12" t="s">
        <v>441</v>
      </c>
    </row>
    <row r="306" spans="4:14" x14ac:dyDescent="0.25">
      <c r="D306" s="11" t="s">
        <v>206</v>
      </c>
      <c r="E306" s="134" t="str">
        <f>VLOOKUP(F306,'Activity List CSI'!$B$4:$D$146,3,0)</f>
        <v>09700-05</v>
      </c>
      <c r="F306" s="1" t="s">
        <v>469</v>
      </c>
      <c r="G306" s="1" t="str">
        <f>VLOOKUP($E306,'Activity List CSI'!$D$4:$J$146,'Mat. List CSI'!G$1,0)</f>
        <v>09</v>
      </c>
      <c r="H306" s="1" t="str">
        <f>VLOOKUP($E306,'Activity List CSI'!$D$4:$J$146,'Mat. List CSI'!H$1,0)</f>
        <v>Finishing</v>
      </c>
      <c r="I306" s="1" t="str">
        <f>VLOOKUP(D306,'Activity List CSI'!$C$4:$H$146,6,0)</f>
        <v>09700</v>
      </c>
      <c r="J306" s="1" t="str">
        <f>VLOOKUP($E306,'Activity List CSI'!$D$4:$J$146,'Mat. List CSI'!J$1,0)</f>
        <v>Wall Finishes</v>
      </c>
      <c r="K306" s="1" t="s">
        <v>442</v>
      </c>
      <c r="L306" s="1">
        <v>110</v>
      </c>
      <c r="M306" s="13" t="str">
        <f t="shared" si="20"/>
        <v>09700110</v>
      </c>
      <c r="N306" s="12" t="s">
        <v>451</v>
      </c>
    </row>
    <row r="307" spans="4:14" x14ac:dyDescent="0.25">
      <c r="D307" s="11" t="s">
        <v>292</v>
      </c>
      <c r="E307" s="134" t="str">
        <f>VLOOKUP(F307,'Activity List CSI'!$B$4:$D$146,3,0)</f>
        <v>15100-01</v>
      </c>
      <c r="F307" s="1" t="s">
        <v>288</v>
      </c>
      <c r="G307" s="1" t="str">
        <f>VLOOKUP($E307,'Activity List CSI'!$D$4:$J$146,'Mat. List CSI'!G$1,0)</f>
        <v>15</v>
      </c>
      <c r="H307" s="1" t="str">
        <f>VLOOKUP($E307,'Activity List CSI'!$D$4:$J$146,'Mat. List CSI'!H$1,0)</f>
        <v>Mechanical Work</v>
      </c>
      <c r="I307" s="1" t="str">
        <f>VLOOKUP(D307,'Activity List CSI'!$C$4:$H$146,6,0)</f>
        <v>15100</v>
      </c>
      <c r="J307" s="1" t="str">
        <f>VLOOKUP($E307,'Activity List CSI'!$D$4:$J$146,'Mat. List CSI'!J$1,0)</f>
        <v>Buliding Service Piping</v>
      </c>
      <c r="K307" s="1" t="s">
        <v>472</v>
      </c>
      <c r="L307" s="1">
        <v>105</v>
      </c>
      <c r="M307" s="1" t="str">
        <f t="shared" si="20"/>
        <v>15100105</v>
      </c>
      <c r="N307" s="12" t="str">
        <f t="shared" ref="N307:N322" si="24">M307</f>
        <v>15100105</v>
      </c>
    </row>
    <row r="308" spans="4:14" x14ac:dyDescent="0.25">
      <c r="D308" s="11" t="s">
        <v>292</v>
      </c>
      <c r="E308" s="134" t="str">
        <f>VLOOKUP(F308,'Activity List CSI'!$B$4:$D$146,3,0)</f>
        <v>15100-01</v>
      </c>
      <c r="F308" s="1" t="s">
        <v>288</v>
      </c>
      <c r="G308" s="1" t="str">
        <f>VLOOKUP($E308,'Activity List CSI'!$D$4:$J$146,'Mat. List CSI'!G$1,0)</f>
        <v>15</v>
      </c>
      <c r="H308" s="1" t="str">
        <f>VLOOKUP($E308,'Activity List CSI'!$D$4:$J$146,'Mat. List CSI'!H$1,0)</f>
        <v>Mechanical Work</v>
      </c>
      <c r="I308" s="1" t="str">
        <f>VLOOKUP(D308,'Activity List CSI'!$C$4:$H$146,6,0)</f>
        <v>15100</v>
      </c>
      <c r="J308" s="1" t="str">
        <f>VLOOKUP($E308,'Activity List CSI'!$D$4:$J$146,'Mat. List CSI'!J$1,0)</f>
        <v>Buliding Service Piping</v>
      </c>
      <c r="K308" s="1" t="s">
        <v>472</v>
      </c>
      <c r="L308" s="1">
        <v>105</v>
      </c>
      <c r="M308" s="1" t="str">
        <f t="shared" si="20"/>
        <v>15100105</v>
      </c>
      <c r="N308" s="12" t="str">
        <f t="shared" si="24"/>
        <v>15100105</v>
      </c>
    </row>
    <row r="309" spans="4:14" x14ac:dyDescent="0.25">
      <c r="D309" s="11" t="s">
        <v>293</v>
      </c>
      <c r="E309" s="134" t="str">
        <f>VLOOKUP(F309,'Activity List CSI'!$B$4:$D$146,3,0)</f>
        <v>15100-02</v>
      </c>
      <c r="F309" s="1" t="s">
        <v>289</v>
      </c>
      <c r="G309" s="1" t="str">
        <f>VLOOKUP($E309,'Activity List CSI'!$D$4:$J$146,'Mat. List CSI'!G$1,0)</f>
        <v>15</v>
      </c>
      <c r="H309" s="1" t="str">
        <f>VLOOKUP($E309,'Activity List CSI'!$D$4:$J$146,'Mat. List CSI'!H$1,0)</f>
        <v>Mechanical Work</v>
      </c>
      <c r="I309" s="1" t="str">
        <f>VLOOKUP(D309,'Activity List CSI'!$C$4:$H$146,6,0)</f>
        <v>15100</v>
      </c>
      <c r="J309" s="1" t="str">
        <f>VLOOKUP($E309,'Activity List CSI'!$D$4:$J$146,'Mat. List CSI'!J$1,0)</f>
        <v>Buliding Service Piping</v>
      </c>
      <c r="K309" s="1" t="s">
        <v>414</v>
      </c>
      <c r="L309" s="1">
        <v>130</v>
      </c>
      <c r="M309" s="1" t="str">
        <f t="shared" si="20"/>
        <v>15100130</v>
      </c>
      <c r="N309" s="12" t="str">
        <f t="shared" si="24"/>
        <v>15100130</v>
      </c>
    </row>
    <row r="310" spans="4:14" x14ac:dyDescent="0.25">
      <c r="D310" s="11" t="s">
        <v>293</v>
      </c>
      <c r="E310" s="134" t="str">
        <f>VLOOKUP(F310,'Activity List CSI'!$B$4:$D$146,3,0)</f>
        <v>15100-02</v>
      </c>
      <c r="F310" s="1" t="s">
        <v>289</v>
      </c>
      <c r="G310" s="1" t="str">
        <f>VLOOKUP($E310,'Activity List CSI'!$D$4:$J$146,'Mat. List CSI'!G$1,0)</f>
        <v>15</v>
      </c>
      <c r="H310" s="1" t="str">
        <f>VLOOKUP($E310,'Activity List CSI'!$D$4:$J$146,'Mat. List CSI'!H$1,0)</f>
        <v>Mechanical Work</v>
      </c>
      <c r="I310" s="1" t="str">
        <f>VLOOKUP(D310,'Activity List CSI'!$C$4:$H$146,6,0)</f>
        <v>15100</v>
      </c>
      <c r="J310" s="1" t="str">
        <f>VLOOKUP($E310,'Activity List CSI'!$D$4:$J$146,'Mat. List CSI'!J$1,0)</f>
        <v>Buliding Service Piping</v>
      </c>
      <c r="K310" s="1" t="s">
        <v>414</v>
      </c>
      <c r="L310" s="1">
        <v>130</v>
      </c>
      <c r="M310" s="1" t="str">
        <f t="shared" si="20"/>
        <v>15100130</v>
      </c>
      <c r="N310" s="12" t="str">
        <f t="shared" si="24"/>
        <v>15100130</v>
      </c>
    </row>
    <row r="311" spans="4:14" x14ac:dyDescent="0.25">
      <c r="D311" s="11" t="s">
        <v>294</v>
      </c>
      <c r="E311" s="134" t="str">
        <f>VLOOKUP(F311,'Activity List CSI'!$B$4:$D$146,3,0)</f>
        <v>15100-03</v>
      </c>
      <c r="F311" s="1" t="s">
        <v>290</v>
      </c>
      <c r="G311" s="1" t="str">
        <f>VLOOKUP($E311,'Activity List CSI'!$D$4:$J$146,'Mat. List CSI'!G$1,0)</f>
        <v>15</v>
      </c>
      <c r="H311" s="1" t="str">
        <f>VLOOKUP($E311,'Activity List CSI'!$D$4:$J$146,'Mat. List CSI'!H$1,0)</f>
        <v>Mechanical Work</v>
      </c>
      <c r="I311" s="1" t="str">
        <f>VLOOKUP(D311,'Activity List CSI'!$C$4:$H$146,6,0)</f>
        <v>15100</v>
      </c>
      <c r="J311" s="1" t="str">
        <f>VLOOKUP($E311,'Activity List CSI'!$D$4:$J$146,'Mat. List CSI'!J$1,0)</f>
        <v>Buliding Service Piping</v>
      </c>
      <c r="K311" s="1" t="s">
        <v>473</v>
      </c>
      <c r="L311" s="1">
        <v>110</v>
      </c>
      <c r="M311" s="1" t="str">
        <f t="shared" si="20"/>
        <v>15100110</v>
      </c>
      <c r="N311" s="12" t="str">
        <f t="shared" si="24"/>
        <v>15100110</v>
      </c>
    </row>
    <row r="312" spans="4:14" x14ac:dyDescent="0.25">
      <c r="D312" s="11" t="s">
        <v>294</v>
      </c>
      <c r="E312" s="134" t="str">
        <f>VLOOKUP(F312,'Activity List CSI'!$B$4:$D$146,3,0)</f>
        <v>15100-03</v>
      </c>
      <c r="F312" s="1" t="s">
        <v>290</v>
      </c>
      <c r="G312" s="1" t="str">
        <f>VLOOKUP($E312,'Activity List CSI'!$D$4:$J$146,'Mat. List CSI'!G$1,0)</f>
        <v>15</v>
      </c>
      <c r="H312" s="1" t="str">
        <f>VLOOKUP($E312,'Activity List CSI'!$D$4:$J$146,'Mat. List CSI'!H$1,0)</f>
        <v>Mechanical Work</v>
      </c>
      <c r="I312" s="1" t="str">
        <f>VLOOKUP(D312,'Activity List CSI'!$C$4:$H$146,6,0)</f>
        <v>15100</v>
      </c>
      <c r="J312" s="1" t="str">
        <f>VLOOKUP($E312,'Activity List CSI'!$D$4:$J$146,'Mat. List CSI'!J$1,0)</f>
        <v>Buliding Service Piping</v>
      </c>
      <c r="K312" s="1" t="s">
        <v>473</v>
      </c>
      <c r="L312" s="1">
        <v>110</v>
      </c>
      <c r="M312" s="1" t="str">
        <f t="shared" si="20"/>
        <v>15100110</v>
      </c>
      <c r="N312" s="12" t="str">
        <f t="shared" si="24"/>
        <v>15100110</v>
      </c>
    </row>
    <row r="313" spans="4:14" x14ac:dyDescent="0.25">
      <c r="D313" s="11" t="s">
        <v>300</v>
      </c>
      <c r="E313" s="134" t="str">
        <f>VLOOKUP(F313,'Activity List CSI'!$B$4:$D$146,3,0)</f>
        <v>15200-01</v>
      </c>
      <c r="F313" s="1" t="s">
        <v>295</v>
      </c>
      <c r="G313" s="1" t="str">
        <f>VLOOKUP($E313,'Activity List CSI'!$D$4:$J$146,'Mat. List CSI'!G$1,0)</f>
        <v>15</v>
      </c>
      <c r="H313" s="1" t="str">
        <f>VLOOKUP($E313,'Activity List CSI'!$D$4:$J$146,'Mat. List CSI'!H$1,0)</f>
        <v>Mechanical Work</v>
      </c>
      <c r="I313" s="1" t="str">
        <f>VLOOKUP(D313,'Activity List CSI'!$C$4:$H$146,6,0)</f>
        <v>15200</v>
      </c>
      <c r="J313" s="1" t="str">
        <f>VLOOKUP($E313,'Activity List CSI'!$D$4:$J$146,'Mat. List CSI'!J$1,0)</f>
        <v>Process Piping</v>
      </c>
      <c r="K313" s="1" t="s">
        <v>474</v>
      </c>
      <c r="L313" s="1">
        <v>115</v>
      </c>
      <c r="M313" s="1" t="str">
        <f t="shared" si="20"/>
        <v>15200115</v>
      </c>
      <c r="N313" s="12" t="str">
        <f t="shared" si="24"/>
        <v>15200115</v>
      </c>
    </row>
    <row r="314" spans="4:14" x14ac:dyDescent="0.25">
      <c r="D314" s="11" t="s">
        <v>300</v>
      </c>
      <c r="E314" s="134" t="str">
        <f>VLOOKUP(F314,'Activity List CSI'!$B$4:$D$146,3,0)</f>
        <v>15200-01</v>
      </c>
      <c r="F314" s="1" t="s">
        <v>295</v>
      </c>
      <c r="G314" s="1" t="str">
        <f>VLOOKUP($E314,'Activity List CSI'!$D$4:$J$146,'Mat. List CSI'!G$1,0)</f>
        <v>15</v>
      </c>
      <c r="H314" s="1" t="str">
        <f>VLOOKUP($E314,'Activity List CSI'!$D$4:$J$146,'Mat. List CSI'!H$1,0)</f>
        <v>Mechanical Work</v>
      </c>
      <c r="I314" s="1" t="str">
        <f>VLOOKUP(D314,'Activity List CSI'!$C$4:$H$146,6,0)</f>
        <v>15200</v>
      </c>
      <c r="J314" s="1" t="str">
        <f>VLOOKUP($E314,'Activity List CSI'!$D$4:$J$146,'Mat. List CSI'!J$1,0)</f>
        <v>Process Piping</v>
      </c>
      <c r="K314" s="1" t="s">
        <v>474</v>
      </c>
      <c r="L314" s="1">
        <v>115</v>
      </c>
      <c r="M314" s="1" t="str">
        <f t="shared" si="20"/>
        <v>15200115</v>
      </c>
      <c r="N314" s="12" t="str">
        <f t="shared" si="24"/>
        <v>15200115</v>
      </c>
    </row>
    <row r="315" spans="4:14" x14ac:dyDescent="0.25">
      <c r="D315" s="11" t="s">
        <v>301</v>
      </c>
      <c r="E315" s="134" t="str">
        <f>VLOOKUP(F315,'Activity List CSI'!$B$4:$D$146,3,0)</f>
        <v>15200-02</v>
      </c>
      <c r="F315" s="1" t="s">
        <v>296</v>
      </c>
      <c r="G315" s="1" t="str">
        <f>VLOOKUP($E315,'Activity List CSI'!$D$4:$J$146,'Mat. List CSI'!G$1,0)</f>
        <v>15</v>
      </c>
      <c r="H315" s="1" t="str">
        <f>VLOOKUP($E315,'Activity List CSI'!$D$4:$J$146,'Mat. List CSI'!H$1,0)</f>
        <v>Mechanical Work</v>
      </c>
      <c r="I315" s="1" t="str">
        <f>VLOOKUP(D315,'Activity List CSI'!$C$4:$H$146,6,0)</f>
        <v>15200</v>
      </c>
      <c r="J315" s="1" t="str">
        <f>VLOOKUP($E315,'Activity List CSI'!$D$4:$J$146,'Mat. List CSI'!J$1,0)</f>
        <v>Process Piping</v>
      </c>
      <c r="K315" s="1" t="s">
        <v>475</v>
      </c>
      <c r="L315" s="1">
        <v>120</v>
      </c>
      <c r="M315" s="1" t="str">
        <f t="shared" si="20"/>
        <v>15200120</v>
      </c>
      <c r="N315" s="12" t="str">
        <f t="shared" si="24"/>
        <v>15200120</v>
      </c>
    </row>
    <row r="316" spans="4:14" x14ac:dyDescent="0.25">
      <c r="D316" s="11" t="s">
        <v>301</v>
      </c>
      <c r="E316" s="134" t="str">
        <f>VLOOKUP(F316,'Activity List CSI'!$B$4:$D$146,3,0)</f>
        <v>15200-02</v>
      </c>
      <c r="F316" s="1" t="s">
        <v>296</v>
      </c>
      <c r="G316" s="1" t="str">
        <f>VLOOKUP($E316,'Activity List CSI'!$D$4:$J$146,'Mat. List CSI'!G$1,0)</f>
        <v>15</v>
      </c>
      <c r="H316" s="1" t="str">
        <f>VLOOKUP($E316,'Activity List CSI'!$D$4:$J$146,'Mat. List CSI'!H$1,0)</f>
        <v>Mechanical Work</v>
      </c>
      <c r="I316" s="1" t="str">
        <f>VLOOKUP(D316,'Activity List CSI'!$C$4:$H$146,6,0)</f>
        <v>15200</v>
      </c>
      <c r="J316" s="1" t="str">
        <f>VLOOKUP($E316,'Activity List CSI'!$D$4:$J$146,'Mat. List CSI'!J$1,0)</f>
        <v>Process Piping</v>
      </c>
      <c r="K316" s="1" t="s">
        <v>475</v>
      </c>
      <c r="L316" s="1">
        <v>120</v>
      </c>
      <c r="M316" s="1" t="str">
        <f t="shared" si="20"/>
        <v>15200120</v>
      </c>
      <c r="N316" s="12" t="str">
        <f t="shared" si="24"/>
        <v>15200120</v>
      </c>
    </row>
    <row r="317" spans="4:14" x14ac:dyDescent="0.25">
      <c r="D317" s="11" t="s">
        <v>302</v>
      </c>
      <c r="E317" s="134" t="str">
        <f>VLOOKUP(F317,'Activity List CSI'!$B$4:$D$146,3,0)</f>
        <v>15200-03</v>
      </c>
      <c r="F317" s="1" t="s">
        <v>297</v>
      </c>
      <c r="G317" s="1" t="str">
        <f>VLOOKUP($E317,'Activity List CSI'!$D$4:$J$146,'Mat. List CSI'!G$1,0)</f>
        <v>15</v>
      </c>
      <c r="H317" s="1" t="str">
        <f>VLOOKUP($E317,'Activity List CSI'!$D$4:$J$146,'Mat. List CSI'!H$1,0)</f>
        <v>Mechanical Work</v>
      </c>
      <c r="I317" s="1" t="str">
        <f>VLOOKUP(D317,'Activity List CSI'!$C$4:$H$146,6,0)</f>
        <v>15200</v>
      </c>
      <c r="J317" s="1" t="str">
        <f>VLOOKUP($E317,'Activity List CSI'!$D$4:$J$146,'Mat. List CSI'!J$1,0)</f>
        <v>Process Piping</v>
      </c>
      <c r="K317" s="1" t="s">
        <v>476</v>
      </c>
      <c r="L317" s="1">
        <v>125</v>
      </c>
      <c r="M317" s="1" t="str">
        <f t="shared" si="20"/>
        <v>15200125</v>
      </c>
      <c r="N317" s="12" t="str">
        <f t="shared" si="24"/>
        <v>15200125</v>
      </c>
    </row>
    <row r="318" spans="4:14" x14ac:dyDescent="0.25">
      <c r="D318" s="11" t="s">
        <v>302</v>
      </c>
      <c r="E318" s="134" t="str">
        <f>VLOOKUP(F318,'Activity List CSI'!$B$4:$D$146,3,0)</f>
        <v>15200-03</v>
      </c>
      <c r="F318" s="1" t="s">
        <v>297</v>
      </c>
      <c r="G318" s="1" t="str">
        <f>VLOOKUP($E318,'Activity List CSI'!$D$4:$J$146,'Mat. List CSI'!G$1,0)</f>
        <v>15</v>
      </c>
      <c r="H318" s="1" t="str">
        <f>VLOOKUP($E318,'Activity List CSI'!$D$4:$J$146,'Mat. List CSI'!H$1,0)</f>
        <v>Mechanical Work</v>
      </c>
      <c r="I318" s="1" t="str">
        <f>VLOOKUP(D318,'Activity List CSI'!$C$4:$H$146,6,0)</f>
        <v>15200</v>
      </c>
      <c r="J318" s="1" t="str">
        <f>VLOOKUP($E318,'Activity List CSI'!$D$4:$J$146,'Mat. List CSI'!J$1,0)</f>
        <v>Process Piping</v>
      </c>
      <c r="K318" s="1" t="s">
        <v>476</v>
      </c>
      <c r="L318" s="1">
        <v>125</v>
      </c>
      <c r="M318" s="1" t="str">
        <f t="shared" si="20"/>
        <v>15200125</v>
      </c>
      <c r="N318" s="12" t="str">
        <f t="shared" si="24"/>
        <v>15200125</v>
      </c>
    </row>
    <row r="319" spans="4:14" x14ac:dyDescent="0.25">
      <c r="D319" s="11" t="s">
        <v>303</v>
      </c>
      <c r="E319" s="134" t="str">
        <f>VLOOKUP(F319,'Activity List CSI'!$B$4:$D$146,3,0)</f>
        <v>15200-04</v>
      </c>
      <c r="F319" s="1" t="s">
        <v>298</v>
      </c>
      <c r="G319" s="1" t="str">
        <f>VLOOKUP($E319,'Activity List CSI'!$D$4:$J$146,'Mat. List CSI'!G$1,0)</f>
        <v>15</v>
      </c>
      <c r="H319" s="1" t="str">
        <f>VLOOKUP($E319,'Activity List CSI'!$D$4:$J$146,'Mat. List CSI'!H$1,0)</f>
        <v>Mechanical Work</v>
      </c>
      <c r="I319" s="1" t="str">
        <f>VLOOKUP(D319,'Activity List CSI'!$C$4:$H$146,6,0)</f>
        <v>15200</v>
      </c>
      <c r="J319" s="1" t="str">
        <f>VLOOKUP($E319,'Activity List CSI'!$D$4:$J$146,'Mat. List CSI'!J$1,0)</f>
        <v>Process Piping</v>
      </c>
      <c r="K319" s="1" t="s">
        <v>477</v>
      </c>
      <c r="L319" s="1">
        <v>130</v>
      </c>
      <c r="M319" s="1" t="str">
        <f t="shared" si="20"/>
        <v>15200130</v>
      </c>
      <c r="N319" s="12" t="str">
        <f t="shared" si="24"/>
        <v>15200130</v>
      </c>
    </row>
    <row r="320" spans="4:14" x14ac:dyDescent="0.25">
      <c r="D320" s="11" t="s">
        <v>303</v>
      </c>
      <c r="E320" s="134" t="str">
        <f>VLOOKUP(F320,'Activity List CSI'!$B$4:$D$146,3,0)</f>
        <v>15200-04</v>
      </c>
      <c r="F320" s="1" t="s">
        <v>298</v>
      </c>
      <c r="G320" s="1" t="str">
        <f>VLOOKUP($E320,'Activity List CSI'!$D$4:$J$146,'Mat. List CSI'!G$1,0)</f>
        <v>15</v>
      </c>
      <c r="H320" s="1" t="str">
        <f>VLOOKUP($E320,'Activity List CSI'!$D$4:$J$146,'Mat. List CSI'!H$1,0)</f>
        <v>Mechanical Work</v>
      </c>
      <c r="I320" s="1" t="str">
        <f>VLOOKUP(D320,'Activity List CSI'!$C$4:$H$146,6,0)</f>
        <v>15200</v>
      </c>
      <c r="J320" s="1" t="str">
        <f>VLOOKUP($E320,'Activity List CSI'!$D$4:$J$146,'Mat. List CSI'!J$1,0)</f>
        <v>Process Piping</v>
      </c>
      <c r="K320" s="1" t="s">
        <v>477</v>
      </c>
      <c r="L320" s="1">
        <v>130</v>
      </c>
      <c r="M320" s="1" t="str">
        <f t="shared" si="20"/>
        <v>15200130</v>
      </c>
      <c r="N320" s="12" t="str">
        <f t="shared" si="24"/>
        <v>15200130</v>
      </c>
    </row>
    <row r="321" spans="4:14" x14ac:dyDescent="0.25">
      <c r="D321" s="11" t="s">
        <v>304</v>
      </c>
      <c r="E321" s="134" t="str">
        <f>VLOOKUP(F321,'Activity List CSI'!$B$4:$D$146,3,0)</f>
        <v>15200-05</v>
      </c>
      <c r="F321" s="1" t="s">
        <v>299</v>
      </c>
      <c r="G321" s="1" t="str">
        <f>VLOOKUP($E321,'Activity List CSI'!$D$4:$J$146,'Mat. List CSI'!G$1,0)</f>
        <v>15</v>
      </c>
      <c r="H321" s="1" t="str">
        <f>VLOOKUP($E321,'Activity List CSI'!$D$4:$J$146,'Mat. List CSI'!H$1,0)</f>
        <v>Mechanical Work</v>
      </c>
      <c r="I321" s="1" t="str">
        <f>VLOOKUP(D321,'Activity List CSI'!$C$4:$H$146,6,0)</f>
        <v>15200</v>
      </c>
      <c r="J321" s="1" t="str">
        <f>VLOOKUP($E321,'Activity List CSI'!$D$4:$J$146,'Mat. List CSI'!J$1,0)</f>
        <v>Process Piping</v>
      </c>
      <c r="K321" s="1" t="s">
        <v>478</v>
      </c>
      <c r="L321" s="1">
        <v>135</v>
      </c>
      <c r="M321" s="1" t="str">
        <f t="shared" si="20"/>
        <v>15200135</v>
      </c>
      <c r="N321" s="12" t="str">
        <f t="shared" si="24"/>
        <v>15200135</v>
      </c>
    </row>
    <row r="322" spans="4:14" x14ac:dyDescent="0.25">
      <c r="D322" s="11" t="s">
        <v>304</v>
      </c>
      <c r="E322" s="134" t="str">
        <f>VLOOKUP(F322,'Activity List CSI'!$B$4:$D$146,3,0)</f>
        <v>15200-05</v>
      </c>
      <c r="F322" s="1" t="s">
        <v>299</v>
      </c>
      <c r="G322" s="1" t="str">
        <f>VLOOKUP($E322,'Activity List CSI'!$D$4:$J$146,'Mat. List CSI'!G$1,0)</f>
        <v>15</v>
      </c>
      <c r="H322" s="1" t="str">
        <f>VLOOKUP($E322,'Activity List CSI'!$D$4:$J$146,'Mat. List CSI'!H$1,0)</f>
        <v>Mechanical Work</v>
      </c>
      <c r="I322" s="1" t="str">
        <f>VLOOKUP(D322,'Activity List CSI'!$C$4:$H$146,6,0)</f>
        <v>15200</v>
      </c>
      <c r="J322" s="1" t="str">
        <f>VLOOKUP($E322,'Activity List CSI'!$D$4:$J$146,'Mat. List CSI'!J$1,0)</f>
        <v>Process Piping</v>
      </c>
      <c r="K322" s="1" t="s">
        <v>478</v>
      </c>
      <c r="L322" s="1">
        <v>135</v>
      </c>
      <c r="M322" s="1" t="str">
        <f t="shared" si="20"/>
        <v>15200135</v>
      </c>
      <c r="N322" s="12" t="str">
        <f t="shared" si="24"/>
        <v>15200135</v>
      </c>
    </row>
    <row r="323" spans="4:14" x14ac:dyDescent="0.25">
      <c r="D323" s="11" t="s">
        <v>409</v>
      </c>
      <c r="E323" s="134" t="str">
        <f>VLOOKUP(F323,'Activity List CSI'!$B$4:$D$146,3,0)</f>
        <v>15200-06</v>
      </c>
      <c r="F323" s="1" t="s">
        <v>410</v>
      </c>
      <c r="G323" s="1" t="str">
        <f>VLOOKUP($E323,'Activity List CSI'!$D$4:$J$146,'Mat. List CSI'!G$1,0)</f>
        <v>15</v>
      </c>
      <c r="H323" s="1" t="str">
        <f>VLOOKUP($E323,'Activity List CSI'!$D$4:$J$146,'Mat. List CSI'!H$1,0)</f>
        <v>Mechanical Work</v>
      </c>
      <c r="I323" s="1" t="str">
        <f>VLOOKUP(D323,'Activity List CSI'!$C$4:$H$146,6,0)</f>
        <v>15200</v>
      </c>
      <c r="J323" s="1" t="str">
        <f>VLOOKUP($E323,'Activity List CSI'!$D$4:$J$146,'Mat. List CSI'!J$1,0)</f>
        <v>Process Piping</v>
      </c>
      <c r="K323" s="1" t="s">
        <v>427</v>
      </c>
      <c r="L323" s="1">
        <v>125</v>
      </c>
      <c r="M323" s="13" t="str">
        <f t="shared" si="20"/>
        <v>15200125</v>
      </c>
      <c r="N323" s="12" t="str">
        <f>M33</f>
        <v>03300125</v>
      </c>
    </row>
    <row r="324" spans="4:14" x14ac:dyDescent="0.25">
      <c r="D324" s="11" t="s">
        <v>409</v>
      </c>
      <c r="E324" s="134" t="str">
        <f>VLOOKUP(F324,'Activity List CSI'!$B$4:$D$146,3,0)</f>
        <v>15200-06</v>
      </c>
      <c r="F324" s="1" t="s">
        <v>410</v>
      </c>
      <c r="G324" s="1" t="str">
        <f>VLOOKUP($E324,'Activity List CSI'!$D$4:$J$146,'Mat. List CSI'!G$1,0)</f>
        <v>15</v>
      </c>
      <c r="H324" s="1" t="str">
        <f>VLOOKUP($E324,'Activity List CSI'!$D$4:$J$146,'Mat. List CSI'!H$1,0)</f>
        <v>Mechanical Work</v>
      </c>
      <c r="I324" s="1" t="str">
        <f>VLOOKUP(D324,'Activity List CSI'!$C$4:$H$146,6,0)</f>
        <v>15200</v>
      </c>
      <c r="J324" s="1" t="str">
        <f>VLOOKUP($E324,'Activity List CSI'!$D$4:$J$146,'Mat. List CSI'!J$1,0)</f>
        <v>Process Piping</v>
      </c>
      <c r="K324" s="1" t="s">
        <v>479</v>
      </c>
      <c r="L324" s="1">
        <v>140</v>
      </c>
      <c r="M324" s="1" t="str">
        <f t="shared" ref="M324:M341" si="25">I324&amp;L324</f>
        <v>15200140</v>
      </c>
      <c r="N324" s="12" t="str">
        <f t="shared" ref="N324:N341" si="26">M324</f>
        <v>15200140</v>
      </c>
    </row>
    <row r="325" spans="4:14" x14ac:dyDescent="0.25">
      <c r="D325" s="11" t="s">
        <v>409</v>
      </c>
      <c r="E325" s="134" t="str">
        <f>VLOOKUP(F325,'Activity List CSI'!$B$4:$D$146,3,0)</f>
        <v>15200-06</v>
      </c>
      <c r="F325" s="1" t="s">
        <v>410</v>
      </c>
      <c r="G325" s="1" t="str">
        <f>VLOOKUP($E325,'Activity List CSI'!$D$4:$J$146,'Mat. List CSI'!G$1,0)</f>
        <v>15</v>
      </c>
      <c r="H325" s="1" t="str">
        <f>VLOOKUP($E325,'Activity List CSI'!$D$4:$J$146,'Mat. List CSI'!H$1,0)</f>
        <v>Mechanical Work</v>
      </c>
      <c r="I325" s="1" t="str">
        <f>VLOOKUP(D325,'Activity List CSI'!$C$4:$H$146,6,0)</f>
        <v>15200</v>
      </c>
      <c r="J325" s="1" t="str">
        <f>VLOOKUP($E325,'Activity List CSI'!$D$4:$J$146,'Mat. List CSI'!J$1,0)</f>
        <v>Process Piping</v>
      </c>
      <c r="K325" s="1" t="s">
        <v>480</v>
      </c>
      <c r="L325" s="1">
        <v>145</v>
      </c>
      <c r="M325" s="1" t="str">
        <f t="shared" si="25"/>
        <v>15200145</v>
      </c>
      <c r="N325" s="12" t="str">
        <f t="shared" si="26"/>
        <v>15200145</v>
      </c>
    </row>
    <row r="326" spans="4:14" x14ac:dyDescent="0.25">
      <c r="D326" s="11" t="s">
        <v>409</v>
      </c>
      <c r="E326" s="134" t="str">
        <f>VLOOKUP(F326,'Activity List CSI'!$B$4:$D$146,3,0)</f>
        <v>15200-06</v>
      </c>
      <c r="F326" s="1" t="s">
        <v>410</v>
      </c>
      <c r="G326" s="1" t="str">
        <f>VLOOKUP($E326,'Activity List CSI'!$D$4:$J$146,'Mat. List CSI'!G$1,0)</f>
        <v>15</v>
      </c>
      <c r="H326" s="1" t="str">
        <f>VLOOKUP($E326,'Activity List CSI'!$D$4:$J$146,'Mat. List CSI'!H$1,0)</f>
        <v>Mechanical Work</v>
      </c>
      <c r="I326" s="1" t="str">
        <f>VLOOKUP(D326,'Activity List CSI'!$C$4:$H$146,6,0)</f>
        <v>15200</v>
      </c>
      <c r="J326" s="1" t="str">
        <f>VLOOKUP($E326,'Activity List CSI'!$D$4:$J$146,'Mat. List CSI'!J$1,0)</f>
        <v>Process Piping</v>
      </c>
      <c r="K326" s="1" t="s">
        <v>479</v>
      </c>
      <c r="L326" s="1">
        <v>140</v>
      </c>
      <c r="M326" s="1" t="str">
        <f t="shared" si="25"/>
        <v>15200140</v>
      </c>
      <c r="N326" s="12" t="str">
        <f t="shared" si="26"/>
        <v>15200140</v>
      </c>
    </row>
    <row r="327" spans="4:14" x14ac:dyDescent="0.25">
      <c r="D327" s="11" t="s">
        <v>409</v>
      </c>
      <c r="E327" s="134" t="str">
        <f>VLOOKUP(F327,'Activity List CSI'!$B$4:$D$146,3,0)</f>
        <v>15200-06</v>
      </c>
      <c r="F327" s="1" t="s">
        <v>410</v>
      </c>
      <c r="G327" s="1" t="str">
        <f>VLOOKUP($E327,'Activity List CSI'!$D$4:$J$146,'Mat. List CSI'!G$1,0)</f>
        <v>15</v>
      </c>
      <c r="H327" s="1" t="str">
        <f>VLOOKUP($E327,'Activity List CSI'!$D$4:$J$146,'Mat. List CSI'!H$1,0)</f>
        <v>Mechanical Work</v>
      </c>
      <c r="I327" s="1" t="str">
        <f>VLOOKUP(D327,'Activity List CSI'!$C$4:$H$146,6,0)</f>
        <v>15200</v>
      </c>
      <c r="J327" s="1" t="str">
        <f>VLOOKUP($E327,'Activity List CSI'!$D$4:$J$146,'Mat. List CSI'!J$1,0)</f>
        <v>Process Piping</v>
      </c>
      <c r="K327" s="1" t="s">
        <v>480</v>
      </c>
      <c r="L327" s="1">
        <v>145</v>
      </c>
      <c r="M327" s="1" t="str">
        <f t="shared" si="25"/>
        <v>15200145</v>
      </c>
      <c r="N327" s="12" t="str">
        <f t="shared" si="26"/>
        <v>15200145</v>
      </c>
    </row>
    <row r="328" spans="4:14" x14ac:dyDescent="0.25">
      <c r="D328" s="11"/>
      <c r="E328" s="134"/>
      <c r="F328" s="1" t="s">
        <v>481</v>
      </c>
      <c r="G328" s="2" t="s">
        <v>217</v>
      </c>
      <c r="H328" s="1" t="str">
        <f>VLOOKUP(G328,$G$4:$H$327,2)</f>
        <v>EarthWork</v>
      </c>
      <c r="I328" s="2" t="s">
        <v>312</v>
      </c>
      <c r="J328" s="1" t="str">
        <f>F328</f>
        <v>Bases, Ballast , Pavement &amp;Appurrtenances</v>
      </c>
      <c r="K328" s="1" t="s">
        <v>482</v>
      </c>
      <c r="L328" s="1">
        <v>140</v>
      </c>
      <c r="M328" s="1" t="str">
        <f t="shared" si="25"/>
        <v>02700140</v>
      </c>
      <c r="N328" s="12" t="str">
        <f t="shared" si="26"/>
        <v>02700140</v>
      </c>
    </row>
    <row r="329" spans="4:14" x14ac:dyDescent="0.25">
      <c r="D329" s="11"/>
      <c r="E329" s="134"/>
      <c r="F329" s="1" t="s">
        <v>481</v>
      </c>
      <c r="G329" s="2" t="s">
        <v>217</v>
      </c>
      <c r="H329" s="1" t="str">
        <f t="shared" ref="H329:H341" si="27">VLOOKUP(G329,$G$4:$H$327,2)</f>
        <v>EarthWork</v>
      </c>
      <c r="I329" s="2" t="s">
        <v>312</v>
      </c>
      <c r="J329" s="2" t="str">
        <f t="shared" ref="J329:J341" si="28">F329</f>
        <v>Bases, Ballast , Pavement &amp;Appurrtenances</v>
      </c>
      <c r="K329" s="1" t="s">
        <v>483</v>
      </c>
      <c r="L329" s="1">
        <v>145</v>
      </c>
      <c r="M329" s="1" t="str">
        <f t="shared" si="25"/>
        <v>02700145</v>
      </c>
      <c r="N329" s="12" t="str">
        <f t="shared" si="26"/>
        <v>02700145</v>
      </c>
    </row>
    <row r="330" spans="4:14" x14ac:dyDescent="0.25">
      <c r="D330" s="11"/>
      <c r="E330" s="134"/>
      <c r="F330" s="1" t="s">
        <v>484</v>
      </c>
      <c r="G330" s="2" t="s">
        <v>220</v>
      </c>
      <c r="H330" s="1" t="str">
        <f t="shared" si="27"/>
        <v>BlockWork</v>
      </c>
      <c r="I330" s="2" t="s">
        <v>485</v>
      </c>
      <c r="J330" s="2" t="str">
        <f t="shared" si="28"/>
        <v>Expansion Control</v>
      </c>
      <c r="K330" s="1" t="s">
        <v>486</v>
      </c>
      <c r="L330" s="1">
        <v>105</v>
      </c>
      <c r="M330" s="1" t="str">
        <f t="shared" si="25"/>
        <v>05800105</v>
      </c>
      <c r="N330" s="12" t="str">
        <f t="shared" si="26"/>
        <v>05800105</v>
      </c>
    </row>
    <row r="331" spans="4:14" x14ac:dyDescent="0.25">
      <c r="D331" s="11"/>
      <c r="E331" s="134"/>
      <c r="F331" s="1" t="s">
        <v>337</v>
      </c>
      <c r="G331" s="2" t="s">
        <v>221</v>
      </c>
      <c r="H331" s="1" t="str">
        <f t="shared" si="27"/>
        <v>BlockWork</v>
      </c>
      <c r="I331" s="2" t="s">
        <v>336</v>
      </c>
      <c r="J331" s="2" t="str">
        <f t="shared" si="28"/>
        <v>Architectural Wood work</v>
      </c>
      <c r="K331" s="1" t="s">
        <v>487</v>
      </c>
      <c r="L331" s="1">
        <v>105</v>
      </c>
      <c r="M331" s="1" t="str">
        <f t="shared" si="25"/>
        <v>06400105</v>
      </c>
      <c r="N331" s="12" t="str">
        <f t="shared" si="26"/>
        <v>06400105</v>
      </c>
    </row>
    <row r="332" spans="4:14" x14ac:dyDescent="0.25">
      <c r="D332" s="11"/>
      <c r="E332" s="134"/>
      <c r="F332" s="1" t="s">
        <v>488</v>
      </c>
      <c r="G332" s="2" t="s">
        <v>224</v>
      </c>
      <c r="H332" s="1" t="str">
        <f t="shared" si="27"/>
        <v>Finishing</v>
      </c>
      <c r="I332" s="2" t="s">
        <v>489</v>
      </c>
      <c r="J332" s="2" t="str">
        <f t="shared" si="28"/>
        <v>Terrazzo</v>
      </c>
      <c r="K332" s="1" t="s">
        <v>490</v>
      </c>
      <c r="L332" s="1">
        <v>105</v>
      </c>
      <c r="M332" s="1" t="str">
        <f t="shared" si="25"/>
        <v>09400105</v>
      </c>
      <c r="N332" s="12" t="str">
        <f t="shared" si="26"/>
        <v>09400105</v>
      </c>
    </row>
    <row r="333" spans="4:14" x14ac:dyDescent="0.25">
      <c r="D333" s="11"/>
      <c r="E333" s="134"/>
      <c r="F333" s="1" t="s">
        <v>491</v>
      </c>
      <c r="G333" s="2" t="s">
        <v>224</v>
      </c>
      <c r="H333" s="1" t="str">
        <f t="shared" si="27"/>
        <v>Finishing</v>
      </c>
      <c r="I333" s="2" t="s">
        <v>492</v>
      </c>
      <c r="J333" s="2" t="str">
        <f t="shared" si="28"/>
        <v>Ceilings</v>
      </c>
      <c r="K333" s="1" t="s">
        <v>493</v>
      </c>
      <c r="L333" s="1">
        <v>105</v>
      </c>
      <c r="M333" s="1" t="str">
        <f t="shared" si="25"/>
        <v>09500105</v>
      </c>
      <c r="N333" s="12" t="str">
        <f t="shared" si="26"/>
        <v>09500105</v>
      </c>
    </row>
    <row r="334" spans="4:14" x14ac:dyDescent="0.25">
      <c r="D334" s="11"/>
      <c r="E334" s="134"/>
      <c r="F334" s="1" t="s">
        <v>329</v>
      </c>
      <c r="G334" s="2" t="s">
        <v>220</v>
      </c>
      <c r="H334" s="1" t="str">
        <f t="shared" si="27"/>
        <v>BlockWork</v>
      </c>
      <c r="I334" s="2" t="s">
        <v>328</v>
      </c>
      <c r="J334" s="2" t="str">
        <f t="shared" si="28"/>
        <v>Metal Fabrication</v>
      </c>
      <c r="K334" s="1" t="s">
        <v>494</v>
      </c>
      <c r="L334" s="1">
        <v>105</v>
      </c>
      <c r="M334" s="1" t="str">
        <f t="shared" si="25"/>
        <v>05500105</v>
      </c>
      <c r="N334" s="12" t="str">
        <f t="shared" si="26"/>
        <v>05500105</v>
      </c>
    </row>
    <row r="335" spans="4:14" x14ac:dyDescent="0.25">
      <c r="D335" s="11"/>
      <c r="E335" s="134"/>
      <c r="F335" s="1" t="s">
        <v>329</v>
      </c>
      <c r="G335" s="2" t="s">
        <v>220</v>
      </c>
      <c r="H335" s="1" t="str">
        <f t="shared" si="27"/>
        <v>BlockWork</v>
      </c>
      <c r="I335" s="2" t="s">
        <v>328</v>
      </c>
      <c r="J335" s="2" t="str">
        <f t="shared" si="28"/>
        <v>Metal Fabrication</v>
      </c>
      <c r="K335" s="1" t="s">
        <v>495</v>
      </c>
      <c r="L335" s="1">
        <v>110</v>
      </c>
      <c r="M335" s="1" t="str">
        <f t="shared" si="25"/>
        <v>05500110</v>
      </c>
      <c r="N335" s="12" t="str">
        <f t="shared" si="26"/>
        <v>05500110</v>
      </c>
    </row>
    <row r="336" spans="4:14" x14ac:dyDescent="0.25">
      <c r="D336" s="11"/>
      <c r="E336" s="134"/>
      <c r="F336" s="1" t="s">
        <v>491</v>
      </c>
      <c r="G336" s="2" t="s">
        <v>224</v>
      </c>
      <c r="H336" s="1" t="str">
        <f t="shared" si="27"/>
        <v>Finishing</v>
      </c>
      <c r="I336" s="2" t="s">
        <v>492</v>
      </c>
      <c r="J336" s="2" t="str">
        <f t="shared" si="28"/>
        <v>Ceilings</v>
      </c>
      <c r="K336" s="1" t="s">
        <v>496</v>
      </c>
      <c r="L336" s="1">
        <v>110</v>
      </c>
      <c r="M336" s="1" t="str">
        <f t="shared" si="25"/>
        <v>09500110</v>
      </c>
      <c r="N336" s="12" t="str">
        <f t="shared" si="26"/>
        <v>09500110</v>
      </c>
    </row>
    <row r="337" spans="4:14" x14ac:dyDescent="0.25">
      <c r="D337" s="11"/>
      <c r="E337" s="134"/>
      <c r="F337" s="1" t="s">
        <v>497</v>
      </c>
      <c r="G337" s="2" t="s">
        <v>224</v>
      </c>
      <c r="H337" s="1" t="str">
        <f t="shared" si="27"/>
        <v>Finishing</v>
      </c>
      <c r="I337" s="2" t="s">
        <v>359</v>
      </c>
      <c r="J337" s="2" t="str">
        <f t="shared" si="28"/>
        <v>Tiles</v>
      </c>
      <c r="K337" s="1" t="s">
        <v>498</v>
      </c>
      <c r="L337" s="1">
        <v>185</v>
      </c>
      <c r="M337" s="1" t="str">
        <f t="shared" si="25"/>
        <v>09300185</v>
      </c>
      <c r="N337" s="12" t="str">
        <f t="shared" si="26"/>
        <v>09300185</v>
      </c>
    </row>
    <row r="338" spans="4:14" x14ac:dyDescent="0.25">
      <c r="D338" s="11"/>
      <c r="E338" s="134"/>
      <c r="F338" s="1" t="s">
        <v>363</v>
      </c>
      <c r="G338" s="2" t="s">
        <v>224</v>
      </c>
      <c r="H338" s="1" t="str">
        <f t="shared" si="27"/>
        <v>Finishing</v>
      </c>
      <c r="I338" s="2" t="s">
        <v>362</v>
      </c>
      <c r="J338" s="2" t="str">
        <f t="shared" si="28"/>
        <v>Wall Finishes</v>
      </c>
      <c r="K338" s="1" t="s">
        <v>499</v>
      </c>
      <c r="L338" s="1">
        <v>192</v>
      </c>
      <c r="M338" s="1" t="str">
        <f t="shared" si="25"/>
        <v>09700192</v>
      </c>
      <c r="N338" s="12" t="str">
        <f t="shared" si="26"/>
        <v>09700192</v>
      </c>
    </row>
    <row r="339" spans="4:14" x14ac:dyDescent="0.25">
      <c r="D339" s="11"/>
      <c r="E339" s="134"/>
      <c r="F339" s="1" t="s">
        <v>500</v>
      </c>
      <c r="G339" s="2" t="s">
        <v>225</v>
      </c>
      <c r="H339" s="1" t="str">
        <f t="shared" si="27"/>
        <v>Finishing</v>
      </c>
      <c r="I339" s="2" t="s">
        <v>501</v>
      </c>
      <c r="J339" s="2" t="str">
        <f t="shared" si="28"/>
        <v>Telephone Specialties</v>
      </c>
      <c r="K339" s="1" t="s">
        <v>502</v>
      </c>
      <c r="L339" s="1">
        <v>105</v>
      </c>
      <c r="M339" s="1" t="str">
        <f t="shared" si="25"/>
        <v>10750105</v>
      </c>
      <c r="N339" s="12" t="str">
        <f t="shared" si="26"/>
        <v>10750105</v>
      </c>
    </row>
    <row r="340" spans="4:14" x14ac:dyDescent="0.25">
      <c r="D340" s="11"/>
      <c r="E340" s="134"/>
      <c r="F340" s="1" t="s">
        <v>503</v>
      </c>
      <c r="G340" s="2" t="s">
        <v>225</v>
      </c>
      <c r="H340" s="1" t="str">
        <f t="shared" si="27"/>
        <v>Finishing</v>
      </c>
      <c r="I340" s="2" t="s">
        <v>504</v>
      </c>
      <c r="J340" s="2" t="str">
        <f t="shared" si="28"/>
        <v>WareDrobe &amp; Closet Specialties</v>
      </c>
      <c r="K340" s="1" t="s">
        <v>505</v>
      </c>
      <c r="L340" s="1">
        <v>105</v>
      </c>
      <c r="M340" s="1" t="str">
        <f t="shared" si="25"/>
        <v>10900105</v>
      </c>
      <c r="N340" s="12" t="str">
        <f t="shared" si="26"/>
        <v>10900105</v>
      </c>
    </row>
    <row r="341" spans="4:14" ht="15.75" thickBot="1" x14ac:dyDescent="0.3">
      <c r="D341" s="14"/>
      <c r="E341" s="135"/>
      <c r="F341" s="15" t="s">
        <v>506</v>
      </c>
      <c r="G341" s="16" t="s">
        <v>278</v>
      </c>
      <c r="H341" s="15" t="str">
        <f t="shared" si="27"/>
        <v>Mechanical Work</v>
      </c>
      <c r="I341" s="16" t="s">
        <v>507</v>
      </c>
      <c r="J341" s="16" t="str">
        <f t="shared" si="28"/>
        <v>Plumbing Fixtures &amp; Equipment</v>
      </c>
      <c r="K341" s="15" t="s">
        <v>508</v>
      </c>
      <c r="L341" s="15">
        <v>105</v>
      </c>
      <c r="M341" s="15" t="str">
        <f t="shared" si="25"/>
        <v>15400105</v>
      </c>
      <c r="N341" s="17" t="str">
        <f t="shared" si="26"/>
        <v>15400105</v>
      </c>
    </row>
  </sheetData>
  <autoFilter ref="D3:Q341" xr:uid="{00000000-0009-0000-0000-000003000000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2:F73"/>
  <sheetViews>
    <sheetView workbookViewId="0">
      <selection activeCell="F33" sqref="F33"/>
    </sheetView>
  </sheetViews>
  <sheetFormatPr defaultRowHeight="15" x14ac:dyDescent="0.25"/>
  <cols>
    <col min="1" max="1" width="3" customWidth="1"/>
    <col min="2" max="2" width="0" hidden="1" customWidth="1"/>
    <col min="3" max="3" width="37.42578125" customWidth="1"/>
    <col min="4" max="4" width="17.85546875" customWidth="1"/>
    <col min="5" max="5" width="13.5703125" customWidth="1"/>
    <col min="6" max="6" width="21.140625" customWidth="1"/>
    <col min="7" max="68" width="9" customWidth="1"/>
    <col min="69" max="69" width="11.28515625" bestFit="1" customWidth="1"/>
  </cols>
  <sheetData>
    <row r="2" spans="3:6" ht="27" thickBot="1" x14ac:dyDescent="0.45">
      <c r="C2" s="208" t="s">
        <v>1135</v>
      </c>
    </row>
    <row r="3" spans="3:6" ht="32.25" customHeight="1" thickBot="1" x14ac:dyDescent="0.3">
      <c r="C3" s="168" t="s">
        <v>509</v>
      </c>
      <c r="D3" s="170" t="s">
        <v>912</v>
      </c>
      <c r="E3" s="169" t="s">
        <v>511</v>
      </c>
      <c r="F3" s="169" t="s">
        <v>1233</v>
      </c>
    </row>
    <row r="4" spans="3:6" ht="20.25" customHeight="1" x14ac:dyDescent="0.25">
      <c r="C4" s="19" t="s">
        <v>416</v>
      </c>
      <c r="D4" s="20" t="str">
        <f>VLOOKUP(C4,'Mat. List CSI'!$K$4:$N$401,4,0)</f>
        <v>02100105</v>
      </c>
      <c r="E4" s="20" t="s">
        <v>514</v>
      </c>
      <c r="F4" s="20" t="s">
        <v>1234</v>
      </c>
    </row>
    <row r="5" spans="3:6" ht="20.25" customHeight="1" x14ac:dyDescent="0.25">
      <c r="C5" s="21" t="s">
        <v>413</v>
      </c>
      <c r="D5" s="22" t="str">
        <f>VLOOKUP(C5,'Mat. List CSI'!$K$4:$N$401,4,0)</f>
        <v>02300105</v>
      </c>
      <c r="E5" s="22" t="s">
        <v>1124</v>
      </c>
      <c r="F5" s="22" t="s">
        <v>1234</v>
      </c>
    </row>
    <row r="6" spans="3:6" ht="20.25" customHeight="1" x14ac:dyDescent="0.25">
      <c r="C6" s="21" t="s">
        <v>421</v>
      </c>
      <c r="D6" s="22" t="str">
        <f>VLOOKUP(C6,'Mat. List CSI'!$K$4:$N$401,4,0)</f>
        <v>02700105</v>
      </c>
      <c r="E6" s="22" t="s">
        <v>1124</v>
      </c>
      <c r="F6" s="22" t="s">
        <v>1234</v>
      </c>
    </row>
    <row r="7" spans="3:6" ht="20.25" customHeight="1" x14ac:dyDescent="0.25">
      <c r="C7" s="21" t="s">
        <v>417</v>
      </c>
      <c r="D7" s="22" t="str">
        <f>VLOOKUP(C7,'Mat. List CSI'!$K$4:$N$401,4,0)</f>
        <v>02700110</v>
      </c>
      <c r="E7" s="22" t="s">
        <v>1124</v>
      </c>
      <c r="F7" s="22" t="s">
        <v>1234</v>
      </c>
    </row>
    <row r="8" spans="3:6" ht="20.25" customHeight="1" x14ac:dyDescent="0.25">
      <c r="C8" s="21" t="s">
        <v>418</v>
      </c>
      <c r="D8" s="22" t="str">
        <f>VLOOKUP(C8,'Mat. List CSI'!$K$4:$N$401,4,0)</f>
        <v>02700115</v>
      </c>
      <c r="E8" s="22" t="s">
        <v>1124</v>
      </c>
      <c r="F8" s="22" t="s">
        <v>1234</v>
      </c>
    </row>
    <row r="9" spans="3:6" ht="20.25" customHeight="1" x14ac:dyDescent="0.25">
      <c r="C9" s="21" t="s">
        <v>419</v>
      </c>
      <c r="D9" s="22" t="str">
        <f>VLOOKUP(C9,'Mat. List CSI'!$K$4:$N$401,4,0)</f>
        <v>02700120</v>
      </c>
      <c r="E9" s="22" t="s">
        <v>1124</v>
      </c>
      <c r="F9" s="22" t="s">
        <v>1234</v>
      </c>
    </row>
    <row r="10" spans="3:6" ht="20.25" customHeight="1" x14ac:dyDescent="0.25">
      <c r="C10" s="21" t="s">
        <v>424</v>
      </c>
      <c r="D10" s="22" t="str">
        <f>VLOOKUP(C10,'Mat. List CSI'!$K$4:$N$401,4,0)</f>
        <v>02700125</v>
      </c>
      <c r="E10" s="22" t="s">
        <v>1123</v>
      </c>
      <c r="F10" s="22" t="s">
        <v>1234</v>
      </c>
    </row>
    <row r="11" spans="3:6" ht="20.25" customHeight="1" x14ac:dyDescent="0.25">
      <c r="C11" s="21" t="s">
        <v>420</v>
      </c>
      <c r="D11" s="22" t="str">
        <f>VLOOKUP(C11,'Mat. List CSI'!$K$4:$N$401,4,0)</f>
        <v>02700130</v>
      </c>
      <c r="E11" s="22" t="s">
        <v>514</v>
      </c>
      <c r="F11" s="22" t="s">
        <v>1234</v>
      </c>
    </row>
    <row r="12" spans="3:6" ht="20.25" customHeight="1" x14ac:dyDescent="0.25">
      <c r="C12" s="21" t="s">
        <v>422</v>
      </c>
      <c r="D12" s="22" t="str">
        <f>VLOOKUP(C12,'Mat. List CSI'!$K$4:$N$401,4,0)</f>
        <v>02700135</v>
      </c>
      <c r="E12" s="22" t="s">
        <v>514</v>
      </c>
      <c r="F12" s="22" t="s">
        <v>1234</v>
      </c>
    </row>
    <row r="13" spans="3:6" ht="20.25" customHeight="1" x14ac:dyDescent="0.25">
      <c r="C13" s="21" t="s">
        <v>482</v>
      </c>
      <c r="D13" s="22" t="str">
        <f>VLOOKUP(C13,'Mat. List CSI'!$K$4:$N$401,4,0)</f>
        <v>02700140</v>
      </c>
      <c r="E13" s="22" t="s">
        <v>1125</v>
      </c>
      <c r="F13" s="22" t="s">
        <v>1234</v>
      </c>
    </row>
    <row r="14" spans="3:6" ht="20.25" customHeight="1" x14ac:dyDescent="0.25">
      <c r="C14" s="21" t="s">
        <v>483</v>
      </c>
      <c r="D14" s="22" t="str">
        <f>VLOOKUP(C14,'Mat. List CSI'!$K$4:$N$401,4,0)</f>
        <v>02700145</v>
      </c>
      <c r="E14" s="22" t="s">
        <v>1125</v>
      </c>
      <c r="F14" s="22" t="s">
        <v>1234</v>
      </c>
    </row>
    <row r="15" spans="3:6" ht="20.25" customHeight="1" x14ac:dyDescent="0.25">
      <c r="C15" s="21" t="s">
        <v>429</v>
      </c>
      <c r="D15" s="22" t="str">
        <f>VLOOKUP(C15,'Mat. List CSI'!$K$4:$N$401,4,0)</f>
        <v>03300105</v>
      </c>
      <c r="E15" s="22" t="s">
        <v>514</v>
      </c>
      <c r="F15" s="22" t="s">
        <v>1234</v>
      </c>
    </row>
    <row r="16" spans="3:6" ht="20.25" customHeight="1" x14ac:dyDescent="0.25">
      <c r="C16" s="21" t="s">
        <v>431</v>
      </c>
      <c r="D16" s="22" t="str">
        <f>VLOOKUP(C16,'Mat. List CSI'!$K$4:$N$401,4,0)</f>
        <v>03300110</v>
      </c>
      <c r="E16" s="22" t="s">
        <v>1125</v>
      </c>
      <c r="F16" s="22" t="s">
        <v>1234</v>
      </c>
    </row>
    <row r="17" spans="3:6" ht="20.25" customHeight="1" x14ac:dyDescent="0.25">
      <c r="C17" s="21" t="s">
        <v>430</v>
      </c>
      <c r="D17" s="22" t="str">
        <f>VLOOKUP(C17,'Mat. List CSI'!$K$4:$N$401,4,0)</f>
        <v>03300115</v>
      </c>
      <c r="E17" s="22" t="s">
        <v>1124</v>
      </c>
      <c r="F17" s="22" t="s">
        <v>1234</v>
      </c>
    </row>
    <row r="18" spans="3:6" ht="20.25" customHeight="1" x14ac:dyDescent="0.25">
      <c r="C18" s="21" t="s">
        <v>433</v>
      </c>
      <c r="D18" s="22" t="str">
        <f>VLOOKUP(C18,'Mat. List CSI'!$K$4:$N$401,4,0)</f>
        <v>03300120</v>
      </c>
      <c r="E18" s="22" t="s">
        <v>512</v>
      </c>
      <c r="F18" s="22" t="s">
        <v>1234</v>
      </c>
    </row>
    <row r="19" spans="3:6" ht="20.25" customHeight="1" x14ac:dyDescent="0.25">
      <c r="C19" s="21" t="s">
        <v>427</v>
      </c>
      <c r="D19" s="22" t="str">
        <f>VLOOKUP(C19,'Mat. List CSI'!$K$4:$N$401,4,0)</f>
        <v>03300125</v>
      </c>
      <c r="E19" s="22" t="s">
        <v>1124</v>
      </c>
      <c r="F19" s="22" t="s">
        <v>1234</v>
      </c>
    </row>
    <row r="20" spans="3:6" ht="20.25" customHeight="1" x14ac:dyDescent="0.25">
      <c r="C20" s="21" t="s">
        <v>428</v>
      </c>
      <c r="D20" s="22" t="str">
        <f>VLOOKUP(C20,'Mat. List CSI'!$K$4:$N$401,4,0)</f>
        <v>03300130</v>
      </c>
      <c r="E20" s="22" t="s">
        <v>1124</v>
      </c>
      <c r="F20" s="22" t="s">
        <v>1234</v>
      </c>
    </row>
    <row r="21" spans="3:6" ht="20.25" customHeight="1" x14ac:dyDescent="0.25">
      <c r="C21" s="21" t="s">
        <v>432</v>
      </c>
      <c r="D21" s="22" t="str">
        <f>VLOOKUP(C21,'Mat. List CSI'!$K$4:$N$401,4,0)</f>
        <v>03300135</v>
      </c>
      <c r="E21" s="22" t="s">
        <v>516</v>
      </c>
      <c r="F21" s="22" t="s">
        <v>1234</v>
      </c>
    </row>
    <row r="22" spans="3:6" ht="20.25" customHeight="1" x14ac:dyDescent="0.25">
      <c r="C22" s="21" t="s">
        <v>434</v>
      </c>
      <c r="D22" s="22" t="str">
        <f>VLOOKUP(C22,'Mat. List CSI'!$K$4:$N$401,4,0)</f>
        <v>03400105</v>
      </c>
      <c r="E22" s="22" t="s">
        <v>1125</v>
      </c>
      <c r="F22" s="22" t="s">
        <v>1234</v>
      </c>
    </row>
    <row r="23" spans="3:6" ht="20.25" customHeight="1" x14ac:dyDescent="0.25">
      <c r="C23" s="21" t="s">
        <v>436</v>
      </c>
      <c r="D23" s="22" t="str">
        <f>VLOOKUP(C23,'Mat. List CSI'!$K$4:$N$401,4,0)</f>
        <v>03400110</v>
      </c>
      <c r="E23" s="22" t="s">
        <v>512</v>
      </c>
      <c r="F23" s="22" t="s">
        <v>1234</v>
      </c>
    </row>
    <row r="24" spans="3:6" ht="20.25" customHeight="1" x14ac:dyDescent="0.25">
      <c r="C24" s="21" t="s">
        <v>442</v>
      </c>
      <c r="D24" s="22" t="str">
        <f>VLOOKUP(C24,'Mat. List CSI'!$K$4:$N$401,4,0)</f>
        <v>04200110</v>
      </c>
      <c r="E24" s="22" t="s">
        <v>1124</v>
      </c>
      <c r="F24" s="22" t="s">
        <v>1234</v>
      </c>
    </row>
    <row r="25" spans="3:6" ht="20.25" customHeight="1" x14ac:dyDescent="0.25">
      <c r="C25" s="21" t="s">
        <v>438</v>
      </c>
      <c r="D25" s="22" t="str">
        <f>VLOOKUP(C25,'Mat. List CSI'!$K$4:$N$401,4,0)</f>
        <v>04200115</v>
      </c>
      <c r="E25" s="22" t="s">
        <v>512</v>
      </c>
      <c r="F25" s="22" t="s">
        <v>1234</v>
      </c>
    </row>
    <row r="26" spans="3:6" ht="20.25" customHeight="1" x14ac:dyDescent="0.25">
      <c r="C26" s="21" t="s">
        <v>439</v>
      </c>
      <c r="D26" s="22" t="str">
        <f>VLOOKUP(C26,'Mat. List CSI'!$K$4:$N$401,4,0)</f>
        <v>04200125</v>
      </c>
      <c r="E26" s="22" t="s">
        <v>517</v>
      </c>
      <c r="F26" s="22" t="s">
        <v>1234</v>
      </c>
    </row>
    <row r="27" spans="3:6" ht="20.25" customHeight="1" x14ac:dyDescent="0.25">
      <c r="C27" s="21" t="s">
        <v>443</v>
      </c>
      <c r="D27" s="22" t="str">
        <f>VLOOKUP(C27,'Mat. List CSI'!$K$4:$N$401,4,0)</f>
        <v>04400105</v>
      </c>
      <c r="E27" s="22" t="s">
        <v>512</v>
      </c>
      <c r="F27" s="22" t="s">
        <v>1234</v>
      </c>
    </row>
    <row r="28" spans="3:6" ht="20.25" customHeight="1" x14ac:dyDescent="0.25">
      <c r="C28" s="21" t="s">
        <v>494</v>
      </c>
      <c r="D28" s="22" t="str">
        <f>VLOOKUP(C28,'Mat. List CSI'!$K$4:$N$401,4,0)</f>
        <v>05500105</v>
      </c>
      <c r="E28" s="22" t="s">
        <v>1125</v>
      </c>
      <c r="F28" s="22" t="s">
        <v>1234</v>
      </c>
    </row>
    <row r="29" spans="3:6" ht="20.25" customHeight="1" x14ac:dyDescent="0.25">
      <c r="C29" s="21" t="s">
        <v>495</v>
      </c>
      <c r="D29" s="22" t="str">
        <f>VLOOKUP(C29,'Mat. List CSI'!$K$4:$N$401,4,0)</f>
        <v>05500110</v>
      </c>
      <c r="E29" s="22" t="s">
        <v>512</v>
      </c>
      <c r="F29" s="22" t="s">
        <v>1234</v>
      </c>
    </row>
    <row r="30" spans="3:6" ht="20.25" customHeight="1" x14ac:dyDescent="0.25">
      <c r="C30" s="21" t="s">
        <v>426</v>
      </c>
      <c r="D30" s="22" t="str">
        <f>VLOOKUP(C30,'Mat. List CSI'!$K$4:$N$401,4,0)</f>
        <v>05650105</v>
      </c>
      <c r="E30" s="22" t="s">
        <v>1123</v>
      </c>
      <c r="F30" s="22" t="s">
        <v>1234</v>
      </c>
    </row>
    <row r="31" spans="3:6" ht="20.25" customHeight="1" x14ac:dyDescent="0.25">
      <c r="C31" s="21" t="s">
        <v>486</v>
      </c>
      <c r="D31" s="22" t="str">
        <f>VLOOKUP(C31,'Mat. List CSI'!$K$4:$N$401,4,0)</f>
        <v>05800105</v>
      </c>
      <c r="E31" s="22" t="s">
        <v>512</v>
      </c>
      <c r="F31" s="22" t="s">
        <v>1234</v>
      </c>
    </row>
    <row r="32" spans="3:6" ht="20.25" customHeight="1" x14ac:dyDescent="0.25">
      <c r="C32" s="21" t="s">
        <v>487</v>
      </c>
      <c r="D32" s="22" t="str">
        <f>VLOOKUP(C32,'Mat. List CSI'!$K$4:$N$401,4,0)</f>
        <v>06400105</v>
      </c>
      <c r="E32" s="22" t="s">
        <v>512</v>
      </c>
      <c r="F32" s="22" t="s">
        <v>1234</v>
      </c>
    </row>
    <row r="33" spans="3:6" ht="20.25" customHeight="1" x14ac:dyDescent="0.25">
      <c r="C33" s="21" t="s">
        <v>444</v>
      </c>
      <c r="D33" s="22" t="str">
        <f>VLOOKUP(C33,'Mat. List CSI'!$K$4:$N$401,4,0)</f>
        <v>07100105</v>
      </c>
      <c r="E33" s="22" t="s">
        <v>516</v>
      </c>
      <c r="F33" s="22" t="s">
        <v>1234</v>
      </c>
    </row>
    <row r="34" spans="3:6" ht="20.25" customHeight="1" x14ac:dyDescent="0.25">
      <c r="C34" s="21" t="s">
        <v>445</v>
      </c>
      <c r="D34" s="22" t="str">
        <f>VLOOKUP(C34,'Mat. List CSI'!$K$4:$N$401,4,0)</f>
        <v>07100110</v>
      </c>
      <c r="E34" s="22" t="s">
        <v>1125</v>
      </c>
      <c r="F34" s="22" t="s">
        <v>1234</v>
      </c>
    </row>
    <row r="35" spans="3:6" ht="20.25" customHeight="1" x14ac:dyDescent="0.25">
      <c r="C35" s="21" t="s">
        <v>446</v>
      </c>
      <c r="D35" s="22" t="str">
        <f>VLOOKUP(C35,'Mat. List CSI'!$K$4:$N$401,4,0)</f>
        <v>07100115</v>
      </c>
      <c r="E35" s="22" t="s">
        <v>1125</v>
      </c>
      <c r="F35" s="22" t="s">
        <v>1234</v>
      </c>
    </row>
    <row r="36" spans="3:6" ht="20.25" customHeight="1" x14ac:dyDescent="0.25">
      <c r="C36" s="21" t="s">
        <v>449</v>
      </c>
      <c r="D36" s="22" t="str">
        <f>VLOOKUP(C36,'Mat. List CSI'!$K$4:$N$401,4,0)</f>
        <v>07200105</v>
      </c>
      <c r="E36" s="22" t="s">
        <v>1124</v>
      </c>
      <c r="F36" s="22" t="s">
        <v>1234</v>
      </c>
    </row>
    <row r="37" spans="3:6" ht="20.25" customHeight="1" x14ac:dyDescent="0.25">
      <c r="C37" s="21" t="s">
        <v>447</v>
      </c>
      <c r="D37" s="22" t="str">
        <f>VLOOKUP(C37,'Mat. List CSI'!$K$4:$N$401,4,0)</f>
        <v>07200110</v>
      </c>
      <c r="E37" s="22" t="s">
        <v>1125</v>
      </c>
      <c r="F37" s="22" t="s">
        <v>1234</v>
      </c>
    </row>
    <row r="38" spans="3:6" ht="20.25" customHeight="1" x14ac:dyDescent="0.25">
      <c r="C38" s="21" t="s">
        <v>440</v>
      </c>
      <c r="D38" s="22" t="str">
        <f>VLOOKUP(C38,'Mat. List CSI'!$K$4:$N$401,4,0)</f>
        <v>09200105</v>
      </c>
      <c r="E38" s="22" t="s">
        <v>518</v>
      </c>
      <c r="F38" s="22" t="s">
        <v>1234</v>
      </c>
    </row>
    <row r="39" spans="3:6" ht="20.25" customHeight="1" x14ac:dyDescent="0.25">
      <c r="C39" s="21" t="s">
        <v>463</v>
      </c>
      <c r="D39" s="22" t="str">
        <f>VLOOKUP(C39,'Mat. List CSI'!$K$4:$N$401,4,0)</f>
        <v>09200110</v>
      </c>
      <c r="E39" s="22" t="s">
        <v>1125</v>
      </c>
      <c r="F39" s="22" t="s">
        <v>1234</v>
      </c>
    </row>
    <row r="40" spans="3:6" ht="20.25" customHeight="1" x14ac:dyDescent="0.25">
      <c r="C40" s="21" t="s">
        <v>190</v>
      </c>
      <c r="D40" s="22" t="str">
        <f>VLOOKUP(C40,'Mat. List CSI'!$K$4:$N$401,4,0)</f>
        <v>09200115</v>
      </c>
      <c r="E40" s="22" t="s">
        <v>1125</v>
      </c>
      <c r="F40" s="22" t="s">
        <v>1234</v>
      </c>
    </row>
    <row r="41" spans="3:6" ht="20.25" customHeight="1" x14ac:dyDescent="0.25">
      <c r="C41" s="21" t="s">
        <v>462</v>
      </c>
      <c r="D41" s="22" t="str">
        <f>VLOOKUP(C41,'Mat. List CSI'!$K$4:$N$401,4,0)</f>
        <v>09200120</v>
      </c>
      <c r="E41" s="22" t="s">
        <v>517</v>
      </c>
      <c r="F41" s="22" t="s">
        <v>1234</v>
      </c>
    </row>
    <row r="42" spans="3:6" ht="20.25" customHeight="1" x14ac:dyDescent="0.25">
      <c r="C42" s="21" t="s">
        <v>455</v>
      </c>
      <c r="D42" s="22" t="str">
        <f>VLOOKUP(C42,'Mat. List CSI'!$K$4:$N$401,4,0)</f>
        <v>09300105</v>
      </c>
      <c r="E42" s="22" t="s">
        <v>1125</v>
      </c>
      <c r="F42" s="22" t="s">
        <v>1234</v>
      </c>
    </row>
    <row r="43" spans="3:6" ht="20.25" customHeight="1" x14ac:dyDescent="0.25">
      <c r="C43" s="21" t="s">
        <v>456</v>
      </c>
      <c r="D43" s="22" t="str">
        <f>VLOOKUP(C43,'Mat. List CSI'!$K$4:$N$401,4,0)</f>
        <v>09300175</v>
      </c>
      <c r="E43" s="22" t="s">
        <v>1125</v>
      </c>
      <c r="F43" s="22" t="s">
        <v>1234</v>
      </c>
    </row>
    <row r="44" spans="3:6" ht="20.25" customHeight="1" x14ac:dyDescent="0.25">
      <c r="C44" s="21" t="s">
        <v>498</v>
      </c>
      <c r="D44" s="22" t="str">
        <f>VLOOKUP(C44,'Mat. List CSI'!$K$4:$N$401,4,0)</f>
        <v>09300185</v>
      </c>
      <c r="E44" s="22" t="s">
        <v>1125</v>
      </c>
      <c r="F44" s="22" t="s">
        <v>1234</v>
      </c>
    </row>
    <row r="45" spans="3:6" ht="20.25" customHeight="1" x14ac:dyDescent="0.25">
      <c r="C45" s="21" t="s">
        <v>490</v>
      </c>
      <c r="D45" s="22" t="str">
        <f>VLOOKUP(C45,'Mat. List CSI'!$K$4:$N$401,4,0)</f>
        <v>09400105</v>
      </c>
      <c r="E45" s="22" t="s">
        <v>1125</v>
      </c>
      <c r="F45" s="22" t="s">
        <v>1234</v>
      </c>
    </row>
    <row r="46" spans="3:6" ht="20.25" customHeight="1" x14ac:dyDescent="0.25">
      <c r="C46" s="21" t="s">
        <v>493</v>
      </c>
      <c r="D46" s="22" t="str">
        <f>VLOOKUP(C46,'Mat. List CSI'!$K$4:$N$401,4,0)</f>
        <v>09500105</v>
      </c>
      <c r="E46" s="22" t="s">
        <v>1125</v>
      </c>
      <c r="F46" s="22" t="s">
        <v>1234</v>
      </c>
    </row>
    <row r="47" spans="3:6" ht="20.25" customHeight="1" x14ac:dyDescent="0.25">
      <c r="C47" s="21" t="s">
        <v>496</v>
      </c>
      <c r="D47" s="22" t="str">
        <f>VLOOKUP(C47,'Mat. List CSI'!$K$4:$N$401,4,0)</f>
        <v>09500110</v>
      </c>
      <c r="E47" s="22" t="s">
        <v>1125</v>
      </c>
      <c r="F47" s="22" t="s">
        <v>1234</v>
      </c>
    </row>
    <row r="48" spans="3:6" ht="20.25" customHeight="1" x14ac:dyDescent="0.25">
      <c r="C48" s="21" t="s">
        <v>450</v>
      </c>
      <c r="D48" s="22" t="str">
        <f>VLOOKUP(C48,'Mat. List CSI'!$K$4:$N$401,4,0)</f>
        <v>09600105</v>
      </c>
      <c r="E48" s="22" t="s">
        <v>514</v>
      </c>
      <c r="F48" s="22" t="s">
        <v>1234</v>
      </c>
    </row>
    <row r="49" spans="3:6" ht="20.25" customHeight="1" x14ac:dyDescent="0.25">
      <c r="C49" s="21" t="s">
        <v>452</v>
      </c>
      <c r="D49" s="22" t="str">
        <f>VLOOKUP(C49,'Mat. List CSI'!$K$4:$N$401,4,0)</f>
        <v>09600110</v>
      </c>
      <c r="E49" s="22" t="s">
        <v>1125</v>
      </c>
      <c r="F49" s="22" t="s">
        <v>1234</v>
      </c>
    </row>
    <row r="50" spans="3:6" ht="20.25" customHeight="1" x14ac:dyDescent="0.25">
      <c r="C50" s="21" t="s">
        <v>453</v>
      </c>
      <c r="D50" s="22" t="str">
        <f>VLOOKUP(C50,'Mat. List CSI'!$K$4:$N$401,4,0)</f>
        <v>09600130</v>
      </c>
      <c r="E50" s="22" t="s">
        <v>1125</v>
      </c>
      <c r="F50" s="22" t="s">
        <v>1234</v>
      </c>
    </row>
    <row r="51" spans="3:6" ht="20.25" customHeight="1" x14ac:dyDescent="0.25">
      <c r="C51" s="21" t="s">
        <v>454</v>
      </c>
      <c r="D51" s="22" t="str">
        <f>VLOOKUP(C51,'Mat. List CSI'!$K$4:$N$401,4,0)</f>
        <v>09600160</v>
      </c>
      <c r="E51" s="22" t="s">
        <v>1125</v>
      </c>
      <c r="F51" s="22" t="s">
        <v>1234</v>
      </c>
    </row>
    <row r="52" spans="3:6" ht="20.25" customHeight="1" x14ac:dyDescent="0.25">
      <c r="C52" s="21" t="s">
        <v>166</v>
      </c>
      <c r="D52" s="22" t="str">
        <f>VLOOKUP(C52,'Mat. List CSI'!$K$4:$N$401,4,0)</f>
        <v>09600170</v>
      </c>
      <c r="E52" s="22" t="s">
        <v>1125</v>
      </c>
      <c r="F52" s="22" t="s">
        <v>1234</v>
      </c>
    </row>
    <row r="53" spans="3:6" ht="20.25" customHeight="1" x14ac:dyDescent="0.25">
      <c r="C53" s="21" t="s">
        <v>461</v>
      </c>
      <c r="D53" s="22" t="str">
        <f>VLOOKUP(C53,'Mat. List CSI'!$K$4:$N$401,4,0)</f>
        <v>09700107</v>
      </c>
      <c r="E53" s="22" t="s">
        <v>518</v>
      </c>
      <c r="F53" s="22" t="s">
        <v>1234</v>
      </c>
    </row>
    <row r="54" spans="3:6" ht="20.25" customHeight="1" x14ac:dyDescent="0.25">
      <c r="C54" s="21" t="s">
        <v>460</v>
      </c>
      <c r="D54" s="22" t="str">
        <f>VLOOKUP(C54,'Mat. List CSI'!$K$4:$N$401,4,0)</f>
        <v>09700190</v>
      </c>
      <c r="E54" s="22" t="s">
        <v>1125</v>
      </c>
      <c r="F54" s="22" t="s">
        <v>1234</v>
      </c>
    </row>
    <row r="55" spans="3:6" ht="20.25" customHeight="1" x14ac:dyDescent="0.25">
      <c r="C55" s="21" t="s">
        <v>499</v>
      </c>
      <c r="D55" s="22" t="str">
        <f>VLOOKUP(C55,'Mat. List CSI'!$K$4:$N$401,4,0)</f>
        <v>09700192</v>
      </c>
      <c r="E55" s="22" t="s">
        <v>1123</v>
      </c>
      <c r="F55" s="22" t="s">
        <v>1234</v>
      </c>
    </row>
    <row r="56" spans="3:6" ht="20.25" customHeight="1" x14ac:dyDescent="0.25">
      <c r="C56" s="21" t="s">
        <v>423</v>
      </c>
      <c r="D56" s="22" t="str">
        <f>VLOOKUP(C56,'Mat. List CSI'!$K$4:$N$401,4,0)</f>
        <v>09900105</v>
      </c>
      <c r="E56" s="22" t="s">
        <v>514</v>
      </c>
      <c r="F56" s="22" t="s">
        <v>1234</v>
      </c>
    </row>
    <row r="57" spans="3:6" ht="20.25" customHeight="1" x14ac:dyDescent="0.25">
      <c r="C57" s="21" t="s">
        <v>466</v>
      </c>
      <c r="D57" s="22" t="str">
        <f>VLOOKUP(C57,'Mat. List CSI'!$K$4:$N$401,4,0)</f>
        <v>09900110</v>
      </c>
      <c r="E57" s="22" t="s">
        <v>514</v>
      </c>
      <c r="F57" s="22" t="s">
        <v>1234</v>
      </c>
    </row>
    <row r="58" spans="3:6" ht="20.25" customHeight="1" x14ac:dyDescent="0.25">
      <c r="C58" s="21" t="s">
        <v>467</v>
      </c>
      <c r="D58" s="22" t="str">
        <f>VLOOKUP(C58,'Mat. List CSI'!$K$4:$N$401,4,0)</f>
        <v>09900115</v>
      </c>
      <c r="E58" s="22" t="s">
        <v>516</v>
      </c>
      <c r="F58" s="22" t="s">
        <v>1234</v>
      </c>
    </row>
    <row r="59" spans="3:6" ht="20.25" customHeight="1" x14ac:dyDescent="0.25">
      <c r="C59" s="21" t="s">
        <v>468</v>
      </c>
      <c r="D59" s="22" t="str">
        <f>VLOOKUP(C59,'Mat. List CSI'!$K$4:$N$401,4,0)</f>
        <v>09900130</v>
      </c>
      <c r="E59" s="22" t="s">
        <v>514</v>
      </c>
      <c r="F59" s="22" t="s">
        <v>1234</v>
      </c>
    </row>
    <row r="60" spans="3:6" ht="20.25" customHeight="1" x14ac:dyDescent="0.25">
      <c r="C60" s="21" t="s">
        <v>425</v>
      </c>
      <c r="D60" s="22" t="str">
        <f>VLOOKUP(C60,'Mat. List CSI'!$K$4:$N$401,4,0)</f>
        <v>10100105</v>
      </c>
      <c r="E60" s="22" t="s">
        <v>512</v>
      </c>
      <c r="F60" s="22" t="s">
        <v>1234</v>
      </c>
    </row>
    <row r="61" spans="3:6" ht="20.25" customHeight="1" x14ac:dyDescent="0.25">
      <c r="C61" s="21" t="s">
        <v>502</v>
      </c>
      <c r="D61" s="22" t="str">
        <f>VLOOKUP(C61,'Mat. List CSI'!$K$4:$N$401,4,0)</f>
        <v>10750105</v>
      </c>
      <c r="E61" s="22" t="s">
        <v>512</v>
      </c>
      <c r="F61" s="22" t="s">
        <v>1234</v>
      </c>
    </row>
    <row r="62" spans="3:6" ht="20.25" customHeight="1" x14ac:dyDescent="0.25">
      <c r="C62" s="21" t="s">
        <v>505</v>
      </c>
      <c r="D62" s="22" t="str">
        <f>VLOOKUP(C62,'Mat. List CSI'!$K$4:$N$401,4,0)</f>
        <v>10900105</v>
      </c>
      <c r="E62" s="22" t="s">
        <v>512</v>
      </c>
      <c r="F62" s="22" t="s">
        <v>1234</v>
      </c>
    </row>
    <row r="63" spans="3:6" ht="20.25" customHeight="1" x14ac:dyDescent="0.25">
      <c r="C63" s="21" t="s">
        <v>472</v>
      </c>
      <c r="D63" s="22" t="str">
        <f>VLOOKUP(C63,'Mat. List CSI'!$K$4:$N$401,4,0)</f>
        <v>15100105</v>
      </c>
      <c r="E63" s="22" t="s">
        <v>1123</v>
      </c>
      <c r="F63" s="22" t="s">
        <v>1234</v>
      </c>
    </row>
    <row r="64" spans="3:6" ht="20.25" customHeight="1" x14ac:dyDescent="0.25">
      <c r="C64" s="21" t="s">
        <v>473</v>
      </c>
      <c r="D64" s="22" t="str">
        <f>VLOOKUP(C64,'Mat. List CSI'!$K$4:$N$401,4,0)</f>
        <v>15100110</v>
      </c>
      <c r="E64" s="22" t="s">
        <v>512</v>
      </c>
      <c r="F64" s="22" t="s">
        <v>1234</v>
      </c>
    </row>
    <row r="65" spans="3:6" ht="20.25" customHeight="1" x14ac:dyDescent="0.25">
      <c r="C65" s="21" t="s">
        <v>414</v>
      </c>
      <c r="D65" s="22" t="str">
        <f>VLOOKUP(C65,'Mat. List CSI'!$K$4:$N$401,4,0)</f>
        <v>15100130</v>
      </c>
      <c r="E65" s="22" t="s">
        <v>1123</v>
      </c>
      <c r="F65" s="22" t="s">
        <v>1234</v>
      </c>
    </row>
    <row r="66" spans="3:6" ht="20.25" customHeight="1" x14ac:dyDescent="0.25">
      <c r="C66" s="21" t="s">
        <v>474</v>
      </c>
      <c r="D66" s="22" t="str">
        <f>VLOOKUP(C66,'Mat. List CSI'!$K$4:$N$401,4,0)</f>
        <v>15200115</v>
      </c>
      <c r="E66" s="22" t="s">
        <v>1123</v>
      </c>
      <c r="F66" s="22" t="s">
        <v>1234</v>
      </c>
    </row>
    <row r="67" spans="3:6" ht="20.25" customHeight="1" x14ac:dyDescent="0.25">
      <c r="C67" s="21" t="s">
        <v>475</v>
      </c>
      <c r="D67" s="22" t="str">
        <f>VLOOKUP(C67,'Mat. List CSI'!$K$4:$N$401,4,0)</f>
        <v>15200120</v>
      </c>
      <c r="E67" s="22" t="s">
        <v>1123</v>
      </c>
      <c r="F67" s="22" t="s">
        <v>1234</v>
      </c>
    </row>
    <row r="68" spans="3:6" ht="20.25" customHeight="1" x14ac:dyDescent="0.25">
      <c r="C68" s="21" t="s">
        <v>476</v>
      </c>
      <c r="D68" s="22" t="str">
        <f>VLOOKUP(C68,'Mat. List CSI'!$K$4:$N$401,4,0)</f>
        <v>15200125</v>
      </c>
      <c r="E68" s="22" t="s">
        <v>1123</v>
      </c>
      <c r="F68" s="22" t="s">
        <v>1234</v>
      </c>
    </row>
    <row r="69" spans="3:6" ht="20.25" customHeight="1" x14ac:dyDescent="0.25">
      <c r="C69" s="21" t="s">
        <v>477</v>
      </c>
      <c r="D69" s="22" t="str">
        <f>VLOOKUP(C69,'Mat. List CSI'!$K$4:$N$401,4,0)</f>
        <v>15200130</v>
      </c>
      <c r="E69" s="22" t="s">
        <v>1123</v>
      </c>
      <c r="F69" s="22" t="s">
        <v>1234</v>
      </c>
    </row>
    <row r="70" spans="3:6" ht="20.25" customHeight="1" x14ac:dyDescent="0.25">
      <c r="C70" s="21" t="s">
        <v>478</v>
      </c>
      <c r="D70" s="22" t="str">
        <f>VLOOKUP(C70,'Mat. List CSI'!$K$4:$N$401,4,0)</f>
        <v>15200135</v>
      </c>
      <c r="E70" s="22" t="s">
        <v>1123</v>
      </c>
      <c r="F70" s="22" t="s">
        <v>1234</v>
      </c>
    </row>
    <row r="71" spans="3:6" ht="20.25" customHeight="1" x14ac:dyDescent="0.25">
      <c r="C71" s="21" t="s">
        <v>479</v>
      </c>
      <c r="D71" s="22" t="str">
        <f>VLOOKUP(C71,'Mat. List CSI'!$K$4:$N$401,4,0)</f>
        <v>15200140</v>
      </c>
      <c r="E71" s="22" t="s">
        <v>512</v>
      </c>
      <c r="F71" s="22" t="s">
        <v>1234</v>
      </c>
    </row>
    <row r="72" spans="3:6" ht="20.25" customHeight="1" x14ac:dyDescent="0.25">
      <c r="C72" s="21" t="s">
        <v>480</v>
      </c>
      <c r="D72" s="22" t="str">
        <f>VLOOKUP(C72,'Mat. List CSI'!$K$4:$N$401,4,0)</f>
        <v>15200145</v>
      </c>
      <c r="E72" s="22" t="s">
        <v>512</v>
      </c>
      <c r="F72" s="22" t="s">
        <v>1234</v>
      </c>
    </row>
    <row r="73" spans="3:6" ht="20.25" customHeight="1" thickBot="1" x14ac:dyDescent="0.3">
      <c r="C73" s="23" t="s">
        <v>508</v>
      </c>
      <c r="D73" s="24" t="str">
        <f>VLOOKUP(C73,'Mat. List CSI'!$K$4:$N$401,4,0)</f>
        <v>15400105</v>
      </c>
      <c r="E73" s="24" t="s">
        <v>512</v>
      </c>
      <c r="F73" s="24" t="s">
        <v>1234</v>
      </c>
    </row>
  </sheetData>
  <sortState xmlns:xlrd2="http://schemas.microsoft.com/office/spreadsheetml/2017/richdata2" ref="C4:E73">
    <sortCondition ref="D4:D73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Y170"/>
  <sheetViews>
    <sheetView topLeftCell="C1" workbookViewId="0">
      <selection activeCell="F7" sqref="E6:F7"/>
    </sheetView>
  </sheetViews>
  <sheetFormatPr defaultRowHeight="15" x14ac:dyDescent="0.25"/>
  <cols>
    <col min="2" max="2" width="13.85546875" style="7" customWidth="1"/>
    <col min="3" max="3" width="20.42578125" bestFit="1" customWidth="1"/>
    <col min="4" max="4" width="17.42578125" style="7" customWidth="1"/>
    <col min="5" max="5" width="33.42578125" style="7" customWidth="1"/>
    <col min="6" max="6" width="36.28515625" bestFit="1" customWidth="1"/>
    <col min="7" max="7" width="16.42578125" style="7" customWidth="1"/>
    <col min="8" max="8" width="16.42578125" customWidth="1"/>
    <col min="10" max="25" width="15.28515625" customWidth="1"/>
  </cols>
  <sheetData>
    <row r="3" spans="2:25" ht="31.5" x14ac:dyDescent="0.5">
      <c r="B3" s="412" t="s">
        <v>1353</v>
      </c>
    </row>
    <row r="4" spans="2:25" ht="38.25" customHeight="1" x14ac:dyDescent="0.25">
      <c r="B4" s="289" t="s">
        <v>1188</v>
      </c>
      <c r="C4" s="156" t="s">
        <v>1185</v>
      </c>
      <c r="D4" s="289" t="s">
        <v>1163</v>
      </c>
      <c r="E4" s="289" t="s">
        <v>1164</v>
      </c>
      <c r="F4" s="156" t="s">
        <v>924</v>
      </c>
      <c r="G4" s="289" t="s">
        <v>911</v>
      </c>
      <c r="H4" s="156" t="s">
        <v>1231</v>
      </c>
      <c r="J4" s="158" t="s">
        <v>946</v>
      </c>
      <c r="K4" s="158" t="s">
        <v>947</v>
      </c>
      <c r="L4" s="158" t="s">
        <v>948</v>
      </c>
      <c r="M4" s="158" t="s">
        <v>949</v>
      </c>
      <c r="N4" s="158" t="s">
        <v>935</v>
      </c>
      <c r="O4" s="158" t="s">
        <v>936</v>
      </c>
      <c r="P4" s="158" t="s">
        <v>937</v>
      </c>
      <c r="Q4" s="158" t="s">
        <v>938</v>
      </c>
      <c r="R4" s="158" t="s">
        <v>939</v>
      </c>
      <c r="S4" s="158" t="s">
        <v>940</v>
      </c>
      <c r="T4" s="158" t="s">
        <v>941</v>
      </c>
      <c r="U4" s="158" t="s">
        <v>942</v>
      </c>
      <c r="V4" s="158" t="s">
        <v>943</v>
      </c>
      <c r="W4" s="158" t="s">
        <v>944</v>
      </c>
      <c r="X4" s="158" t="s">
        <v>945</v>
      </c>
      <c r="Y4" s="158" t="s">
        <v>890</v>
      </c>
    </row>
    <row r="5" spans="2:25" x14ac:dyDescent="0.25">
      <c r="B5" s="2" t="s">
        <v>402</v>
      </c>
      <c r="C5" s="1" t="s">
        <v>1184</v>
      </c>
      <c r="D5" s="2" t="s">
        <v>1162</v>
      </c>
      <c r="E5" s="2" t="s">
        <v>1165</v>
      </c>
      <c r="F5" s="1" t="s">
        <v>953</v>
      </c>
      <c r="G5" s="2" t="s">
        <v>800</v>
      </c>
      <c r="H5" s="2" t="str">
        <f t="shared" ref="H5:H36" si="0">D5&amp;G5</f>
        <v>01400005</v>
      </c>
      <c r="J5" s="288">
        <f>'Manual Manpower Database'!AJ5</f>
        <v>1590</v>
      </c>
      <c r="K5" s="288">
        <f>'Manual Manpower Database'!AK5</f>
        <v>0</v>
      </c>
      <c r="L5" s="288">
        <f>'Manual Manpower Database'!AL5</f>
        <v>0</v>
      </c>
      <c r="M5" s="288">
        <f>'Manual Manpower Database'!AM5</f>
        <v>150</v>
      </c>
      <c r="N5" s="288">
        <f>'Manual Manpower Database'!AN5</f>
        <v>66.25</v>
      </c>
      <c r="O5" s="288">
        <f>'Manual Manpower Database'!AO5</f>
        <v>0</v>
      </c>
      <c r="P5" s="288">
        <f>'Manual Manpower Database'!AP5</f>
        <v>33.125</v>
      </c>
      <c r="Q5" s="288">
        <f>'Manual Manpower Database'!AQ5</f>
        <v>31.8</v>
      </c>
      <c r="R5" s="288">
        <f>'Manual Manpower Database'!AR5</f>
        <v>125</v>
      </c>
      <c r="S5" s="288">
        <f>'Manual Manpower Database'!AS5</f>
        <v>41.666666666666664</v>
      </c>
      <c r="T5" s="288">
        <f>'Manual Manpower Database'!AT5</f>
        <v>54.166666666666664</v>
      </c>
      <c r="U5" s="288">
        <f>'Manual Manpower Database'!AU5</f>
        <v>208.33333333333334</v>
      </c>
      <c r="V5" s="288">
        <f>'Manual Manpower Database'!AV5</f>
        <v>0</v>
      </c>
      <c r="W5" s="288">
        <f>'Manual Manpower Database'!AW5</f>
        <v>8.3333333333333339</v>
      </c>
      <c r="X5" s="288">
        <f>'Manual Manpower Database'!AX5</f>
        <v>55.555555555555557</v>
      </c>
      <c r="Y5" s="288">
        <f>SUM(J5:X5)</f>
        <v>2364.2305555555558</v>
      </c>
    </row>
    <row r="6" spans="2:25" x14ac:dyDescent="0.25">
      <c r="B6" s="2" t="s">
        <v>402</v>
      </c>
      <c r="C6" s="1" t="s">
        <v>1184</v>
      </c>
      <c r="D6" s="2" t="s">
        <v>1166</v>
      </c>
      <c r="E6" s="2" t="s">
        <v>1167</v>
      </c>
      <c r="F6" s="1" t="s">
        <v>955</v>
      </c>
      <c r="G6" s="2" t="s">
        <v>798</v>
      </c>
      <c r="H6" s="1" t="str">
        <f t="shared" si="0"/>
        <v>01500003</v>
      </c>
      <c r="J6" s="288">
        <f>'Manual Manpower Database'!AJ6</f>
        <v>1083.7</v>
      </c>
      <c r="K6" s="288">
        <f>'Manual Manpower Database'!AK6</f>
        <v>0</v>
      </c>
      <c r="L6" s="288">
        <f>'Manual Manpower Database'!AL6</f>
        <v>0</v>
      </c>
      <c r="M6" s="288">
        <f>'Manual Manpower Database'!AM6</f>
        <v>200</v>
      </c>
      <c r="N6" s="288">
        <f>'Manual Manpower Database'!AN6</f>
        <v>45.154166666666669</v>
      </c>
      <c r="O6" s="288">
        <f>'Manual Manpower Database'!AO6</f>
        <v>0</v>
      </c>
      <c r="P6" s="288">
        <f>'Manual Manpower Database'!AP6</f>
        <v>22.577083333333334</v>
      </c>
      <c r="Q6" s="288">
        <f>'Manual Manpower Database'!AQ6</f>
        <v>21.674000000000003</v>
      </c>
      <c r="R6" s="288">
        <f>'Manual Manpower Database'!AR6</f>
        <v>125</v>
      </c>
      <c r="S6" s="288">
        <f>'Manual Manpower Database'!AS6</f>
        <v>41.666666666666664</v>
      </c>
      <c r="T6" s="288">
        <f>'Manual Manpower Database'!AT6</f>
        <v>54.166666666666664</v>
      </c>
      <c r="U6" s="288">
        <f>'Manual Manpower Database'!AU6</f>
        <v>208.33333333333334</v>
      </c>
      <c r="V6" s="288">
        <f>'Manual Manpower Database'!AV6</f>
        <v>0</v>
      </c>
      <c r="W6" s="288">
        <f>'Manual Manpower Database'!AW6</f>
        <v>8.3333333333333339</v>
      </c>
      <c r="X6" s="288">
        <f>'Manual Manpower Database'!AX6</f>
        <v>55.555555555555557</v>
      </c>
      <c r="Y6" s="288">
        <f t="shared" ref="Y6:Y72" si="1">SUM(J6:X6)</f>
        <v>1866.1608055555557</v>
      </c>
    </row>
    <row r="7" spans="2:25" x14ac:dyDescent="0.25">
      <c r="B7" s="2" t="s">
        <v>402</v>
      </c>
      <c r="C7" s="1" t="s">
        <v>1184</v>
      </c>
      <c r="D7" s="2" t="s">
        <v>1168</v>
      </c>
      <c r="E7" s="2" t="s">
        <v>1169</v>
      </c>
      <c r="F7" s="1" t="s">
        <v>957</v>
      </c>
      <c r="G7" s="2" t="s">
        <v>798</v>
      </c>
      <c r="H7" s="1" t="str">
        <f t="shared" si="0"/>
        <v>01700003</v>
      </c>
      <c r="J7" s="288">
        <f>'Manual Manpower Database'!AJ7</f>
        <v>2170.5555555555557</v>
      </c>
      <c r="K7" s="288">
        <f>'Manual Manpower Database'!AK7</f>
        <v>300</v>
      </c>
      <c r="L7" s="288">
        <f>'Manual Manpower Database'!AL7</f>
        <v>0</v>
      </c>
      <c r="M7" s="288">
        <f>'Manual Manpower Database'!AM7</f>
        <v>150</v>
      </c>
      <c r="N7" s="288">
        <f>'Manual Manpower Database'!AN7</f>
        <v>90.439814814814824</v>
      </c>
      <c r="O7" s="288">
        <f>'Manual Manpower Database'!AO7</f>
        <v>0</v>
      </c>
      <c r="P7" s="288">
        <f>'Manual Manpower Database'!AP7</f>
        <v>45.219907407407412</v>
      </c>
      <c r="Q7" s="288">
        <f>'Manual Manpower Database'!AQ7</f>
        <v>43.411111111111111</v>
      </c>
      <c r="R7" s="288">
        <f>'Manual Manpower Database'!AR7</f>
        <v>125</v>
      </c>
      <c r="S7" s="288">
        <f>'Manual Manpower Database'!AS7</f>
        <v>41.666666666666664</v>
      </c>
      <c r="T7" s="288">
        <f>'Manual Manpower Database'!AT7</f>
        <v>54.166666666666664</v>
      </c>
      <c r="U7" s="288">
        <f>'Manual Manpower Database'!AU7</f>
        <v>208.33333333333334</v>
      </c>
      <c r="V7" s="288">
        <f>'Manual Manpower Database'!AV7</f>
        <v>0</v>
      </c>
      <c r="W7" s="288">
        <f>'Manual Manpower Database'!AW7</f>
        <v>8.3333333333333339</v>
      </c>
      <c r="X7" s="288">
        <f>'Manual Manpower Database'!AX7</f>
        <v>55.555555555555557</v>
      </c>
      <c r="Y7" s="288">
        <f t="shared" si="1"/>
        <v>3292.6819444444445</v>
      </c>
    </row>
    <row r="8" spans="2:25" x14ac:dyDescent="0.25">
      <c r="B8" s="2" t="s">
        <v>217</v>
      </c>
      <c r="C8" s="1" t="s">
        <v>1179</v>
      </c>
      <c r="D8" s="2" t="s">
        <v>683</v>
      </c>
      <c r="E8" s="2" t="s">
        <v>680</v>
      </c>
      <c r="F8" s="1" t="s">
        <v>959</v>
      </c>
      <c r="G8" s="2" t="s">
        <v>800</v>
      </c>
      <c r="H8" s="1" t="str">
        <f t="shared" si="0"/>
        <v>02900005</v>
      </c>
      <c r="J8" s="288">
        <f>'Manual Manpower Database'!AJ8</f>
        <v>4000</v>
      </c>
      <c r="K8" s="288">
        <f>'Manual Manpower Database'!AK8</f>
        <v>400</v>
      </c>
      <c r="L8" s="288">
        <f>'Manual Manpower Database'!AL8</f>
        <v>666.66666666666663</v>
      </c>
      <c r="M8" s="288">
        <f>'Manual Manpower Database'!AM8</f>
        <v>0</v>
      </c>
      <c r="N8" s="288">
        <f>'Manual Manpower Database'!AN8</f>
        <v>166.66666666666666</v>
      </c>
      <c r="O8" s="288">
        <f>'Manual Manpower Database'!AO8</f>
        <v>0</v>
      </c>
      <c r="P8" s="288">
        <f>'Manual Manpower Database'!AP8</f>
        <v>83.333333333333329</v>
      </c>
      <c r="Q8" s="288">
        <f>'Manual Manpower Database'!AQ8</f>
        <v>93.333333333333343</v>
      </c>
      <c r="R8" s="288">
        <f>'Manual Manpower Database'!AR8</f>
        <v>125</v>
      </c>
      <c r="S8" s="288">
        <f>'Manual Manpower Database'!AS8</f>
        <v>41.666666666666664</v>
      </c>
      <c r="T8" s="288">
        <f>'Manual Manpower Database'!AT8</f>
        <v>54.166666666666664</v>
      </c>
      <c r="U8" s="288">
        <f>'Manual Manpower Database'!AU8</f>
        <v>208.33333333333334</v>
      </c>
      <c r="V8" s="288">
        <f>'Manual Manpower Database'!AV8</f>
        <v>0</v>
      </c>
      <c r="W8" s="288">
        <f>'Manual Manpower Database'!AW8</f>
        <v>8.3333333333333339</v>
      </c>
      <c r="X8" s="288">
        <f>'Manual Manpower Database'!AX8</f>
        <v>55.555555555555557</v>
      </c>
      <c r="Y8" s="288">
        <f t="shared" si="1"/>
        <v>5903.0555555555557</v>
      </c>
    </row>
    <row r="9" spans="2:25" x14ac:dyDescent="0.25">
      <c r="B9" s="2" t="s">
        <v>402</v>
      </c>
      <c r="C9" s="1" t="s">
        <v>1184</v>
      </c>
      <c r="D9" s="2" t="s">
        <v>1170</v>
      </c>
      <c r="E9" s="2" t="s">
        <v>1171</v>
      </c>
      <c r="F9" s="1" t="s">
        <v>962</v>
      </c>
      <c r="G9" s="2" t="s">
        <v>800</v>
      </c>
      <c r="H9" s="1" t="str">
        <f t="shared" si="0"/>
        <v>01800005</v>
      </c>
      <c r="J9" s="288">
        <f>'Manual Manpower Database'!AJ9</f>
        <v>1095</v>
      </c>
      <c r="K9" s="288">
        <f>'Manual Manpower Database'!AK9</f>
        <v>0</v>
      </c>
      <c r="L9" s="288">
        <f>'Manual Manpower Database'!AL9</f>
        <v>0</v>
      </c>
      <c r="M9" s="288">
        <f>'Manual Manpower Database'!AM9</f>
        <v>150</v>
      </c>
      <c r="N9" s="288">
        <f>'Manual Manpower Database'!AN9</f>
        <v>45.625</v>
      </c>
      <c r="O9" s="288">
        <f>'Manual Manpower Database'!AO9</f>
        <v>0</v>
      </c>
      <c r="P9" s="288">
        <f>'Manual Manpower Database'!AP9</f>
        <v>22.8125</v>
      </c>
      <c r="Q9" s="288">
        <f>'Manual Manpower Database'!AQ9</f>
        <v>21.900000000000002</v>
      </c>
      <c r="R9" s="288">
        <f>'Manual Manpower Database'!AR9</f>
        <v>125</v>
      </c>
      <c r="S9" s="288">
        <f>'Manual Manpower Database'!AS9</f>
        <v>41.666666666666664</v>
      </c>
      <c r="T9" s="288">
        <f>'Manual Manpower Database'!AT9</f>
        <v>54.166666666666664</v>
      </c>
      <c r="U9" s="288">
        <f>'Manual Manpower Database'!AU9</f>
        <v>208.33333333333334</v>
      </c>
      <c r="V9" s="288">
        <f>'Manual Manpower Database'!AV9</f>
        <v>0</v>
      </c>
      <c r="W9" s="288">
        <f>'Manual Manpower Database'!AW9</f>
        <v>8.3333333333333339</v>
      </c>
      <c r="X9" s="288">
        <f>'Manual Manpower Database'!AX9</f>
        <v>55.555555555555557</v>
      </c>
      <c r="Y9" s="288">
        <f t="shared" si="1"/>
        <v>1828.3930555555557</v>
      </c>
    </row>
    <row r="10" spans="2:25" x14ac:dyDescent="0.25">
      <c r="B10" s="2" t="s">
        <v>402</v>
      </c>
      <c r="C10" s="1" t="s">
        <v>1184</v>
      </c>
      <c r="D10" s="2" t="s">
        <v>1166</v>
      </c>
      <c r="E10" s="2" t="s">
        <v>1167</v>
      </c>
      <c r="F10" s="1" t="s">
        <v>965</v>
      </c>
      <c r="G10" s="2" t="s">
        <v>801</v>
      </c>
      <c r="H10" s="1" t="str">
        <f t="shared" si="0"/>
        <v>01500006</v>
      </c>
      <c r="J10" s="288">
        <f>'Manual Manpower Database'!AJ10</f>
        <v>678.14285714285711</v>
      </c>
      <c r="K10" s="288">
        <f>'Manual Manpower Database'!AK10</f>
        <v>0</v>
      </c>
      <c r="L10" s="288">
        <f>'Manual Manpower Database'!AL10</f>
        <v>0</v>
      </c>
      <c r="M10" s="288">
        <f>'Manual Manpower Database'!AM10</f>
        <v>150</v>
      </c>
      <c r="N10" s="288">
        <f>'Manual Manpower Database'!AN10</f>
        <v>28.25595238095238</v>
      </c>
      <c r="O10" s="288">
        <f>'Manual Manpower Database'!AO10</f>
        <v>0</v>
      </c>
      <c r="P10" s="288">
        <f>'Manual Manpower Database'!AP10</f>
        <v>14.12797619047619</v>
      </c>
      <c r="Q10" s="288">
        <f>'Manual Manpower Database'!AQ10</f>
        <v>13.562857142857142</v>
      </c>
      <c r="R10" s="288">
        <f>'Manual Manpower Database'!AR10</f>
        <v>125</v>
      </c>
      <c r="S10" s="288">
        <f>'Manual Manpower Database'!AS10</f>
        <v>41.666666666666664</v>
      </c>
      <c r="T10" s="288">
        <f>'Manual Manpower Database'!AT10</f>
        <v>54.166666666666664</v>
      </c>
      <c r="U10" s="288">
        <f>'Manual Manpower Database'!AU10</f>
        <v>208.33333333333334</v>
      </c>
      <c r="V10" s="288">
        <f>'Manual Manpower Database'!AV10</f>
        <v>0</v>
      </c>
      <c r="W10" s="288">
        <f>'Manual Manpower Database'!AW10</f>
        <v>8.3333333333333339</v>
      </c>
      <c r="X10" s="288">
        <f>'Manual Manpower Database'!AX10</f>
        <v>55.555555555555557</v>
      </c>
      <c r="Y10" s="288">
        <f t="shared" si="1"/>
        <v>1377.1451984126984</v>
      </c>
    </row>
    <row r="11" spans="2:25" x14ac:dyDescent="0.25">
      <c r="B11" s="2" t="s">
        <v>224</v>
      </c>
      <c r="C11" s="1" t="s">
        <v>9</v>
      </c>
      <c r="D11" s="2" t="s">
        <v>320</v>
      </c>
      <c r="E11" s="2" t="s">
        <v>1172</v>
      </c>
      <c r="F11" s="1" t="s">
        <v>967</v>
      </c>
      <c r="G11" s="2" t="s">
        <v>800</v>
      </c>
      <c r="H11" s="1" t="str">
        <f t="shared" si="0"/>
        <v>03300005</v>
      </c>
      <c r="J11" s="288">
        <f>'Manual Manpower Database'!AJ11</f>
        <v>983.10810810810813</v>
      </c>
      <c r="K11" s="288">
        <f>'Manual Manpower Database'!AK11</f>
        <v>0</v>
      </c>
      <c r="L11" s="288">
        <f>'Manual Manpower Database'!AL11</f>
        <v>0</v>
      </c>
      <c r="M11" s="288">
        <f>'Manual Manpower Database'!AM11</f>
        <v>150</v>
      </c>
      <c r="N11" s="288">
        <f>'Manual Manpower Database'!AN11</f>
        <v>40.962837837837839</v>
      </c>
      <c r="O11" s="288">
        <f>'Manual Manpower Database'!AO11</f>
        <v>0</v>
      </c>
      <c r="P11" s="288">
        <f>'Manual Manpower Database'!AP11</f>
        <v>20.481418918918919</v>
      </c>
      <c r="Q11" s="288">
        <f>'Manual Manpower Database'!AQ11</f>
        <v>19.662162162162161</v>
      </c>
      <c r="R11" s="288">
        <f>'Manual Manpower Database'!AR11</f>
        <v>125</v>
      </c>
      <c r="S11" s="288">
        <f>'Manual Manpower Database'!AS11</f>
        <v>41.666666666666664</v>
      </c>
      <c r="T11" s="288">
        <f>'Manual Manpower Database'!AT11</f>
        <v>54.166666666666664</v>
      </c>
      <c r="U11" s="288">
        <f>'Manual Manpower Database'!AU11</f>
        <v>208.33333333333334</v>
      </c>
      <c r="V11" s="288">
        <f>'Manual Manpower Database'!AV11</f>
        <v>0</v>
      </c>
      <c r="W11" s="288">
        <f>'Manual Manpower Database'!AW11</f>
        <v>8.3333333333333339</v>
      </c>
      <c r="X11" s="288">
        <f>'Manual Manpower Database'!AX11</f>
        <v>55.555555555555557</v>
      </c>
      <c r="Y11" s="288">
        <f t="shared" si="1"/>
        <v>1707.2700825825827</v>
      </c>
    </row>
    <row r="12" spans="2:25" x14ac:dyDescent="0.25">
      <c r="B12" s="2" t="s">
        <v>218</v>
      </c>
      <c r="C12" s="1" t="s">
        <v>1186</v>
      </c>
      <c r="D12" s="2" t="s">
        <v>320</v>
      </c>
      <c r="E12" s="2" t="s">
        <v>1172</v>
      </c>
      <c r="F12" s="1" t="s">
        <v>969</v>
      </c>
      <c r="G12" s="2" t="s">
        <v>1189</v>
      </c>
      <c r="H12" s="1" t="str">
        <f t="shared" si="0"/>
        <v>03300010</v>
      </c>
      <c r="J12" s="288">
        <f>'Manual Manpower Database'!AJ12</f>
        <v>894.07112616426753</v>
      </c>
      <c r="K12" s="288">
        <f>'Manual Manpower Database'!AK12</f>
        <v>0</v>
      </c>
      <c r="L12" s="288">
        <f>'Manual Manpower Database'!AL12</f>
        <v>0</v>
      </c>
      <c r="M12" s="288">
        <f>'Manual Manpower Database'!AM12</f>
        <v>250</v>
      </c>
      <c r="N12" s="288">
        <f>'Manual Manpower Database'!AN12</f>
        <v>37.252963590177814</v>
      </c>
      <c r="O12" s="288">
        <f>'Manual Manpower Database'!AO12</f>
        <v>0</v>
      </c>
      <c r="P12" s="288">
        <f>'Manual Manpower Database'!AP12</f>
        <v>18.626481795088907</v>
      </c>
      <c r="Q12" s="288">
        <f>'Manual Manpower Database'!AQ12</f>
        <v>17.881422523285352</v>
      </c>
      <c r="R12" s="288">
        <f>'Manual Manpower Database'!AR12</f>
        <v>125</v>
      </c>
      <c r="S12" s="288">
        <f>'Manual Manpower Database'!AS12</f>
        <v>41.666666666666664</v>
      </c>
      <c r="T12" s="288">
        <f>'Manual Manpower Database'!AT12</f>
        <v>54.166666666666664</v>
      </c>
      <c r="U12" s="288">
        <f>'Manual Manpower Database'!AU12</f>
        <v>208.33333333333334</v>
      </c>
      <c r="V12" s="288">
        <f>'Manual Manpower Database'!AV12</f>
        <v>0</v>
      </c>
      <c r="W12" s="288">
        <f>'Manual Manpower Database'!AW12</f>
        <v>8.3333333333333339</v>
      </c>
      <c r="X12" s="288">
        <f>'Manual Manpower Database'!AX12</f>
        <v>55.555555555555557</v>
      </c>
      <c r="Y12" s="288">
        <f t="shared" si="1"/>
        <v>1710.8875496283754</v>
      </c>
    </row>
    <row r="13" spans="2:25" x14ac:dyDescent="0.25">
      <c r="B13" s="2" t="s">
        <v>279</v>
      </c>
      <c r="C13" s="1" t="s">
        <v>990</v>
      </c>
      <c r="D13" s="2" t="s">
        <v>1173</v>
      </c>
      <c r="E13" s="2" t="s">
        <v>1174</v>
      </c>
      <c r="F13" s="1" t="s">
        <v>972</v>
      </c>
      <c r="G13" s="2" t="s">
        <v>800</v>
      </c>
      <c r="H13" s="1" t="str">
        <f t="shared" si="0"/>
        <v>16700005</v>
      </c>
      <c r="J13" s="288">
        <f>'Manual Manpower Database'!AJ13</f>
        <v>4121.4285714285716</v>
      </c>
      <c r="K13" s="288">
        <f>'Manual Manpower Database'!AK13</f>
        <v>400</v>
      </c>
      <c r="L13" s="288">
        <f>'Manual Manpower Database'!AL13</f>
        <v>0</v>
      </c>
      <c r="M13" s="288">
        <f>'Manual Manpower Database'!AM13</f>
        <v>0</v>
      </c>
      <c r="N13" s="288">
        <f>'Manual Manpower Database'!AN13</f>
        <v>171.72619047619048</v>
      </c>
      <c r="O13" s="288">
        <f>'Manual Manpower Database'!AO13</f>
        <v>0</v>
      </c>
      <c r="P13" s="288">
        <f>'Manual Manpower Database'!AP13</f>
        <v>85.863095238095241</v>
      </c>
      <c r="Q13" s="288">
        <f>'Manual Manpower Database'!AQ13</f>
        <v>82.428571428571431</v>
      </c>
      <c r="R13" s="288">
        <f>'Manual Manpower Database'!AR13</f>
        <v>125</v>
      </c>
      <c r="S13" s="288">
        <f>'Manual Manpower Database'!AS13</f>
        <v>41.666666666666664</v>
      </c>
      <c r="T13" s="288">
        <f>'Manual Manpower Database'!AT13</f>
        <v>54.166666666666664</v>
      </c>
      <c r="U13" s="288">
        <f>'Manual Manpower Database'!AU13</f>
        <v>208.33333333333334</v>
      </c>
      <c r="V13" s="288">
        <f>'Manual Manpower Database'!AV13</f>
        <v>0</v>
      </c>
      <c r="W13" s="288">
        <f>'Manual Manpower Database'!AW13</f>
        <v>8.3333333333333339</v>
      </c>
      <c r="X13" s="288">
        <f>'Manual Manpower Database'!AX13</f>
        <v>55.555555555555557</v>
      </c>
      <c r="Y13" s="288">
        <f t="shared" si="1"/>
        <v>5354.501984126985</v>
      </c>
    </row>
    <row r="14" spans="2:25" x14ac:dyDescent="0.25">
      <c r="B14" s="2" t="s">
        <v>402</v>
      </c>
      <c r="C14" s="1" t="s">
        <v>1184</v>
      </c>
      <c r="D14" s="2" t="s">
        <v>1166</v>
      </c>
      <c r="E14" s="2" t="s">
        <v>1167</v>
      </c>
      <c r="F14" s="1" t="s">
        <v>974</v>
      </c>
      <c r="G14" s="2" t="s">
        <v>1204</v>
      </c>
      <c r="H14" s="1" t="str">
        <f t="shared" si="0"/>
        <v>01500009</v>
      </c>
      <c r="J14" s="288">
        <f>'Manual Manpower Database'!AJ14</f>
        <v>1090.7142857142858</v>
      </c>
      <c r="K14" s="288">
        <f>'Manual Manpower Database'!AK14</f>
        <v>0</v>
      </c>
      <c r="L14" s="288">
        <f>'Manual Manpower Database'!AL14</f>
        <v>0</v>
      </c>
      <c r="M14" s="288">
        <f>'Manual Manpower Database'!AM14</f>
        <v>150</v>
      </c>
      <c r="N14" s="288">
        <f>'Manual Manpower Database'!AN14</f>
        <v>45.446428571428577</v>
      </c>
      <c r="O14" s="288">
        <f>'Manual Manpower Database'!AO14</f>
        <v>0</v>
      </c>
      <c r="P14" s="288">
        <f>'Manual Manpower Database'!AP14</f>
        <v>22.723214285714288</v>
      </c>
      <c r="Q14" s="288">
        <f>'Manual Manpower Database'!AQ14</f>
        <v>21.814285714285717</v>
      </c>
      <c r="R14" s="288">
        <f>'Manual Manpower Database'!AR14</f>
        <v>125</v>
      </c>
      <c r="S14" s="288">
        <f>'Manual Manpower Database'!AS14</f>
        <v>41.666666666666664</v>
      </c>
      <c r="T14" s="288">
        <f>'Manual Manpower Database'!AT14</f>
        <v>54.166666666666664</v>
      </c>
      <c r="U14" s="288">
        <f>'Manual Manpower Database'!AU14</f>
        <v>208.33333333333334</v>
      </c>
      <c r="V14" s="288">
        <f>'Manual Manpower Database'!AV14</f>
        <v>0</v>
      </c>
      <c r="W14" s="288">
        <f>'Manual Manpower Database'!AW14</f>
        <v>8.3333333333333339</v>
      </c>
      <c r="X14" s="288">
        <f>'Manual Manpower Database'!AX14</f>
        <v>55.555555555555557</v>
      </c>
      <c r="Y14" s="288">
        <f t="shared" si="1"/>
        <v>1823.75376984127</v>
      </c>
    </row>
    <row r="15" spans="2:25" x14ac:dyDescent="0.25">
      <c r="B15" s="2" t="s">
        <v>217</v>
      </c>
      <c r="C15" s="1" t="s">
        <v>1179</v>
      </c>
      <c r="D15" s="2" t="s">
        <v>683</v>
      </c>
      <c r="E15" s="2" t="s">
        <v>680</v>
      </c>
      <c r="F15" s="1" t="s">
        <v>975</v>
      </c>
      <c r="G15" s="2" t="s">
        <v>1189</v>
      </c>
      <c r="H15" s="1" t="str">
        <f t="shared" si="0"/>
        <v>02900010</v>
      </c>
      <c r="J15" s="288">
        <f>'Manual Manpower Database'!AJ15</f>
        <v>1122.9166666666667</v>
      </c>
      <c r="K15" s="288">
        <f>'Manual Manpower Database'!AK15</f>
        <v>0</v>
      </c>
      <c r="L15" s="288">
        <f>'Manual Manpower Database'!AL15</f>
        <v>0</v>
      </c>
      <c r="M15" s="288">
        <f>'Manual Manpower Database'!AM15</f>
        <v>200</v>
      </c>
      <c r="N15" s="288">
        <f>'Manual Manpower Database'!AN15</f>
        <v>46.78819444444445</v>
      </c>
      <c r="O15" s="288">
        <f>'Manual Manpower Database'!AO15</f>
        <v>0</v>
      </c>
      <c r="P15" s="288">
        <f>'Manual Manpower Database'!AP15</f>
        <v>23.394097222222225</v>
      </c>
      <c r="Q15" s="288">
        <f>'Manual Manpower Database'!AQ15</f>
        <v>22.458333333333336</v>
      </c>
      <c r="R15" s="288">
        <f>'Manual Manpower Database'!AR15</f>
        <v>125</v>
      </c>
      <c r="S15" s="288">
        <f>'Manual Manpower Database'!AS15</f>
        <v>41.666666666666664</v>
      </c>
      <c r="T15" s="288">
        <f>'Manual Manpower Database'!AT15</f>
        <v>54.166666666666664</v>
      </c>
      <c r="U15" s="288">
        <f>'Manual Manpower Database'!AU15</f>
        <v>208.33333333333334</v>
      </c>
      <c r="V15" s="288">
        <f>'Manual Manpower Database'!AV15</f>
        <v>0</v>
      </c>
      <c r="W15" s="288">
        <f>'Manual Manpower Database'!AW15</f>
        <v>8.3333333333333339</v>
      </c>
      <c r="X15" s="288">
        <f>'Manual Manpower Database'!AX15</f>
        <v>55.555555555555557</v>
      </c>
      <c r="Y15" s="288">
        <f t="shared" si="1"/>
        <v>1908.6128472222222</v>
      </c>
    </row>
    <row r="16" spans="2:25" x14ac:dyDescent="0.25">
      <c r="B16" s="2" t="s">
        <v>217</v>
      </c>
      <c r="C16" s="1" t="s">
        <v>1179</v>
      </c>
      <c r="D16" s="2" t="s">
        <v>683</v>
      </c>
      <c r="E16" s="2" t="s">
        <v>680</v>
      </c>
      <c r="F16" s="1" t="s">
        <v>976</v>
      </c>
      <c r="G16" s="2" t="s">
        <v>1190</v>
      </c>
      <c r="H16" s="1" t="str">
        <f t="shared" si="0"/>
        <v>02900015</v>
      </c>
      <c r="J16" s="288">
        <f>'Manual Manpower Database'!AJ16</f>
        <v>1333.3333333333333</v>
      </c>
      <c r="K16" s="288">
        <f>'Manual Manpower Database'!AK16</f>
        <v>0</v>
      </c>
      <c r="L16" s="288">
        <f>'Manual Manpower Database'!AL16</f>
        <v>0</v>
      </c>
      <c r="M16" s="288">
        <f>'Manual Manpower Database'!AM16</f>
        <v>200</v>
      </c>
      <c r="N16" s="288">
        <f>'Manual Manpower Database'!AN16</f>
        <v>55.55555555555555</v>
      </c>
      <c r="O16" s="288">
        <f>'Manual Manpower Database'!AO16</f>
        <v>0</v>
      </c>
      <c r="P16" s="288">
        <f>'Manual Manpower Database'!AP16</f>
        <v>27.777777777777775</v>
      </c>
      <c r="Q16" s="288">
        <f>'Manual Manpower Database'!AQ16</f>
        <v>26.666666666666664</v>
      </c>
      <c r="R16" s="288">
        <f>'Manual Manpower Database'!AR16</f>
        <v>125</v>
      </c>
      <c r="S16" s="288">
        <f>'Manual Manpower Database'!AS16</f>
        <v>41.666666666666664</v>
      </c>
      <c r="T16" s="288">
        <f>'Manual Manpower Database'!AT16</f>
        <v>54.166666666666664</v>
      </c>
      <c r="U16" s="288">
        <f>'Manual Manpower Database'!AU16</f>
        <v>208.33333333333334</v>
      </c>
      <c r="V16" s="288">
        <f>'Manual Manpower Database'!AV16</f>
        <v>0</v>
      </c>
      <c r="W16" s="288">
        <f>'Manual Manpower Database'!AW16</f>
        <v>8.3333333333333339</v>
      </c>
      <c r="X16" s="288">
        <f>'Manual Manpower Database'!AX16</f>
        <v>55.555555555555557</v>
      </c>
      <c r="Y16" s="288">
        <f t="shared" si="1"/>
        <v>2136.3888888888896</v>
      </c>
    </row>
    <row r="17" spans="2:25" x14ac:dyDescent="0.25">
      <c r="B17" s="2" t="s">
        <v>217</v>
      </c>
      <c r="C17" s="1" t="s">
        <v>1179</v>
      </c>
      <c r="D17" s="2" t="s">
        <v>683</v>
      </c>
      <c r="E17" s="2" t="s">
        <v>680</v>
      </c>
      <c r="F17" s="1" t="s">
        <v>977</v>
      </c>
      <c r="G17" s="2" t="s">
        <v>1191</v>
      </c>
      <c r="H17" s="1" t="str">
        <f t="shared" si="0"/>
        <v>02900020</v>
      </c>
      <c r="J17" s="288">
        <f>'Manual Manpower Database'!AJ17</f>
        <v>615.83333333333337</v>
      </c>
      <c r="K17" s="288">
        <f>'Manual Manpower Database'!AK17</f>
        <v>0</v>
      </c>
      <c r="L17" s="288">
        <f>'Manual Manpower Database'!AL17</f>
        <v>0</v>
      </c>
      <c r="M17" s="288">
        <f>'Manual Manpower Database'!AM17</f>
        <v>250</v>
      </c>
      <c r="N17" s="288">
        <f>'Manual Manpower Database'!AN17</f>
        <v>25.659722222222225</v>
      </c>
      <c r="O17" s="288">
        <f>'Manual Manpower Database'!AO17</f>
        <v>0</v>
      </c>
      <c r="P17" s="288">
        <f>'Manual Manpower Database'!AP17</f>
        <v>12.829861111111112</v>
      </c>
      <c r="Q17" s="288">
        <f>'Manual Manpower Database'!AQ17</f>
        <v>12.316666666666668</v>
      </c>
      <c r="R17" s="288">
        <f>'Manual Manpower Database'!AR17</f>
        <v>125</v>
      </c>
      <c r="S17" s="288">
        <f>'Manual Manpower Database'!AS17</f>
        <v>41.666666666666664</v>
      </c>
      <c r="T17" s="288">
        <f>'Manual Manpower Database'!AT17</f>
        <v>54.166666666666664</v>
      </c>
      <c r="U17" s="288">
        <f>'Manual Manpower Database'!AU17</f>
        <v>208.33333333333334</v>
      </c>
      <c r="V17" s="288">
        <f>'Manual Manpower Database'!AV17</f>
        <v>0</v>
      </c>
      <c r="W17" s="288">
        <f>'Manual Manpower Database'!AW17</f>
        <v>8.3333333333333339</v>
      </c>
      <c r="X17" s="288">
        <f>'Manual Manpower Database'!AX17</f>
        <v>55.555555555555557</v>
      </c>
      <c r="Y17" s="288">
        <f t="shared" si="1"/>
        <v>1409.695138888889</v>
      </c>
    </row>
    <row r="18" spans="2:25" x14ac:dyDescent="0.25">
      <c r="B18" s="2" t="s">
        <v>402</v>
      </c>
      <c r="C18" s="1" t="s">
        <v>1184</v>
      </c>
      <c r="D18" s="2" t="s">
        <v>1170</v>
      </c>
      <c r="E18" s="2" t="s">
        <v>1171</v>
      </c>
      <c r="F18" s="1" t="s">
        <v>979</v>
      </c>
      <c r="G18" s="2" t="s">
        <v>1189</v>
      </c>
      <c r="H18" s="1" t="str">
        <f t="shared" si="0"/>
        <v>01800010</v>
      </c>
      <c r="J18" s="288">
        <f>'Manual Manpower Database'!AJ19</f>
        <v>1200</v>
      </c>
      <c r="K18" s="288">
        <f>'Manual Manpower Database'!AK19</f>
        <v>0</v>
      </c>
      <c r="L18" s="288">
        <f>'Manual Manpower Database'!AL19</f>
        <v>0</v>
      </c>
      <c r="M18" s="288">
        <f>'Manual Manpower Database'!AM19</f>
        <v>150</v>
      </c>
      <c r="N18" s="288">
        <f>'Manual Manpower Database'!AN19</f>
        <v>50</v>
      </c>
      <c r="O18" s="288">
        <f>'Manual Manpower Database'!AO19</f>
        <v>0</v>
      </c>
      <c r="P18" s="288">
        <f>'Manual Manpower Database'!AP19</f>
        <v>25</v>
      </c>
      <c r="Q18" s="288">
        <f>'Manual Manpower Database'!AQ19</f>
        <v>24</v>
      </c>
      <c r="R18" s="288">
        <f>'Manual Manpower Database'!AR19</f>
        <v>125</v>
      </c>
      <c r="S18" s="288">
        <f>'Manual Manpower Database'!AS19</f>
        <v>41.666666666666664</v>
      </c>
      <c r="T18" s="288">
        <f>'Manual Manpower Database'!AT19</f>
        <v>54.166666666666664</v>
      </c>
      <c r="U18" s="288">
        <f>'Manual Manpower Database'!AU19</f>
        <v>208.33333333333334</v>
      </c>
      <c r="V18" s="288">
        <f>'Manual Manpower Database'!AV19</f>
        <v>0</v>
      </c>
      <c r="W18" s="288">
        <f>'Manual Manpower Database'!AW19</f>
        <v>8.3333333333333339</v>
      </c>
      <c r="X18" s="288">
        <f>'Manual Manpower Database'!AX19</f>
        <v>55.555555555555557</v>
      </c>
      <c r="Y18" s="288">
        <f t="shared" si="1"/>
        <v>1942.0555555555557</v>
      </c>
    </row>
    <row r="19" spans="2:25" x14ac:dyDescent="0.25">
      <c r="B19" s="2" t="s">
        <v>402</v>
      </c>
      <c r="C19" s="1" t="s">
        <v>1184</v>
      </c>
      <c r="D19" s="2" t="s">
        <v>1168</v>
      </c>
      <c r="E19" s="2" t="s">
        <v>1169</v>
      </c>
      <c r="F19" s="1" t="s">
        <v>981</v>
      </c>
      <c r="G19" s="2" t="s">
        <v>801</v>
      </c>
      <c r="H19" s="1" t="str">
        <f t="shared" si="0"/>
        <v>01700006</v>
      </c>
      <c r="J19" s="288">
        <f>'Manual Manpower Database'!AJ20</f>
        <v>1006.25</v>
      </c>
      <c r="K19" s="288">
        <f>'Manual Manpower Database'!AK20</f>
        <v>0</v>
      </c>
      <c r="L19" s="288">
        <f>'Manual Manpower Database'!AL20</f>
        <v>0</v>
      </c>
      <c r="M19" s="288">
        <f>'Manual Manpower Database'!AM20</f>
        <v>200</v>
      </c>
      <c r="N19" s="288">
        <f>'Manual Manpower Database'!AN20</f>
        <v>41.927083333333336</v>
      </c>
      <c r="O19" s="288">
        <f>'Manual Manpower Database'!AO20</f>
        <v>0</v>
      </c>
      <c r="P19" s="288">
        <f>'Manual Manpower Database'!AP20</f>
        <v>20.963541666666668</v>
      </c>
      <c r="Q19" s="288">
        <f>'Manual Manpower Database'!AQ20</f>
        <v>20.125</v>
      </c>
      <c r="R19" s="288">
        <f>'Manual Manpower Database'!AR20</f>
        <v>125</v>
      </c>
      <c r="S19" s="288">
        <f>'Manual Manpower Database'!AS20</f>
        <v>41.666666666666664</v>
      </c>
      <c r="T19" s="288">
        <f>'Manual Manpower Database'!AT20</f>
        <v>54.166666666666664</v>
      </c>
      <c r="U19" s="288">
        <f>'Manual Manpower Database'!AU20</f>
        <v>208.33333333333334</v>
      </c>
      <c r="V19" s="288">
        <f>'Manual Manpower Database'!AV20</f>
        <v>0</v>
      </c>
      <c r="W19" s="288">
        <f>'Manual Manpower Database'!AW20</f>
        <v>8.3333333333333339</v>
      </c>
      <c r="X19" s="288">
        <f>'Manual Manpower Database'!AX20</f>
        <v>55.555555555555557</v>
      </c>
      <c r="Y19" s="288">
        <f t="shared" si="1"/>
        <v>1782.3211805555557</v>
      </c>
    </row>
    <row r="20" spans="2:25" x14ac:dyDescent="0.25">
      <c r="B20" s="2" t="s">
        <v>218</v>
      </c>
      <c r="C20" s="1" t="s">
        <v>1186</v>
      </c>
      <c r="D20" s="2" t="s">
        <v>320</v>
      </c>
      <c r="E20" s="2" t="s">
        <v>1172</v>
      </c>
      <c r="F20" s="1" t="s">
        <v>816</v>
      </c>
      <c r="G20" s="2" t="s">
        <v>1190</v>
      </c>
      <c r="H20" s="1" t="str">
        <f t="shared" si="0"/>
        <v>03300015</v>
      </c>
      <c r="J20" s="288">
        <f>'Manual Manpower Database'!AJ21</f>
        <v>1180</v>
      </c>
      <c r="K20" s="288">
        <f>'Manual Manpower Database'!AK21</f>
        <v>0</v>
      </c>
      <c r="L20" s="288">
        <f>'Manual Manpower Database'!AL21</f>
        <v>0</v>
      </c>
      <c r="M20" s="288">
        <f>'Manual Manpower Database'!AM21</f>
        <v>150</v>
      </c>
      <c r="N20" s="288">
        <f>'Manual Manpower Database'!AN21</f>
        <v>49.166666666666664</v>
      </c>
      <c r="O20" s="288">
        <f>'Manual Manpower Database'!AO21</f>
        <v>0</v>
      </c>
      <c r="P20" s="288">
        <f>'Manual Manpower Database'!AP21</f>
        <v>24.583333333333332</v>
      </c>
      <c r="Q20" s="288">
        <f>'Manual Manpower Database'!AQ21</f>
        <v>23.6</v>
      </c>
      <c r="R20" s="288">
        <f>'Manual Manpower Database'!AR21</f>
        <v>125</v>
      </c>
      <c r="S20" s="288">
        <f>'Manual Manpower Database'!AS21</f>
        <v>41.666666666666664</v>
      </c>
      <c r="T20" s="288">
        <f>'Manual Manpower Database'!AT21</f>
        <v>54.166666666666664</v>
      </c>
      <c r="U20" s="288">
        <f>'Manual Manpower Database'!AU21</f>
        <v>208.33333333333334</v>
      </c>
      <c r="V20" s="288">
        <f>'Manual Manpower Database'!AV21</f>
        <v>0</v>
      </c>
      <c r="W20" s="288">
        <f>'Manual Manpower Database'!AW21</f>
        <v>8.3333333333333339</v>
      </c>
      <c r="X20" s="288">
        <f>'Manual Manpower Database'!AX21</f>
        <v>55.555555555555557</v>
      </c>
      <c r="Y20" s="288">
        <f t="shared" si="1"/>
        <v>1920.4055555555556</v>
      </c>
    </row>
    <row r="21" spans="2:25" x14ac:dyDescent="0.25">
      <c r="B21" s="2" t="s">
        <v>218</v>
      </c>
      <c r="C21" s="1" t="s">
        <v>1186</v>
      </c>
      <c r="D21" s="2" t="s">
        <v>320</v>
      </c>
      <c r="E21" s="2" t="s">
        <v>1172</v>
      </c>
      <c r="F21" s="1" t="s">
        <v>534</v>
      </c>
      <c r="G21" s="2" t="s">
        <v>1200</v>
      </c>
      <c r="H21" s="1" t="str">
        <f t="shared" si="0"/>
        <v>03300065</v>
      </c>
      <c r="J21" s="288">
        <v>641.30063473744951</v>
      </c>
      <c r="K21" s="288">
        <v>300</v>
      </c>
      <c r="L21" s="288">
        <v>0</v>
      </c>
      <c r="M21" s="288">
        <v>250</v>
      </c>
      <c r="N21" s="288">
        <v>26.720859780727064</v>
      </c>
      <c r="O21" s="288">
        <v>0</v>
      </c>
      <c r="P21" s="288">
        <v>13.360429890363532</v>
      </c>
      <c r="Q21" s="288">
        <v>12.826012694748991</v>
      </c>
      <c r="R21" s="288">
        <v>125</v>
      </c>
      <c r="S21" s="288">
        <v>41.666666666666664</v>
      </c>
      <c r="T21" s="288">
        <v>54.166666666666664</v>
      </c>
      <c r="U21" s="288">
        <v>208.33333333333334</v>
      </c>
      <c r="V21" s="288">
        <v>0</v>
      </c>
      <c r="W21" s="288">
        <v>8.3333333333333339</v>
      </c>
      <c r="X21" s="288">
        <v>55.555555555555557</v>
      </c>
      <c r="Y21" s="288">
        <v>1737.2634926588446</v>
      </c>
    </row>
    <row r="22" spans="2:25" x14ac:dyDescent="0.25">
      <c r="B22" s="2" t="s">
        <v>217</v>
      </c>
      <c r="C22" s="1" t="s">
        <v>1179</v>
      </c>
      <c r="D22" s="2" t="s">
        <v>316</v>
      </c>
      <c r="E22" s="2" t="s">
        <v>1175</v>
      </c>
      <c r="F22" s="1" t="s">
        <v>806</v>
      </c>
      <c r="G22" s="2" t="s">
        <v>800</v>
      </c>
      <c r="H22" s="1" t="str">
        <f t="shared" si="0"/>
        <v>02200005</v>
      </c>
      <c r="J22" s="288">
        <f>'Manual Manpower Database'!AJ22</f>
        <v>1175</v>
      </c>
      <c r="K22" s="288">
        <f>'Manual Manpower Database'!AK22</f>
        <v>0</v>
      </c>
      <c r="L22" s="288">
        <f>'Manual Manpower Database'!AL22</f>
        <v>0</v>
      </c>
      <c r="M22" s="288">
        <f>'Manual Manpower Database'!AM22</f>
        <v>150</v>
      </c>
      <c r="N22" s="288">
        <f>'Manual Manpower Database'!AN22</f>
        <v>48.958333333333336</v>
      </c>
      <c r="O22" s="288">
        <f>'Manual Manpower Database'!AO22</f>
        <v>0</v>
      </c>
      <c r="P22" s="288">
        <f>'Manual Manpower Database'!AP22</f>
        <v>24.479166666666668</v>
      </c>
      <c r="Q22" s="288">
        <f>'Manual Manpower Database'!AQ22</f>
        <v>23.5</v>
      </c>
      <c r="R22" s="288">
        <f>'Manual Manpower Database'!AR22</f>
        <v>125</v>
      </c>
      <c r="S22" s="288">
        <f>'Manual Manpower Database'!AS22</f>
        <v>41.666666666666664</v>
      </c>
      <c r="T22" s="288">
        <f>'Manual Manpower Database'!AT22</f>
        <v>54.166666666666664</v>
      </c>
      <c r="U22" s="288">
        <f>'Manual Manpower Database'!AU22</f>
        <v>208.33333333333334</v>
      </c>
      <c r="V22" s="288">
        <f>'Manual Manpower Database'!AV22</f>
        <v>0</v>
      </c>
      <c r="W22" s="288">
        <f>'Manual Manpower Database'!AW22</f>
        <v>8.3333333333333339</v>
      </c>
      <c r="X22" s="288">
        <f>'Manual Manpower Database'!AX22</f>
        <v>55.555555555555557</v>
      </c>
      <c r="Y22" s="288">
        <f t="shared" si="1"/>
        <v>1914.9930555555557</v>
      </c>
    </row>
    <row r="23" spans="2:25" x14ac:dyDescent="0.25">
      <c r="B23" s="2" t="s">
        <v>217</v>
      </c>
      <c r="C23" s="1" t="s">
        <v>1179</v>
      </c>
      <c r="D23" s="2" t="s">
        <v>316</v>
      </c>
      <c r="E23" s="2" t="s">
        <v>1175</v>
      </c>
      <c r="F23" s="1" t="s">
        <v>982</v>
      </c>
      <c r="G23" s="2" t="s">
        <v>1189</v>
      </c>
      <c r="H23" s="1" t="str">
        <f t="shared" si="0"/>
        <v>02200010</v>
      </c>
      <c r="J23" s="288">
        <f>'Manual Manpower Database'!AJ23</f>
        <v>976.85599999999999</v>
      </c>
      <c r="K23" s="288">
        <f>'Manual Manpower Database'!AK23</f>
        <v>300</v>
      </c>
      <c r="L23" s="288">
        <f>'Manual Manpower Database'!AL23</f>
        <v>0</v>
      </c>
      <c r="M23" s="288">
        <f>'Manual Manpower Database'!AM23</f>
        <v>250</v>
      </c>
      <c r="N23" s="288">
        <f>'Manual Manpower Database'!AN23</f>
        <v>40.702333333333335</v>
      </c>
      <c r="O23" s="288">
        <f>'Manual Manpower Database'!AO23</f>
        <v>0</v>
      </c>
      <c r="P23" s="288">
        <f>'Manual Manpower Database'!AP23</f>
        <v>20.351166666666668</v>
      </c>
      <c r="Q23" s="288">
        <f>'Manual Manpower Database'!AQ23</f>
        <v>19.537120000000002</v>
      </c>
      <c r="R23" s="288">
        <f>'Manual Manpower Database'!AR23</f>
        <v>125</v>
      </c>
      <c r="S23" s="288">
        <f>'Manual Manpower Database'!AS23</f>
        <v>41.666666666666664</v>
      </c>
      <c r="T23" s="288">
        <f>'Manual Manpower Database'!AT23</f>
        <v>54.166666666666664</v>
      </c>
      <c r="U23" s="288">
        <f>'Manual Manpower Database'!AU23</f>
        <v>208.33333333333334</v>
      </c>
      <c r="V23" s="288">
        <f>'Manual Manpower Database'!AV23</f>
        <v>0</v>
      </c>
      <c r="W23" s="288">
        <f>'Manual Manpower Database'!AW23</f>
        <v>8.3333333333333339</v>
      </c>
      <c r="X23" s="288">
        <f>'Manual Manpower Database'!AX23</f>
        <v>55.555555555555557</v>
      </c>
      <c r="Y23" s="288">
        <f t="shared" si="1"/>
        <v>2100.5021755555554</v>
      </c>
    </row>
    <row r="24" spans="2:25" x14ac:dyDescent="0.25">
      <c r="B24" s="2" t="s">
        <v>402</v>
      </c>
      <c r="C24" s="1" t="s">
        <v>1184</v>
      </c>
      <c r="D24" s="2" t="s">
        <v>1168</v>
      </c>
      <c r="E24" s="2" t="s">
        <v>1169</v>
      </c>
      <c r="F24" s="1" t="s">
        <v>1169</v>
      </c>
      <c r="G24" s="2" t="s">
        <v>1204</v>
      </c>
      <c r="H24" s="1" t="str">
        <f t="shared" si="0"/>
        <v>01700009</v>
      </c>
      <c r="J24" s="288">
        <f>'Manual Manpower Database'!AJ24</f>
        <v>2070.67816091954</v>
      </c>
      <c r="K24" s="288">
        <f>'Manual Manpower Database'!AK24</f>
        <v>300</v>
      </c>
      <c r="L24" s="288">
        <f>'Manual Manpower Database'!AL24</f>
        <v>0</v>
      </c>
      <c r="M24" s="288">
        <f>'Manual Manpower Database'!AM24</f>
        <v>400</v>
      </c>
      <c r="N24" s="288">
        <f>'Manual Manpower Database'!AN24</f>
        <v>86.278256704980834</v>
      </c>
      <c r="O24" s="288">
        <f>'Manual Manpower Database'!AO24</f>
        <v>0</v>
      </c>
      <c r="P24" s="288">
        <f>'Manual Manpower Database'!AP24</f>
        <v>43.139128352490417</v>
      </c>
      <c r="Q24" s="288">
        <f>'Manual Manpower Database'!AQ24</f>
        <v>41.413563218390799</v>
      </c>
      <c r="R24" s="288">
        <f>'Manual Manpower Database'!AR24</f>
        <v>125</v>
      </c>
      <c r="S24" s="288">
        <f>'Manual Manpower Database'!AS24</f>
        <v>41.666666666666664</v>
      </c>
      <c r="T24" s="288">
        <f>'Manual Manpower Database'!AT24</f>
        <v>54.166666666666664</v>
      </c>
      <c r="U24" s="288">
        <f>'Manual Manpower Database'!AU24</f>
        <v>208.33333333333334</v>
      </c>
      <c r="V24" s="288">
        <f>'Manual Manpower Database'!AV24</f>
        <v>0</v>
      </c>
      <c r="W24" s="288">
        <f>'Manual Manpower Database'!AW24</f>
        <v>8.3333333333333339</v>
      </c>
      <c r="X24" s="288">
        <f>'Manual Manpower Database'!AX24</f>
        <v>55.555555555555557</v>
      </c>
      <c r="Y24" s="288">
        <f t="shared" si="1"/>
        <v>3434.5646647509575</v>
      </c>
    </row>
    <row r="25" spans="2:25" x14ac:dyDescent="0.25">
      <c r="B25" s="2" t="s">
        <v>402</v>
      </c>
      <c r="C25" s="1" t="s">
        <v>1184</v>
      </c>
      <c r="D25" s="2" t="s">
        <v>1168</v>
      </c>
      <c r="E25" s="2" t="s">
        <v>1169</v>
      </c>
      <c r="F25" s="1" t="s">
        <v>1169</v>
      </c>
      <c r="G25" s="2" t="s">
        <v>1205</v>
      </c>
      <c r="H25" s="1" t="str">
        <f t="shared" si="0"/>
        <v>01700012</v>
      </c>
      <c r="J25" s="288">
        <f>'Manual Manpower Database'!AJ25</f>
        <v>1100</v>
      </c>
      <c r="K25" s="288">
        <f>'Manual Manpower Database'!AK25</f>
        <v>300</v>
      </c>
      <c r="L25" s="288">
        <f>'Manual Manpower Database'!AL25</f>
        <v>183.33333333333334</v>
      </c>
      <c r="M25" s="288">
        <f>'Manual Manpower Database'!AM25</f>
        <v>200</v>
      </c>
      <c r="N25" s="288">
        <f>'Manual Manpower Database'!AN25</f>
        <v>45.833333333333336</v>
      </c>
      <c r="O25" s="288">
        <f>'Manual Manpower Database'!AO25</f>
        <v>0</v>
      </c>
      <c r="P25" s="288">
        <f>'Manual Manpower Database'!AP25</f>
        <v>22.916666666666668</v>
      </c>
      <c r="Q25" s="288">
        <f>'Manual Manpower Database'!AQ25</f>
        <v>25.666666666666664</v>
      </c>
      <c r="R25" s="288">
        <f>'Manual Manpower Database'!AR25</f>
        <v>125</v>
      </c>
      <c r="S25" s="288">
        <f>'Manual Manpower Database'!AS25</f>
        <v>41.666666666666664</v>
      </c>
      <c r="T25" s="288">
        <f>'Manual Manpower Database'!AT25</f>
        <v>54.166666666666664</v>
      </c>
      <c r="U25" s="288">
        <f>'Manual Manpower Database'!AU25</f>
        <v>208.33333333333334</v>
      </c>
      <c r="V25" s="288">
        <f>'Manual Manpower Database'!AV25</f>
        <v>0</v>
      </c>
      <c r="W25" s="288">
        <f>'Manual Manpower Database'!AW25</f>
        <v>8.3333333333333339</v>
      </c>
      <c r="X25" s="288">
        <f>'Manual Manpower Database'!AX25</f>
        <v>55.555555555555557</v>
      </c>
      <c r="Y25" s="288">
        <f t="shared" si="1"/>
        <v>2370.8055555555561</v>
      </c>
    </row>
    <row r="26" spans="2:25" x14ac:dyDescent="0.25">
      <c r="B26" s="2" t="s">
        <v>217</v>
      </c>
      <c r="C26" s="1" t="s">
        <v>1179</v>
      </c>
      <c r="D26" s="2" t="s">
        <v>316</v>
      </c>
      <c r="E26" s="2" t="s">
        <v>1175</v>
      </c>
      <c r="F26" s="1" t="s">
        <v>985</v>
      </c>
      <c r="G26" s="2" t="s">
        <v>1190</v>
      </c>
      <c r="H26" s="1" t="str">
        <f t="shared" si="0"/>
        <v>02200015</v>
      </c>
      <c r="J26" s="288">
        <f>'Manual Manpower Database'!AJ26</f>
        <v>958.28813559322032</v>
      </c>
      <c r="K26" s="288">
        <f>'Manual Manpower Database'!AK26</f>
        <v>0</v>
      </c>
      <c r="L26" s="288">
        <f>'Manual Manpower Database'!AL26</f>
        <v>0</v>
      </c>
      <c r="M26" s="288">
        <f>'Manual Manpower Database'!AM26</f>
        <v>250</v>
      </c>
      <c r="N26" s="288">
        <f>'Manual Manpower Database'!AN26</f>
        <v>39.92867231638418</v>
      </c>
      <c r="O26" s="288">
        <f>'Manual Manpower Database'!AO26</f>
        <v>0</v>
      </c>
      <c r="P26" s="288">
        <f>'Manual Manpower Database'!AP26</f>
        <v>19.96433615819209</v>
      </c>
      <c r="Q26" s="288">
        <f>'Manual Manpower Database'!AQ26</f>
        <v>19.165762711864406</v>
      </c>
      <c r="R26" s="288">
        <f>'Manual Manpower Database'!AR26</f>
        <v>125</v>
      </c>
      <c r="S26" s="288">
        <f>'Manual Manpower Database'!AS26</f>
        <v>41.666666666666664</v>
      </c>
      <c r="T26" s="288">
        <f>'Manual Manpower Database'!AT26</f>
        <v>54.166666666666664</v>
      </c>
      <c r="U26" s="288">
        <f>'Manual Manpower Database'!AU26</f>
        <v>208.33333333333334</v>
      </c>
      <c r="V26" s="288">
        <f>'Manual Manpower Database'!AV26</f>
        <v>0</v>
      </c>
      <c r="W26" s="288">
        <f>'Manual Manpower Database'!AW26</f>
        <v>8.3333333333333339</v>
      </c>
      <c r="X26" s="288">
        <f>'Manual Manpower Database'!AX26</f>
        <v>55.555555555555557</v>
      </c>
      <c r="Y26" s="288">
        <f t="shared" si="1"/>
        <v>1780.4024623352166</v>
      </c>
    </row>
    <row r="27" spans="2:25" x14ac:dyDescent="0.25">
      <c r="B27" s="2" t="s">
        <v>278</v>
      </c>
      <c r="C27" s="1" t="s">
        <v>1187</v>
      </c>
      <c r="D27" s="2" t="s">
        <v>1176</v>
      </c>
      <c r="E27" s="2" t="s">
        <v>1177</v>
      </c>
      <c r="F27" s="1" t="s">
        <v>987</v>
      </c>
      <c r="G27" s="2" t="s">
        <v>800</v>
      </c>
      <c r="H27" s="1" t="str">
        <f t="shared" si="0"/>
        <v>15900005</v>
      </c>
      <c r="J27" s="288">
        <f>'Manual Manpower Database'!AJ27</f>
        <v>1182.3529411764705</v>
      </c>
      <c r="K27" s="288">
        <f>'Manual Manpower Database'!AK27</f>
        <v>0</v>
      </c>
      <c r="L27" s="288">
        <f>'Manual Manpower Database'!AL27</f>
        <v>0</v>
      </c>
      <c r="M27" s="288">
        <f>'Manual Manpower Database'!AM27</f>
        <v>150</v>
      </c>
      <c r="N27" s="288">
        <f>'Manual Manpower Database'!AN27</f>
        <v>49.264705882352935</v>
      </c>
      <c r="O27" s="288">
        <f>'Manual Manpower Database'!AO27</f>
        <v>0</v>
      </c>
      <c r="P27" s="288">
        <f>'Manual Manpower Database'!AP27</f>
        <v>24.632352941176467</v>
      </c>
      <c r="Q27" s="288">
        <f>'Manual Manpower Database'!AQ27</f>
        <v>23.647058823529409</v>
      </c>
      <c r="R27" s="288">
        <f>'Manual Manpower Database'!AR27</f>
        <v>125</v>
      </c>
      <c r="S27" s="288">
        <f>'Manual Manpower Database'!AS27</f>
        <v>41.666666666666664</v>
      </c>
      <c r="T27" s="288">
        <f>'Manual Manpower Database'!AT27</f>
        <v>54.166666666666664</v>
      </c>
      <c r="U27" s="288">
        <f>'Manual Manpower Database'!AU27</f>
        <v>208.33333333333334</v>
      </c>
      <c r="V27" s="288">
        <f>'Manual Manpower Database'!AV27</f>
        <v>0</v>
      </c>
      <c r="W27" s="288">
        <f>'Manual Manpower Database'!AW27</f>
        <v>8.3333333333333339</v>
      </c>
      <c r="X27" s="288">
        <f>'Manual Manpower Database'!AX27</f>
        <v>55.555555555555557</v>
      </c>
      <c r="Y27" s="288">
        <f t="shared" si="1"/>
        <v>1922.9526143790852</v>
      </c>
    </row>
    <row r="28" spans="2:25" x14ac:dyDescent="0.25">
      <c r="B28" s="2" t="s">
        <v>278</v>
      </c>
      <c r="C28" s="1" t="s">
        <v>1187</v>
      </c>
      <c r="D28" s="2" t="s">
        <v>1176</v>
      </c>
      <c r="E28" s="2" t="s">
        <v>1177</v>
      </c>
      <c r="F28" s="1" t="s">
        <v>988</v>
      </c>
      <c r="G28" s="2" t="s">
        <v>1189</v>
      </c>
      <c r="H28" s="1" t="str">
        <f t="shared" si="0"/>
        <v>15900010</v>
      </c>
      <c r="J28" s="288">
        <f>'Manual Manpower Database'!AJ28</f>
        <v>1046.1538461538462</v>
      </c>
      <c r="K28" s="288">
        <f>'Manual Manpower Database'!AK28</f>
        <v>0</v>
      </c>
      <c r="L28" s="288">
        <f>'Manual Manpower Database'!AL28</f>
        <v>0</v>
      </c>
      <c r="M28" s="288">
        <f>'Manual Manpower Database'!AM28</f>
        <v>150</v>
      </c>
      <c r="N28" s="288">
        <f>'Manual Manpower Database'!AN28</f>
        <v>43.589743589743591</v>
      </c>
      <c r="O28" s="288">
        <f>'Manual Manpower Database'!AO28</f>
        <v>0</v>
      </c>
      <c r="P28" s="288">
        <f>'Manual Manpower Database'!AP28</f>
        <v>21.794871794871796</v>
      </c>
      <c r="Q28" s="288">
        <f>'Manual Manpower Database'!AQ28</f>
        <v>20.923076923076923</v>
      </c>
      <c r="R28" s="288">
        <f>'Manual Manpower Database'!AR28</f>
        <v>125</v>
      </c>
      <c r="S28" s="288">
        <f>'Manual Manpower Database'!AS28</f>
        <v>41.666666666666664</v>
      </c>
      <c r="T28" s="288">
        <f>'Manual Manpower Database'!AT28</f>
        <v>54.166666666666664</v>
      </c>
      <c r="U28" s="288">
        <f>'Manual Manpower Database'!AU28</f>
        <v>208.33333333333334</v>
      </c>
      <c r="V28" s="288">
        <f>'Manual Manpower Database'!AV28</f>
        <v>0</v>
      </c>
      <c r="W28" s="288">
        <f>'Manual Manpower Database'!AW28</f>
        <v>8.3333333333333339</v>
      </c>
      <c r="X28" s="288">
        <f>'Manual Manpower Database'!AX28</f>
        <v>55.555555555555557</v>
      </c>
      <c r="Y28" s="288">
        <f t="shared" si="1"/>
        <v>1775.5170940170942</v>
      </c>
    </row>
    <row r="29" spans="2:25" x14ac:dyDescent="0.25">
      <c r="B29" s="2" t="s">
        <v>278</v>
      </c>
      <c r="C29" s="1" t="s">
        <v>1187</v>
      </c>
      <c r="D29" s="2" t="s">
        <v>1176</v>
      </c>
      <c r="E29" s="2" t="s">
        <v>1177</v>
      </c>
      <c r="F29" s="1" t="s">
        <v>989</v>
      </c>
      <c r="G29" s="2" t="s">
        <v>1190</v>
      </c>
      <c r="H29" s="1" t="str">
        <f t="shared" si="0"/>
        <v>15900015</v>
      </c>
      <c r="J29" s="288">
        <f>'Manual Manpower Database'!AJ29</f>
        <v>1100</v>
      </c>
      <c r="K29" s="288">
        <f>'Manual Manpower Database'!AK29</f>
        <v>0</v>
      </c>
      <c r="L29" s="288">
        <f>'Manual Manpower Database'!AL29</f>
        <v>0</v>
      </c>
      <c r="M29" s="288">
        <f>'Manual Manpower Database'!AM29</f>
        <v>150</v>
      </c>
      <c r="N29" s="288">
        <f>'Manual Manpower Database'!AN29</f>
        <v>45.833333333333336</v>
      </c>
      <c r="O29" s="288">
        <f>'Manual Manpower Database'!AO29</f>
        <v>0</v>
      </c>
      <c r="P29" s="288">
        <f>'Manual Manpower Database'!AP29</f>
        <v>22.916666666666668</v>
      </c>
      <c r="Q29" s="288">
        <f>'Manual Manpower Database'!AQ29</f>
        <v>22</v>
      </c>
      <c r="R29" s="288">
        <f>'Manual Manpower Database'!AR29</f>
        <v>125</v>
      </c>
      <c r="S29" s="288">
        <f>'Manual Manpower Database'!AS29</f>
        <v>41.666666666666664</v>
      </c>
      <c r="T29" s="288">
        <f>'Manual Manpower Database'!AT29</f>
        <v>54.166666666666664</v>
      </c>
      <c r="U29" s="288">
        <f>'Manual Manpower Database'!AU29</f>
        <v>208.33333333333334</v>
      </c>
      <c r="V29" s="288">
        <f>'Manual Manpower Database'!AV29</f>
        <v>0</v>
      </c>
      <c r="W29" s="288">
        <f>'Manual Manpower Database'!AW29</f>
        <v>8.3333333333333339</v>
      </c>
      <c r="X29" s="288">
        <f>'Manual Manpower Database'!AX29</f>
        <v>55.555555555555557</v>
      </c>
      <c r="Y29" s="288">
        <f t="shared" si="1"/>
        <v>1833.8055555555557</v>
      </c>
    </row>
    <row r="30" spans="2:25" x14ac:dyDescent="0.25">
      <c r="B30" s="2" t="s">
        <v>279</v>
      </c>
      <c r="C30" s="1" t="s">
        <v>990</v>
      </c>
      <c r="D30" s="2" t="s">
        <v>395</v>
      </c>
      <c r="E30" s="2" t="s">
        <v>1178</v>
      </c>
      <c r="F30" s="1" t="s">
        <v>549</v>
      </c>
      <c r="G30" s="2" t="s">
        <v>800</v>
      </c>
      <c r="H30" s="1" t="str">
        <f t="shared" si="0"/>
        <v>16050005</v>
      </c>
      <c r="J30" s="288">
        <f>'Manual Manpower Database'!AJ30</f>
        <v>1156.8185483870968</v>
      </c>
      <c r="K30" s="288">
        <f>'Manual Manpower Database'!AK30</f>
        <v>300</v>
      </c>
      <c r="L30" s="288">
        <f>'Manual Manpower Database'!AL30</f>
        <v>0</v>
      </c>
      <c r="M30" s="288">
        <f>'Manual Manpower Database'!AM30</f>
        <v>250</v>
      </c>
      <c r="N30" s="288">
        <f>'Manual Manpower Database'!AN30</f>
        <v>48.200772849462368</v>
      </c>
      <c r="O30" s="288">
        <f>'Manual Manpower Database'!AO30</f>
        <v>0</v>
      </c>
      <c r="P30" s="288">
        <f>'Manual Manpower Database'!AP30</f>
        <v>24.100386424731184</v>
      </c>
      <c r="Q30" s="288">
        <f>'Manual Manpower Database'!AQ30</f>
        <v>23.136370967741936</v>
      </c>
      <c r="R30" s="288">
        <f>'Manual Manpower Database'!AR30</f>
        <v>125</v>
      </c>
      <c r="S30" s="288">
        <f>'Manual Manpower Database'!AS30</f>
        <v>41.666666666666664</v>
      </c>
      <c r="T30" s="288">
        <f>'Manual Manpower Database'!AT30</f>
        <v>54.166666666666664</v>
      </c>
      <c r="U30" s="288">
        <f>'Manual Manpower Database'!AU30</f>
        <v>208.33333333333334</v>
      </c>
      <c r="V30" s="288">
        <f>'Manual Manpower Database'!AV30</f>
        <v>0</v>
      </c>
      <c r="W30" s="288">
        <f>'Manual Manpower Database'!AW30</f>
        <v>8.3333333333333339</v>
      </c>
      <c r="X30" s="288">
        <f>'Manual Manpower Database'!AX30</f>
        <v>55.555555555555557</v>
      </c>
      <c r="Y30" s="288">
        <f t="shared" si="1"/>
        <v>2295.311634184588</v>
      </c>
    </row>
    <row r="31" spans="2:25" x14ac:dyDescent="0.25">
      <c r="B31" s="2" t="s">
        <v>402</v>
      </c>
      <c r="C31" s="1" t="s">
        <v>1184</v>
      </c>
      <c r="D31" s="2" t="s">
        <v>1168</v>
      </c>
      <c r="E31" s="2" t="s">
        <v>1169</v>
      </c>
      <c r="F31" s="1" t="s">
        <v>993</v>
      </c>
      <c r="G31" s="2" t="s">
        <v>1190</v>
      </c>
      <c r="H31" s="1" t="str">
        <f t="shared" si="0"/>
        <v>01700015</v>
      </c>
      <c r="J31" s="288">
        <f>'Manual Manpower Database'!AJ31</f>
        <v>2654.8144796380088</v>
      </c>
      <c r="K31" s="288">
        <f>'Manual Manpower Database'!AK31</f>
        <v>500</v>
      </c>
      <c r="L31" s="288">
        <f>'Manual Manpower Database'!AL31</f>
        <v>663.70361990950221</v>
      </c>
      <c r="M31" s="288">
        <f>'Manual Manpower Database'!AM31</f>
        <v>250</v>
      </c>
      <c r="N31" s="288">
        <f>'Manual Manpower Database'!AN31</f>
        <v>110.61726998491703</v>
      </c>
      <c r="O31" s="288">
        <f>'Manual Manpower Database'!AO31</f>
        <v>0</v>
      </c>
      <c r="P31" s="288">
        <f>'Manual Manpower Database'!AP31</f>
        <v>55.308634992458515</v>
      </c>
      <c r="Q31" s="288">
        <f>'Manual Manpower Database'!AQ31</f>
        <v>66.370361990950229</v>
      </c>
      <c r="R31" s="288">
        <f>'Manual Manpower Database'!AR31</f>
        <v>125</v>
      </c>
      <c r="S31" s="288">
        <f>'Manual Manpower Database'!AS31</f>
        <v>41.666666666666664</v>
      </c>
      <c r="T31" s="288">
        <f>'Manual Manpower Database'!AT31</f>
        <v>54.166666666666664</v>
      </c>
      <c r="U31" s="288">
        <f>'Manual Manpower Database'!AU31</f>
        <v>208.33333333333334</v>
      </c>
      <c r="V31" s="288">
        <f>'Manual Manpower Database'!AV31</f>
        <v>0</v>
      </c>
      <c r="W31" s="288">
        <f>'Manual Manpower Database'!AW31</f>
        <v>8.3333333333333339</v>
      </c>
      <c r="X31" s="288">
        <f>'Manual Manpower Database'!AX31</f>
        <v>55.555555555555557</v>
      </c>
      <c r="Y31" s="288">
        <f t="shared" si="1"/>
        <v>4793.8699220713925</v>
      </c>
    </row>
    <row r="32" spans="2:25" x14ac:dyDescent="0.25">
      <c r="B32" s="2" t="s">
        <v>217</v>
      </c>
      <c r="C32" s="1" t="s">
        <v>1179</v>
      </c>
      <c r="D32" s="2" t="s">
        <v>683</v>
      </c>
      <c r="E32" s="2" t="s">
        <v>680</v>
      </c>
      <c r="F32" s="1" t="s">
        <v>995</v>
      </c>
      <c r="G32" s="2" t="s">
        <v>1192</v>
      </c>
      <c r="H32" s="1" t="str">
        <f t="shared" si="0"/>
        <v>02900025</v>
      </c>
      <c r="J32" s="288">
        <f>'Manual Manpower Database'!AJ32</f>
        <v>3283.3333333333335</v>
      </c>
      <c r="K32" s="288">
        <f>'Manual Manpower Database'!AK32</f>
        <v>0</v>
      </c>
      <c r="L32" s="288">
        <f>'Manual Manpower Database'!AL32</f>
        <v>0</v>
      </c>
      <c r="M32" s="288">
        <f>'Manual Manpower Database'!AM32</f>
        <v>150</v>
      </c>
      <c r="N32" s="288">
        <f>'Manual Manpower Database'!AN32</f>
        <v>136.80555555555557</v>
      </c>
      <c r="O32" s="288">
        <f>'Manual Manpower Database'!AO32</f>
        <v>0</v>
      </c>
      <c r="P32" s="288">
        <f>'Manual Manpower Database'!AP32</f>
        <v>68.402777777777786</v>
      </c>
      <c r="Q32" s="288">
        <f>'Manual Manpower Database'!AQ32</f>
        <v>65.666666666666671</v>
      </c>
      <c r="R32" s="288">
        <f>'Manual Manpower Database'!AR32</f>
        <v>125</v>
      </c>
      <c r="S32" s="288">
        <f>'Manual Manpower Database'!AS32</f>
        <v>41.666666666666664</v>
      </c>
      <c r="T32" s="288">
        <f>'Manual Manpower Database'!AT32</f>
        <v>54.166666666666664</v>
      </c>
      <c r="U32" s="288">
        <f>'Manual Manpower Database'!AU32</f>
        <v>208.33333333333334</v>
      </c>
      <c r="V32" s="288">
        <f>'Manual Manpower Database'!AV32</f>
        <v>0</v>
      </c>
      <c r="W32" s="288">
        <f>'Manual Manpower Database'!AW32</f>
        <v>8.3333333333333339</v>
      </c>
      <c r="X32" s="288">
        <f>'Manual Manpower Database'!AX32</f>
        <v>55.555555555555557</v>
      </c>
      <c r="Y32" s="288">
        <f t="shared" si="1"/>
        <v>4197.2638888888887</v>
      </c>
    </row>
    <row r="33" spans="2:25" x14ac:dyDescent="0.25">
      <c r="B33" s="2" t="s">
        <v>217</v>
      </c>
      <c r="C33" s="1" t="s">
        <v>1179</v>
      </c>
      <c r="D33" s="2" t="s">
        <v>683</v>
      </c>
      <c r="E33" s="2" t="s">
        <v>680</v>
      </c>
      <c r="F33" s="1" t="s">
        <v>558</v>
      </c>
      <c r="G33" s="2" t="s">
        <v>1199</v>
      </c>
      <c r="H33" s="1" t="str">
        <f t="shared" si="0"/>
        <v>02900055</v>
      </c>
      <c r="J33" s="288">
        <v>641.30063473744951</v>
      </c>
      <c r="K33" s="288">
        <v>300</v>
      </c>
      <c r="L33" s="288">
        <v>0</v>
      </c>
      <c r="M33" s="288">
        <v>250</v>
      </c>
      <c r="N33" s="288">
        <v>26.720859780727064</v>
      </c>
      <c r="O33" s="288">
        <v>0</v>
      </c>
      <c r="P33" s="288">
        <v>13.360429890363532</v>
      </c>
      <c r="Q33" s="288">
        <v>12.826012694748991</v>
      </c>
      <c r="R33" s="288">
        <v>125</v>
      </c>
      <c r="S33" s="288">
        <v>41.666666666666664</v>
      </c>
      <c r="T33" s="288">
        <v>54.166666666666664</v>
      </c>
      <c r="U33" s="288">
        <v>208.33333333333334</v>
      </c>
      <c r="V33" s="288">
        <v>0</v>
      </c>
      <c r="W33" s="288">
        <v>8.3333333333333339</v>
      </c>
      <c r="X33" s="288">
        <v>55.555555555555557</v>
      </c>
      <c r="Y33" s="288">
        <v>1737.2634926588446</v>
      </c>
    </row>
    <row r="34" spans="2:25" x14ac:dyDescent="0.25">
      <c r="B34" s="2" t="s">
        <v>402</v>
      </c>
      <c r="C34" s="1" t="s">
        <v>1184</v>
      </c>
      <c r="D34" s="2" t="s">
        <v>1168</v>
      </c>
      <c r="E34" s="2" t="s">
        <v>1169</v>
      </c>
      <c r="F34" s="1" t="s">
        <v>997</v>
      </c>
      <c r="G34" s="2" t="s">
        <v>1206</v>
      </c>
      <c r="H34" s="1" t="str">
        <f t="shared" si="0"/>
        <v>01700018</v>
      </c>
      <c r="J34" s="288">
        <f>'Manual Manpower Database'!AJ33</f>
        <v>2810</v>
      </c>
      <c r="K34" s="288">
        <f>'Manual Manpower Database'!AK33</f>
        <v>300</v>
      </c>
      <c r="L34" s="288">
        <f>'Manual Manpower Database'!AL33</f>
        <v>0</v>
      </c>
      <c r="M34" s="288">
        <f>'Manual Manpower Database'!AM33</f>
        <v>150</v>
      </c>
      <c r="N34" s="288">
        <f>'Manual Manpower Database'!AN33</f>
        <v>117.08333333333333</v>
      </c>
      <c r="O34" s="288">
        <f>'Manual Manpower Database'!AO33</f>
        <v>0</v>
      </c>
      <c r="P34" s="288">
        <f>'Manual Manpower Database'!AP33</f>
        <v>58.541666666666664</v>
      </c>
      <c r="Q34" s="288">
        <f>'Manual Manpower Database'!AQ33</f>
        <v>56.2</v>
      </c>
      <c r="R34" s="288">
        <f>'Manual Manpower Database'!AR33</f>
        <v>125</v>
      </c>
      <c r="S34" s="288">
        <f>'Manual Manpower Database'!AS33</f>
        <v>41.666666666666664</v>
      </c>
      <c r="T34" s="288">
        <f>'Manual Manpower Database'!AT33</f>
        <v>54.166666666666664</v>
      </c>
      <c r="U34" s="288">
        <f>'Manual Manpower Database'!AU33</f>
        <v>208.33333333333334</v>
      </c>
      <c r="V34" s="288">
        <f>'Manual Manpower Database'!AV33</f>
        <v>0</v>
      </c>
      <c r="W34" s="288">
        <f>'Manual Manpower Database'!AW33</f>
        <v>8.3333333333333339</v>
      </c>
      <c r="X34" s="288">
        <f>'Manual Manpower Database'!AX33</f>
        <v>55.555555555555557</v>
      </c>
      <c r="Y34" s="288">
        <f t="shared" si="1"/>
        <v>3984.8805555555555</v>
      </c>
    </row>
    <row r="35" spans="2:25" x14ac:dyDescent="0.25">
      <c r="B35" s="2" t="s">
        <v>402</v>
      </c>
      <c r="C35" s="1" t="s">
        <v>1184</v>
      </c>
      <c r="D35" s="2" t="s">
        <v>1166</v>
      </c>
      <c r="E35" s="2" t="s">
        <v>1167</v>
      </c>
      <c r="F35" s="1" t="s">
        <v>999</v>
      </c>
      <c r="G35" s="2" t="s">
        <v>1205</v>
      </c>
      <c r="H35" s="1" t="str">
        <f t="shared" si="0"/>
        <v>01500012</v>
      </c>
      <c r="J35" s="288">
        <f>'Manual Manpower Database'!AJ34</f>
        <v>1150</v>
      </c>
      <c r="K35" s="288">
        <f>'Manual Manpower Database'!AK34</f>
        <v>0</v>
      </c>
      <c r="L35" s="288">
        <f>'Manual Manpower Database'!AL34</f>
        <v>0</v>
      </c>
      <c r="M35" s="288">
        <f>'Manual Manpower Database'!AM34</f>
        <v>150</v>
      </c>
      <c r="N35" s="288">
        <f>'Manual Manpower Database'!AN34</f>
        <v>47.916666666666664</v>
      </c>
      <c r="O35" s="288">
        <f>'Manual Manpower Database'!AO34</f>
        <v>0</v>
      </c>
      <c r="P35" s="288">
        <f>'Manual Manpower Database'!AP34</f>
        <v>23.958333333333332</v>
      </c>
      <c r="Q35" s="288">
        <f>'Manual Manpower Database'!AQ34</f>
        <v>23</v>
      </c>
      <c r="R35" s="288">
        <f>'Manual Manpower Database'!AR34</f>
        <v>125</v>
      </c>
      <c r="S35" s="288">
        <f>'Manual Manpower Database'!AS34</f>
        <v>41.666666666666664</v>
      </c>
      <c r="T35" s="288">
        <f>'Manual Manpower Database'!AT34</f>
        <v>54.166666666666664</v>
      </c>
      <c r="U35" s="288">
        <f>'Manual Manpower Database'!AU34</f>
        <v>208.33333333333334</v>
      </c>
      <c r="V35" s="288">
        <f>'Manual Manpower Database'!AV34</f>
        <v>0</v>
      </c>
      <c r="W35" s="288">
        <f>'Manual Manpower Database'!AW34</f>
        <v>8.3333333333333339</v>
      </c>
      <c r="X35" s="288">
        <f>'Manual Manpower Database'!AX34</f>
        <v>55.555555555555557</v>
      </c>
      <c r="Y35" s="288">
        <f t="shared" si="1"/>
        <v>1887.9305555555557</v>
      </c>
    </row>
    <row r="36" spans="2:25" x14ac:dyDescent="0.25">
      <c r="B36" s="2" t="s">
        <v>218</v>
      </c>
      <c r="C36" s="1" t="s">
        <v>1186</v>
      </c>
      <c r="D36" s="2" t="s">
        <v>320</v>
      </c>
      <c r="E36" s="2" t="s">
        <v>1172</v>
      </c>
      <c r="F36" s="1" t="s">
        <v>1000</v>
      </c>
      <c r="G36" s="2" t="s">
        <v>1191</v>
      </c>
      <c r="H36" s="1" t="str">
        <f t="shared" si="0"/>
        <v>03300020</v>
      </c>
      <c r="J36" s="288">
        <f>'Manual Manpower Database'!AJ35</f>
        <v>2906.2</v>
      </c>
      <c r="K36" s="288">
        <f>'Manual Manpower Database'!AK35</f>
        <v>0</v>
      </c>
      <c r="L36" s="288">
        <f>'Manual Manpower Database'!AL35</f>
        <v>0</v>
      </c>
      <c r="M36" s="288">
        <f>'Manual Manpower Database'!AM35</f>
        <v>250</v>
      </c>
      <c r="N36" s="288">
        <f>'Manual Manpower Database'!AN35</f>
        <v>121.09166666666665</v>
      </c>
      <c r="O36" s="288">
        <f>'Manual Manpower Database'!AO35</f>
        <v>0</v>
      </c>
      <c r="P36" s="288">
        <f>'Manual Manpower Database'!AP35</f>
        <v>60.545833333333327</v>
      </c>
      <c r="Q36" s="288">
        <f>'Manual Manpower Database'!AQ35</f>
        <v>58.123999999999995</v>
      </c>
      <c r="R36" s="288">
        <f>'Manual Manpower Database'!AR35</f>
        <v>125</v>
      </c>
      <c r="S36" s="288">
        <f>'Manual Manpower Database'!AS35</f>
        <v>41.666666666666664</v>
      </c>
      <c r="T36" s="288">
        <f>'Manual Manpower Database'!AT35</f>
        <v>54.166666666666664</v>
      </c>
      <c r="U36" s="288">
        <f>'Manual Manpower Database'!AU35</f>
        <v>208.33333333333334</v>
      </c>
      <c r="V36" s="288">
        <f>'Manual Manpower Database'!AV35</f>
        <v>0</v>
      </c>
      <c r="W36" s="288">
        <f>'Manual Manpower Database'!AW35</f>
        <v>8.3333333333333339</v>
      </c>
      <c r="X36" s="288">
        <f>'Manual Manpower Database'!AX35</f>
        <v>55.555555555555557</v>
      </c>
      <c r="Y36" s="288">
        <f t="shared" si="1"/>
        <v>3889.0170555555551</v>
      </c>
    </row>
    <row r="37" spans="2:25" x14ac:dyDescent="0.25">
      <c r="B37" s="2" t="s">
        <v>402</v>
      </c>
      <c r="C37" s="1" t="s">
        <v>1184</v>
      </c>
      <c r="D37" s="2" t="s">
        <v>1168</v>
      </c>
      <c r="E37" s="2" t="s">
        <v>1169</v>
      </c>
      <c r="F37" s="1" t="s">
        <v>1002</v>
      </c>
      <c r="G37" s="2" t="s">
        <v>1207</v>
      </c>
      <c r="H37" s="1" t="str">
        <f t="shared" ref="H37:H68" si="2">D37&amp;G37</f>
        <v>01700021</v>
      </c>
      <c r="J37" s="288">
        <f>'Manual Manpower Database'!AJ36</f>
        <v>3194.6993464052289</v>
      </c>
      <c r="K37" s="288">
        <f>'Manual Manpower Database'!AK36</f>
        <v>400</v>
      </c>
      <c r="L37" s="288">
        <f>'Manual Manpower Database'!AL36</f>
        <v>798.67483660130722</v>
      </c>
      <c r="M37" s="288">
        <f>'Manual Manpower Database'!AM36</f>
        <v>150</v>
      </c>
      <c r="N37" s="288">
        <f>'Manual Manpower Database'!AN36</f>
        <v>133.11247276688454</v>
      </c>
      <c r="O37" s="288">
        <f>'Manual Manpower Database'!AO36</f>
        <v>0</v>
      </c>
      <c r="P37" s="288">
        <f>'Manual Manpower Database'!AP36</f>
        <v>66.556236383442268</v>
      </c>
      <c r="Q37" s="288">
        <f>'Manual Manpower Database'!AQ36</f>
        <v>79.867483660130716</v>
      </c>
      <c r="R37" s="288">
        <f>'Manual Manpower Database'!AR36</f>
        <v>125</v>
      </c>
      <c r="S37" s="288">
        <f>'Manual Manpower Database'!AS36</f>
        <v>41.666666666666664</v>
      </c>
      <c r="T37" s="288">
        <f>'Manual Manpower Database'!AT36</f>
        <v>54.166666666666664</v>
      </c>
      <c r="U37" s="288">
        <f>'Manual Manpower Database'!AU36</f>
        <v>208.33333333333334</v>
      </c>
      <c r="V37" s="288">
        <f>'Manual Manpower Database'!AV36</f>
        <v>0</v>
      </c>
      <c r="W37" s="288">
        <f>'Manual Manpower Database'!AW36</f>
        <v>8.3333333333333339</v>
      </c>
      <c r="X37" s="288">
        <f>'Manual Manpower Database'!AX36</f>
        <v>55.555555555555557</v>
      </c>
      <c r="Y37" s="288">
        <f t="shared" si="1"/>
        <v>5315.9659313725497</v>
      </c>
    </row>
    <row r="38" spans="2:25" x14ac:dyDescent="0.25">
      <c r="B38" s="2" t="s">
        <v>217</v>
      </c>
      <c r="C38" s="1" t="s">
        <v>1179</v>
      </c>
      <c r="D38" s="2" t="s">
        <v>313</v>
      </c>
      <c r="E38" s="2" t="s">
        <v>314</v>
      </c>
      <c r="F38" s="1" t="s">
        <v>1004</v>
      </c>
      <c r="G38" s="2" t="s">
        <v>800</v>
      </c>
      <c r="H38" s="1" t="str">
        <f t="shared" si="2"/>
        <v>02100005</v>
      </c>
      <c r="J38" s="288">
        <f>'Manual Manpower Database'!AJ37</f>
        <v>1150.6386138613861</v>
      </c>
      <c r="K38" s="288">
        <f>'Manual Manpower Database'!AK37</f>
        <v>500</v>
      </c>
      <c r="L38" s="288">
        <f>'Manual Manpower Database'!AL37</f>
        <v>191.77310231023102</v>
      </c>
      <c r="M38" s="288">
        <f>'Manual Manpower Database'!AM37</f>
        <v>250</v>
      </c>
      <c r="N38" s="288">
        <f>'Manual Manpower Database'!AN37</f>
        <v>47.943275577557756</v>
      </c>
      <c r="O38" s="288">
        <f>'Manual Manpower Database'!AO37</f>
        <v>0</v>
      </c>
      <c r="P38" s="288">
        <f>'Manual Manpower Database'!AP37</f>
        <v>23.971637788778878</v>
      </c>
      <c r="Q38" s="288">
        <f>'Manual Manpower Database'!AQ37</f>
        <v>26.848234323432344</v>
      </c>
      <c r="R38" s="288">
        <f>'Manual Manpower Database'!AR37</f>
        <v>125</v>
      </c>
      <c r="S38" s="288">
        <f>'Manual Manpower Database'!AS37</f>
        <v>41.666666666666664</v>
      </c>
      <c r="T38" s="288">
        <f>'Manual Manpower Database'!AT37</f>
        <v>54.166666666666664</v>
      </c>
      <c r="U38" s="288">
        <f>'Manual Manpower Database'!AU37</f>
        <v>208.33333333333334</v>
      </c>
      <c r="V38" s="288">
        <f>'Manual Manpower Database'!AV37</f>
        <v>0</v>
      </c>
      <c r="W38" s="288">
        <f>'Manual Manpower Database'!AW37</f>
        <v>8.3333333333333339</v>
      </c>
      <c r="X38" s="288">
        <f>'Manual Manpower Database'!AX37</f>
        <v>55.555555555555557</v>
      </c>
      <c r="Y38" s="288">
        <f t="shared" si="1"/>
        <v>2684.2304194169419</v>
      </c>
    </row>
    <row r="39" spans="2:25" x14ac:dyDescent="0.25">
      <c r="B39" s="2" t="s">
        <v>217</v>
      </c>
      <c r="C39" s="1" t="s">
        <v>1179</v>
      </c>
      <c r="D39" s="2" t="s">
        <v>683</v>
      </c>
      <c r="E39" s="2" t="s">
        <v>680</v>
      </c>
      <c r="F39" s="1" t="s">
        <v>1006</v>
      </c>
      <c r="G39" s="2" t="s">
        <v>1193</v>
      </c>
      <c r="H39" s="1" t="str">
        <f t="shared" si="2"/>
        <v>02900030</v>
      </c>
      <c r="J39" s="288">
        <f>'Manual Manpower Database'!AJ38</f>
        <v>2250</v>
      </c>
      <c r="K39" s="288">
        <f>'Manual Manpower Database'!AK38</f>
        <v>0</v>
      </c>
      <c r="L39" s="288">
        <f>'Manual Manpower Database'!AL38</f>
        <v>0</v>
      </c>
      <c r="M39" s="288">
        <f>'Manual Manpower Database'!AM38</f>
        <v>200</v>
      </c>
      <c r="N39" s="288">
        <f>'Manual Manpower Database'!AN38</f>
        <v>93.75</v>
      </c>
      <c r="O39" s="288">
        <f>'Manual Manpower Database'!AO38</f>
        <v>0</v>
      </c>
      <c r="P39" s="288">
        <f>'Manual Manpower Database'!AP38</f>
        <v>46.875</v>
      </c>
      <c r="Q39" s="288">
        <f>'Manual Manpower Database'!AQ38</f>
        <v>45</v>
      </c>
      <c r="R39" s="288">
        <f>'Manual Manpower Database'!AR38</f>
        <v>125</v>
      </c>
      <c r="S39" s="288">
        <f>'Manual Manpower Database'!AS38</f>
        <v>41.666666666666664</v>
      </c>
      <c r="T39" s="288">
        <f>'Manual Manpower Database'!AT38</f>
        <v>54.166666666666664</v>
      </c>
      <c r="U39" s="288">
        <f>'Manual Manpower Database'!AU38</f>
        <v>208.33333333333334</v>
      </c>
      <c r="V39" s="288">
        <f>'Manual Manpower Database'!AV38</f>
        <v>0</v>
      </c>
      <c r="W39" s="288">
        <f>'Manual Manpower Database'!AW38</f>
        <v>8.3333333333333339</v>
      </c>
      <c r="X39" s="288">
        <f>'Manual Manpower Database'!AX38</f>
        <v>55.555555555555557</v>
      </c>
      <c r="Y39" s="288">
        <f t="shared" si="1"/>
        <v>3128.6805555555557</v>
      </c>
    </row>
    <row r="40" spans="2:25" x14ac:dyDescent="0.25">
      <c r="B40" s="2" t="s">
        <v>278</v>
      </c>
      <c r="C40" s="1" t="s">
        <v>1187</v>
      </c>
      <c r="D40" s="2" t="s">
        <v>1176</v>
      </c>
      <c r="E40" s="2" t="s">
        <v>1177</v>
      </c>
      <c r="F40" s="1" t="s">
        <v>1007</v>
      </c>
      <c r="G40" s="2" t="s">
        <v>1191</v>
      </c>
      <c r="H40" s="1" t="str">
        <f t="shared" si="2"/>
        <v>15900020</v>
      </c>
      <c r="J40" s="288">
        <f>'Manual Manpower Database'!AJ39</f>
        <v>2812.5</v>
      </c>
      <c r="K40" s="288">
        <f>'Manual Manpower Database'!AK39</f>
        <v>0</v>
      </c>
      <c r="L40" s="288">
        <f>'Manual Manpower Database'!AL39</f>
        <v>0</v>
      </c>
      <c r="M40" s="288">
        <f>'Manual Manpower Database'!AM39</f>
        <v>0</v>
      </c>
      <c r="N40" s="288">
        <f>'Manual Manpower Database'!AN39</f>
        <v>117.1875</v>
      </c>
      <c r="O40" s="288">
        <f>'Manual Manpower Database'!AO39</f>
        <v>0</v>
      </c>
      <c r="P40" s="288">
        <f>'Manual Manpower Database'!AP39</f>
        <v>58.59375</v>
      </c>
      <c r="Q40" s="288">
        <f>'Manual Manpower Database'!AQ39</f>
        <v>56.25</v>
      </c>
      <c r="R40" s="288">
        <f>'Manual Manpower Database'!AR39</f>
        <v>125</v>
      </c>
      <c r="S40" s="288">
        <f>'Manual Manpower Database'!AS39</f>
        <v>41.666666666666664</v>
      </c>
      <c r="T40" s="288">
        <f>'Manual Manpower Database'!AT39</f>
        <v>54.166666666666664</v>
      </c>
      <c r="U40" s="288">
        <f>'Manual Manpower Database'!AU39</f>
        <v>208.33333333333334</v>
      </c>
      <c r="V40" s="288">
        <f>'Manual Manpower Database'!AV39</f>
        <v>0</v>
      </c>
      <c r="W40" s="288">
        <f>'Manual Manpower Database'!AW39</f>
        <v>8.3333333333333339</v>
      </c>
      <c r="X40" s="288">
        <f>'Manual Manpower Database'!AX39</f>
        <v>55.555555555555557</v>
      </c>
      <c r="Y40" s="288">
        <f t="shared" si="1"/>
        <v>3537.5868055555557</v>
      </c>
    </row>
    <row r="41" spans="2:25" x14ac:dyDescent="0.25">
      <c r="B41" s="2" t="s">
        <v>217</v>
      </c>
      <c r="C41" s="1" t="s">
        <v>1179</v>
      </c>
      <c r="D41" s="2" t="s">
        <v>310</v>
      </c>
      <c r="E41" s="2" t="s">
        <v>1008</v>
      </c>
      <c r="F41" s="1" t="s">
        <v>1009</v>
      </c>
      <c r="G41" s="2" t="s">
        <v>800</v>
      </c>
      <c r="H41" s="1" t="str">
        <f t="shared" si="2"/>
        <v>02300005</v>
      </c>
      <c r="J41" s="288">
        <f>'Manual Manpower Database'!AJ40</f>
        <v>2750</v>
      </c>
      <c r="K41" s="288">
        <f>'Manual Manpower Database'!AK40</f>
        <v>0</v>
      </c>
      <c r="L41" s="288">
        <f>'Manual Manpower Database'!AL40</f>
        <v>0</v>
      </c>
      <c r="M41" s="288">
        <f>'Manual Manpower Database'!AM40</f>
        <v>0</v>
      </c>
      <c r="N41" s="288">
        <f>'Manual Manpower Database'!AN40</f>
        <v>114.58333333333333</v>
      </c>
      <c r="O41" s="288">
        <f>'Manual Manpower Database'!AO40</f>
        <v>0</v>
      </c>
      <c r="P41" s="288">
        <f>'Manual Manpower Database'!AP40</f>
        <v>57.291666666666664</v>
      </c>
      <c r="Q41" s="288">
        <f>'Manual Manpower Database'!AQ40</f>
        <v>55</v>
      </c>
      <c r="R41" s="288">
        <f>'Manual Manpower Database'!AR40</f>
        <v>125</v>
      </c>
      <c r="S41" s="288">
        <f>'Manual Manpower Database'!AS40</f>
        <v>41.666666666666664</v>
      </c>
      <c r="T41" s="288">
        <f>'Manual Manpower Database'!AT40</f>
        <v>54.166666666666664</v>
      </c>
      <c r="U41" s="288">
        <f>'Manual Manpower Database'!AU40</f>
        <v>208.33333333333334</v>
      </c>
      <c r="V41" s="288">
        <f>'Manual Manpower Database'!AV40</f>
        <v>0</v>
      </c>
      <c r="W41" s="288">
        <f>'Manual Manpower Database'!AW40</f>
        <v>8.3333333333333339</v>
      </c>
      <c r="X41" s="288">
        <f>'Manual Manpower Database'!AX40</f>
        <v>55.555555555555557</v>
      </c>
      <c r="Y41" s="288">
        <f t="shared" si="1"/>
        <v>3469.9305555555557</v>
      </c>
    </row>
    <row r="42" spans="2:25" x14ac:dyDescent="0.25">
      <c r="B42" s="2" t="s">
        <v>279</v>
      </c>
      <c r="C42" s="1" t="s">
        <v>990</v>
      </c>
      <c r="D42" s="2" t="s">
        <v>395</v>
      </c>
      <c r="E42" s="2" t="s">
        <v>1178</v>
      </c>
      <c r="F42" s="1" t="s">
        <v>1010</v>
      </c>
      <c r="G42" s="2" t="s">
        <v>1189</v>
      </c>
      <c r="H42" s="1" t="str">
        <f t="shared" si="2"/>
        <v>16050010</v>
      </c>
      <c r="J42" s="288">
        <f>'Manual Manpower Database'!AJ41</f>
        <v>2875.82</v>
      </c>
      <c r="K42" s="288">
        <f>'Manual Manpower Database'!AK41</f>
        <v>400</v>
      </c>
      <c r="L42" s="288">
        <f>'Manual Manpower Database'!AL41</f>
        <v>479.30333333333334</v>
      </c>
      <c r="M42" s="288">
        <f>'Manual Manpower Database'!AM41</f>
        <v>250</v>
      </c>
      <c r="N42" s="288">
        <f>'Manual Manpower Database'!AN41</f>
        <v>119.82583333333334</v>
      </c>
      <c r="O42" s="288">
        <f>'Manual Manpower Database'!AO41</f>
        <v>0</v>
      </c>
      <c r="P42" s="288">
        <f>'Manual Manpower Database'!AP41</f>
        <v>59.912916666666668</v>
      </c>
      <c r="Q42" s="288">
        <f>'Manual Manpower Database'!AQ41</f>
        <v>67.102466666666672</v>
      </c>
      <c r="R42" s="288">
        <f>'Manual Manpower Database'!AR41</f>
        <v>125</v>
      </c>
      <c r="S42" s="288">
        <f>'Manual Manpower Database'!AS41</f>
        <v>41.666666666666664</v>
      </c>
      <c r="T42" s="288">
        <f>'Manual Manpower Database'!AT41</f>
        <v>54.166666666666664</v>
      </c>
      <c r="U42" s="288">
        <f>'Manual Manpower Database'!AU41</f>
        <v>208.33333333333334</v>
      </c>
      <c r="V42" s="288">
        <f>'Manual Manpower Database'!AV41</f>
        <v>0</v>
      </c>
      <c r="W42" s="288">
        <f>'Manual Manpower Database'!AW41</f>
        <v>8.3333333333333339</v>
      </c>
      <c r="X42" s="288">
        <f>'Manual Manpower Database'!AX41</f>
        <v>55.555555555555557</v>
      </c>
      <c r="Y42" s="288">
        <f t="shared" si="1"/>
        <v>4745.0201055555563</v>
      </c>
    </row>
    <row r="43" spans="2:25" x14ac:dyDescent="0.25">
      <c r="B43" s="2" t="s">
        <v>402</v>
      </c>
      <c r="C43" s="1" t="s">
        <v>1184</v>
      </c>
      <c r="D43" s="2" t="s">
        <v>1168</v>
      </c>
      <c r="E43" s="2" t="s">
        <v>1169</v>
      </c>
      <c r="F43" s="1" t="s">
        <v>1011</v>
      </c>
      <c r="G43" s="2" t="s">
        <v>1208</v>
      </c>
      <c r="H43" s="1" t="str">
        <f t="shared" si="2"/>
        <v>01700024</v>
      </c>
      <c r="J43" s="288">
        <f>'Manual Manpower Database'!AJ42</f>
        <v>2250</v>
      </c>
      <c r="K43" s="288">
        <f>'Manual Manpower Database'!AK42</f>
        <v>0</v>
      </c>
      <c r="L43" s="288">
        <f>'Manual Manpower Database'!AL42</f>
        <v>0</v>
      </c>
      <c r="M43" s="288">
        <f>'Manual Manpower Database'!AM42</f>
        <v>150</v>
      </c>
      <c r="N43" s="288">
        <f>'Manual Manpower Database'!AN42</f>
        <v>93.75</v>
      </c>
      <c r="O43" s="288">
        <f>'Manual Manpower Database'!AO42</f>
        <v>0</v>
      </c>
      <c r="P43" s="288">
        <f>'Manual Manpower Database'!AP42</f>
        <v>46.875</v>
      </c>
      <c r="Q43" s="288">
        <f>'Manual Manpower Database'!AQ42</f>
        <v>45</v>
      </c>
      <c r="R43" s="288">
        <f>'Manual Manpower Database'!AR42</f>
        <v>125</v>
      </c>
      <c r="S43" s="288">
        <f>'Manual Manpower Database'!AS42</f>
        <v>41.666666666666664</v>
      </c>
      <c r="T43" s="288">
        <f>'Manual Manpower Database'!AT42</f>
        <v>54.166666666666664</v>
      </c>
      <c r="U43" s="288">
        <f>'Manual Manpower Database'!AU42</f>
        <v>208.33333333333334</v>
      </c>
      <c r="V43" s="288">
        <f>'Manual Manpower Database'!AV42</f>
        <v>0</v>
      </c>
      <c r="W43" s="288">
        <f>'Manual Manpower Database'!AW42</f>
        <v>8.3333333333333339</v>
      </c>
      <c r="X43" s="288">
        <f>'Manual Manpower Database'!AX42</f>
        <v>55.555555555555557</v>
      </c>
      <c r="Y43" s="288">
        <f t="shared" si="1"/>
        <v>3078.6805555555557</v>
      </c>
    </row>
    <row r="44" spans="2:25" x14ac:dyDescent="0.25">
      <c r="B44" s="2" t="s">
        <v>224</v>
      </c>
      <c r="C44" s="1" t="s">
        <v>9</v>
      </c>
      <c r="D44" s="2" t="s">
        <v>1180</v>
      </c>
      <c r="E44" s="2" t="s">
        <v>1181</v>
      </c>
      <c r="F44" s="1" t="s">
        <v>1012</v>
      </c>
      <c r="G44" s="2" t="s">
        <v>800</v>
      </c>
      <c r="H44" s="1" t="str">
        <f t="shared" si="2"/>
        <v>09050005</v>
      </c>
      <c r="J44" s="288">
        <f>'Manual Manpower Database'!AJ43</f>
        <v>3506.2</v>
      </c>
      <c r="K44" s="288">
        <f>'Manual Manpower Database'!AK43</f>
        <v>400</v>
      </c>
      <c r="L44" s="288">
        <f>'Manual Manpower Database'!AL43</f>
        <v>876.54999999999984</v>
      </c>
      <c r="M44" s="288">
        <f>'Manual Manpower Database'!AM43</f>
        <v>150</v>
      </c>
      <c r="N44" s="288">
        <f>'Manual Manpower Database'!AN43</f>
        <v>146.09166666666667</v>
      </c>
      <c r="O44" s="288">
        <f>'Manual Manpower Database'!AO43</f>
        <v>0</v>
      </c>
      <c r="P44" s="288">
        <f>'Manual Manpower Database'!AP43</f>
        <v>73.045833333333334</v>
      </c>
      <c r="Q44" s="288">
        <f>'Manual Manpower Database'!AQ43</f>
        <v>87.655000000000001</v>
      </c>
      <c r="R44" s="288">
        <f>'Manual Manpower Database'!AR43</f>
        <v>125</v>
      </c>
      <c r="S44" s="288">
        <f>'Manual Manpower Database'!AS43</f>
        <v>41.666666666666664</v>
      </c>
      <c r="T44" s="288">
        <f>'Manual Manpower Database'!AT43</f>
        <v>54.166666666666664</v>
      </c>
      <c r="U44" s="288">
        <f>'Manual Manpower Database'!AU43</f>
        <v>208.33333333333334</v>
      </c>
      <c r="V44" s="288">
        <f>'Manual Manpower Database'!AV43</f>
        <v>0</v>
      </c>
      <c r="W44" s="288">
        <f>'Manual Manpower Database'!AW43</f>
        <v>8.3333333333333339</v>
      </c>
      <c r="X44" s="288">
        <f>'Manual Manpower Database'!AX43</f>
        <v>55.555555555555557</v>
      </c>
      <c r="Y44" s="288">
        <f t="shared" si="1"/>
        <v>5732.5980555555552</v>
      </c>
    </row>
    <row r="45" spans="2:25" x14ac:dyDescent="0.25">
      <c r="B45" s="2" t="s">
        <v>278</v>
      </c>
      <c r="C45" s="1" t="s">
        <v>1187</v>
      </c>
      <c r="D45" s="2" t="s">
        <v>1176</v>
      </c>
      <c r="E45" s="2" t="s">
        <v>1177</v>
      </c>
      <c r="F45" s="1" t="s">
        <v>1013</v>
      </c>
      <c r="G45" s="2" t="s">
        <v>1192</v>
      </c>
      <c r="H45" s="1" t="str">
        <f t="shared" si="2"/>
        <v>15900025</v>
      </c>
      <c r="J45" s="288">
        <f>'Manual Manpower Database'!AJ44</f>
        <v>2583.3333333333335</v>
      </c>
      <c r="K45" s="288">
        <f>'Manual Manpower Database'!AK44</f>
        <v>0</v>
      </c>
      <c r="L45" s="288">
        <f>'Manual Manpower Database'!AL44</f>
        <v>0</v>
      </c>
      <c r="M45" s="288">
        <f>'Manual Manpower Database'!AM44</f>
        <v>0</v>
      </c>
      <c r="N45" s="288">
        <f>'Manual Manpower Database'!AN44</f>
        <v>107.6388888888889</v>
      </c>
      <c r="O45" s="288">
        <f>'Manual Manpower Database'!AO44</f>
        <v>0</v>
      </c>
      <c r="P45" s="288">
        <f>'Manual Manpower Database'!AP44</f>
        <v>53.81944444444445</v>
      </c>
      <c r="Q45" s="288">
        <f>'Manual Manpower Database'!AQ44</f>
        <v>51.666666666666671</v>
      </c>
      <c r="R45" s="288">
        <f>'Manual Manpower Database'!AR44</f>
        <v>125</v>
      </c>
      <c r="S45" s="288">
        <f>'Manual Manpower Database'!AS44</f>
        <v>41.666666666666664</v>
      </c>
      <c r="T45" s="288">
        <f>'Manual Manpower Database'!AT44</f>
        <v>54.166666666666664</v>
      </c>
      <c r="U45" s="288">
        <f>'Manual Manpower Database'!AU44</f>
        <v>208.33333333333334</v>
      </c>
      <c r="V45" s="288">
        <f>'Manual Manpower Database'!AV44</f>
        <v>0</v>
      </c>
      <c r="W45" s="288">
        <f>'Manual Manpower Database'!AW44</f>
        <v>8.3333333333333339</v>
      </c>
      <c r="X45" s="288">
        <f>'Manual Manpower Database'!AX44</f>
        <v>55.555555555555557</v>
      </c>
      <c r="Y45" s="288">
        <f t="shared" si="1"/>
        <v>3289.5138888888887</v>
      </c>
    </row>
    <row r="46" spans="2:25" x14ac:dyDescent="0.25">
      <c r="B46" s="2" t="s">
        <v>219</v>
      </c>
      <c r="C46" s="1" t="s">
        <v>4</v>
      </c>
      <c r="D46" s="2" t="s">
        <v>324</v>
      </c>
      <c r="E46" s="2" t="s">
        <v>326</v>
      </c>
      <c r="F46" s="1" t="s">
        <v>1014</v>
      </c>
      <c r="G46" s="2" t="s">
        <v>800</v>
      </c>
      <c r="H46" s="1" t="str">
        <f t="shared" si="2"/>
        <v>04200005</v>
      </c>
      <c r="J46" s="288">
        <f>'Manual Manpower Database'!AJ45</f>
        <v>2603.125</v>
      </c>
      <c r="K46" s="288">
        <f>'Manual Manpower Database'!AK45</f>
        <v>0</v>
      </c>
      <c r="L46" s="288">
        <f>'Manual Manpower Database'!AL45</f>
        <v>0</v>
      </c>
      <c r="M46" s="288">
        <f>'Manual Manpower Database'!AM45</f>
        <v>150</v>
      </c>
      <c r="N46" s="288">
        <f>'Manual Manpower Database'!AN45</f>
        <v>108.46354166666667</v>
      </c>
      <c r="O46" s="288">
        <f>'Manual Manpower Database'!AO45</f>
        <v>0</v>
      </c>
      <c r="P46" s="288">
        <f>'Manual Manpower Database'!AP45</f>
        <v>54.231770833333336</v>
      </c>
      <c r="Q46" s="288">
        <f>'Manual Manpower Database'!AQ45</f>
        <v>52.0625</v>
      </c>
      <c r="R46" s="288">
        <f>'Manual Manpower Database'!AR45</f>
        <v>125</v>
      </c>
      <c r="S46" s="288">
        <f>'Manual Manpower Database'!AS45</f>
        <v>41.666666666666664</v>
      </c>
      <c r="T46" s="288">
        <f>'Manual Manpower Database'!AT45</f>
        <v>54.166666666666664</v>
      </c>
      <c r="U46" s="288">
        <f>'Manual Manpower Database'!AU45</f>
        <v>208.33333333333334</v>
      </c>
      <c r="V46" s="288">
        <f>'Manual Manpower Database'!AV45</f>
        <v>0</v>
      </c>
      <c r="W46" s="288">
        <f>'Manual Manpower Database'!AW45</f>
        <v>8.3333333333333339</v>
      </c>
      <c r="X46" s="288">
        <f>'Manual Manpower Database'!AX45</f>
        <v>55.555555555555557</v>
      </c>
      <c r="Y46" s="288">
        <f t="shared" si="1"/>
        <v>3460.9383680555557</v>
      </c>
    </row>
    <row r="47" spans="2:25" x14ac:dyDescent="0.25">
      <c r="B47" s="2" t="s">
        <v>224</v>
      </c>
      <c r="C47" s="1" t="s">
        <v>9</v>
      </c>
      <c r="D47" s="2" t="s">
        <v>362</v>
      </c>
      <c r="E47" s="2" t="s">
        <v>363</v>
      </c>
      <c r="F47" s="1" t="s">
        <v>1228</v>
      </c>
      <c r="G47" s="2" t="s">
        <v>1191</v>
      </c>
      <c r="H47" s="1" t="str">
        <f t="shared" si="2"/>
        <v>09700020</v>
      </c>
      <c r="J47" s="288">
        <v>2603.125</v>
      </c>
      <c r="K47" s="288">
        <v>0</v>
      </c>
      <c r="L47" s="288">
        <v>0</v>
      </c>
      <c r="M47" s="288">
        <v>150</v>
      </c>
      <c r="N47" s="288">
        <v>108.46354166666667</v>
      </c>
      <c r="O47" s="288">
        <v>0</v>
      </c>
      <c r="P47" s="288">
        <v>54.231770833333336</v>
      </c>
      <c r="Q47" s="288">
        <v>52.0625</v>
      </c>
      <c r="R47" s="288">
        <v>125</v>
      </c>
      <c r="S47" s="288">
        <v>41.666666666666664</v>
      </c>
      <c r="T47" s="288">
        <v>54.166666666666664</v>
      </c>
      <c r="U47" s="288">
        <v>208.33333333333334</v>
      </c>
      <c r="V47" s="288">
        <v>0</v>
      </c>
      <c r="W47" s="288">
        <v>8.3333333333333339</v>
      </c>
      <c r="X47" s="288">
        <v>55.555555555555557</v>
      </c>
      <c r="Y47" s="288">
        <v>3460.9383680555557</v>
      </c>
    </row>
    <row r="48" spans="2:25" x14ac:dyDescent="0.25">
      <c r="B48" s="2" t="s">
        <v>224</v>
      </c>
      <c r="C48" s="1" t="s">
        <v>9</v>
      </c>
      <c r="D48" s="2" t="s">
        <v>358</v>
      </c>
      <c r="E48" s="2" t="s">
        <v>361</v>
      </c>
      <c r="F48" s="1" t="s">
        <v>1229</v>
      </c>
      <c r="G48" s="2" t="s">
        <v>1189</v>
      </c>
      <c r="H48" s="1" t="str">
        <f t="shared" si="2"/>
        <v>09600010</v>
      </c>
      <c r="J48" s="288">
        <v>2603.125</v>
      </c>
      <c r="K48" s="288">
        <v>0</v>
      </c>
      <c r="L48" s="288">
        <v>0</v>
      </c>
      <c r="M48" s="288">
        <v>150</v>
      </c>
      <c r="N48" s="288">
        <v>108.46354166666667</v>
      </c>
      <c r="O48" s="288">
        <v>0</v>
      </c>
      <c r="P48" s="288">
        <v>54.231770833333336</v>
      </c>
      <c r="Q48" s="288">
        <v>52.0625</v>
      </c>
      <c r="R48" s="288">
        <v>125</v>
      </c>
      <c r="S48" s="288">
        <v>41.666666666666664</v>
      </c>
      <c r="T48" s="288">
        <v>54.166666666666664</v>
      </c>
      <c r="U48" s="288">
        <v>208.33333333333334</v>
      </c>
      <c r="V48" s="288">
        <v>0</v>
      </c>
      <c r="W48" s="288">
        <v>8.3333333333333339</v>
      </c>
      <c r="X48" s="288">
        <v>55.555555555555557</v>
      </c>
      <c r="Y48" s="288">
        <v>3460.9383680555557</v>
      </c>
    </row>
    <row r="49" spans="2:25" x14ac:dyDescent="0.25">
      <c r="B49" s="2" t="s">
        <v>402</v>
      </c>
      <c r="C49" s="1" t="s">
        <v>1184</v>
      </c>
      <c r="D49" s="2" t="s">
        <v>1166</v>
      </c>
      <c r="E49" s="2" t="s">
        <v>1167</v>
      </c>
      <c r="F49" s="1" t="s">
        <v>1015</v>
      </c>
      <c r="G49" s="2" t="s">
        <v>1190</v>
      </c>
      <c r="H49" s="1" t="str">
        <f t="shared" si="2"/>
        <v>01500015</v>
      </c>
      <c r="J49" s="288">
        <f>'Manual Manpower Database'!AJ46</f>
        <v>3282.48</v>
      </c>
      <c r="K49" s="288">
        <f>'Manual Manpower Database'!AK46</f>
        <v>300</v>
      </c>
      <c r="L49" s="288">
        <f>'Manual Manpower Database'!AL46</f>
        <v>547.08000000000004</v>
      </c>
      <c r="M49" s="288">
        <f>'Manual Manpower Database'!AM46</f>
        <v>150</v>
      </c>
      <c r="N49" s="288">
        <f>'Manual Manpower Database'!AN46</f>
        <v>136.77000000000001</v>
      </c>
      <c r="O49" s="288">
        <f>'Manual Manpower Database'!AO46</f>
        <v>0</v>
      </c>
      <c r="P49" s="288">
        <f>'Manual Manpower Database'!AP46</f>
        <v>68.385000000000005</v>
      </c>
      <c r="Q49" s="288">
        <f>'Manual Manpower Database'!AQ46</f>
        <v>76.591200000000001</v>
      </c>
      <c r="R49" s="288">
        <f>'Manual Manpower Database'!AR46</f>
        <v>125</v>
      </c>
      <c r="S49" s="288">
        <f>'Manual Manpower Database'!AS46</f>
        <v>41.666666666666664</v>
      </c>
      <c r="T49" s="288">
        <f>'Manual Manpower Database'!AT46</f>
        <v>54.166666666666664</v>
      </c>
      <c r="U49" s="288">
        <f>'Manual Manpower Database'!AU46</f>
        <v>208.33333333333334</v>
      </c>
      <c r="V49" s="288">
        <f>'Manual Manpower Database'!AV46</f>
        <v>0</v>
      </c>
      <c r="W49" s="288">
        <f>'Manual Manpower Database'!AW46</f>
        <v>8.3333333333333339</v>
      </c>
      <c r="X49" s="288">
        <f>'Manual Manpower Database'!AX46</f>
        <v>55.555555555555557</v>
      </c>
      <c r="Y49" s="288">
        <f t="shared" si="1"/>
        <v>5054.3617555555566</v>
      </c>
    </row>
    <row r="50" spans="2:25" x14ac:dyDescent="0.25">
      <c r="B50" s="2" t="s">
        <v>402</v>
      </c>
      <c r="C50" s="1" t="s">
        <v>1184</v>
      </c>
      <c r="D50" s="2" t="s">
        <v>1170</v>
      </c>
      <c r="E50" s="2" t="s">
        <v>1171</v>
      </c>
      <c r="F50" s="1" t="s">
        <v>1016</v>
      </c>
      <c r="G50" s="2" t="s">
        <v>1190</v>
      </c>
      <c r="H50" s="1" t="str">
        <f t="shared" si="2"/>
        <v>01800015</v>
      </c>
      <c r="J50" s="288">
        <f>'Manual Manpower Database'!AJ47</f>
        <v>1941</v>
      </c>
      <c r="K50" s="288">
        <f>'Manual Manpower Database'!AK47</f>
        <v>0</v>
      </c>
      <c r="L50" s="288">
        <f>'Manual Manpower Database'!AL47</f>
        <v>0</v>
      </c>
      <c r="M50" s="288">
        <f>'Manual Manpower Database'!AM47</f>
        <v>250</v>
      </c>
      <c r="N50" s="288">
        <f>'Manual Manpower Database'!AN47</f>
        <v>80.875</v>
      </c>
      <c r="O50" s="288">
        <f>'Manual Manpower Database'!AO47</f>
        <v>0</v>
      </c>
      <c r="P50" s="288">
        <f>'Manual Manpower Database'!AP47</f>
        <v>40.4375</v>
      </c>
      <c r="Q50" s="288">
        <f>'Manual Manpower Database'!AQ47</f>
        <v>38.82</v>
      </c>
      <c r="R50" s="288">
        <f>'Manual Manpower Database'!AR47</f>
        <v>125</v>
      </c>
      <c r="S50" s="288">
        <f>'Manual Manpower Database'!AS47</f>
        <v>41.666666666666664</v>
      </c>
      <c r="T50" s="288">
        <f>'Manual Manpower Database'!AT47</f>
        <v>54.166666666666664</v>
      </c>
      <c r="U50" s="288">
        <f>'Manual Manpower Database'!AU47</f>
        <v>208.33333333333334</v>
      </c>
      <c r="V50" s="288">
        <f>'Manual Manpower Database'!AV47</f>
        <v>0</v>
      </c>
      <c r="W50" s="288">
        <f>'Manual Manpower Database'!AW47</f>
        <v>8.3333333333333339</v>
      </c>
      <c r="X50" s="288">
        <f>'Manual Manpower Database'!AX47</f>
        <v>55.555555555555557</v>
      </c>
      <c r="Y50" s="288">
        <f t="shared" si="1"/>
        <v>2844.1880555555558</v>
      </c>
    </row>
    <row r="51" spans="2:25" x14ac:dyDescent="0.25">
      <c r="B51" s="2" t="s">
        <v>224</v>
      </c>
      <c r="C51" s="1" t="s">
        <v>9</v>
      </c>
      <c r="D51" s="2" t="s">
        <v>366</v>
      </c>
      <c r="E51" s="2" t="s">
        <v>367</v>
      </c>
      <c r="F51" s="1" t="s">
        <v>1017</v>
      </c>
      <c r="G51" s="2" t="s">
        <v>800</v>
      </c>
      <c r="H51" s="1" t="str">
        <f t="shared" si="2"/>
        <v>09900005</v>
      </c>
      <c r="J51" s="288">
        <f>'Manual Manpower Database'!AJ48</f>
        <v>3109</v>
      </c>
      <c r="K51" s="288">
        <f>'Manual Manpower Database'!AK48</f>
        <v>0</v>
      </c>
      <c r="L51" s="288">
        <f>'Manual Manpower Database'!AL48</f>
        <v>518.16666666666663</v>
      </c>
      <c r="M51" s="288">
        <f>'Manual Manpower Database'!AM48</f>
        <v>0</v>
      </c>
      <c r="N51" s="288">
        <f>'Manual Manpower Database'!AN48</f>
        <v>129.54166666666666</v>
      </c>
      <c r="O51" s="288">
        <f>'Manual Manpower Database'!AO48</f>
        <v>0</v>
      </c>
      <c r="P51" s="288">
        <f>'Manual Manpower Database'!AP48</f>
        <v>64.770833333333329</v>
      </c>
      <c r="Q51" s="288">
        <f>'Manual Manpower Database'!AQ48</f>
        <v>72.543333333333337</v>
      </c>
      <c r="R51" s="288">
        <f>'Manual Manpower Database'!AR48</f>
        <v>125</v>
      </c>
      <c r="S51" s="288">
        <f>'Manual Manpower Database'!AS48</f>
        <v>41.666666666666664</v>
      </c>
      <c r="T51" s="288">
        <f>'Manual Manpower Database'!AT48</f>
        <v>54.166666666666664</v>
      </c>
      <c r="U51" s="288">
        <f>'Manual Manpower Database'!AU48</f>
        <v>208.33333333333334</v>
      </c>
      <c r="V51" s="288">
        <f>'Manual Manpower Database'!AV48</f>
        <v>0</v>
      </c>
      <c r="W51" s="288">
        <f>'Manual Manpower Database'!AW48</f>
        <v>8.3333333333333339</v>
      </c>
      <c r="X51" s="288">
        <f>'Manual Manpower Database'!AX48</f>
        <v>55.555555555555557</v>
      </c>
      <c r="Y51" s="288">
        <f t="shared" si="1"/>
        <v>4387.0780555555548</v>
      </c>
    </row>
    <row r="52" spans="2:25" x14ac:dyDescent="0.25">
      <c r="B52" s="2" t="s">
        <v>278</v>
      </c>
      <c r="C52" s="1" t="s">
        <v>1187</v>
      </c>
      <c r="D52" s="2" t="s">
        <v>394</v>
      </c>
      <c r="E52" s="2" t="s">
        <v>399</v>
      </c>
      <c r="F52" s="1" t="s">
        <v>1020</v>
      </c>
      <c r="G52" s="2" t="s">
        <v>800</v>
      </c>
      <c r="H52" s="1" t="str">
        <f t="shared" si="2"/>
        <v>15200005</v>
      </c>
      <c r="J52" s="288">
        <f>'Manual Manpower Database'!AJ49</f>
        <v>3030</v>
      </c>
      <c r="K52" s="288">
        <f>'Manual Manpower Database'!AK49</f>
        <v>0</v>
      </c>
      <c r="L52" s="288">
        <f>'Manual Manpower Database'!AL49</f>
        <v>505</v>
      </c>
      <c r="M52" s="288">
        <f>'Manual Manpower Database'!AM49</f>
        <v>150</v>
      </c>
      <c r="N52" s="288">
        <f>'Manual Manpower Database'!AN49</f>
        <v>126.25</v>
      </c>
      <c r="O52" s="288">
        <f>'Manual Manpower Database'!AO49</f>
        <v>0</v>
      </c>
      <c r="P52" s="288">
        <f>'Manual Manpower Database'!AP49</f>
        <v>63.125</v>
      </c>
      <c r="Q52" s="288">
        <f>'Manual Manpower Database'!AQ49</f>
        <v>70.7</v>
      </c>
      <c r="R52" s="288">
        <f>'Manual Manpower Database'!AR49</f>
        <v>125</v>
      </c>
      <c r="S52" s="288">
        <f>'Manual Manpower Database'!AS49</f>
        <v>41.666666666666664</v>
      </c>
      <c r="T52" s="288">
        <f>'Manual Manpower Database'!AT49</f>
        <v>54.166666666666664</v>
      </c>
      <c r="U52" s="288">
        <f>'Manual Manpower Database'!AU49</f>
        <v>208.33333333333334</v>
      </c>
      <c r="V52" s="288">
        <f>'Manual Manpower Database'!AV49</f>
        <v>0</v>
      </c>
      <c r="W52" s="288">
        <f>'Manual Manpower Database'!AW49</f>
        <v>8.3333333333333339</v>
      </c>
      <c r="X52" s="288">
        <f>'Manual Manpower Database'!AX49</f>
        <v>55.555555555555557</v>
      </c>
      <c r="Y52" s="288">
        <f t="shared" si="1"/>
        <v>4438.1305555555555</v>
      </c>
    </row>
    <row r="53" spans="2:25" x14ac:dyDescent="0.25">
      <c r="B53" s="2" t="s">
        <v>217</v>
      </c>
      <c r="C53" s="1" t="s">
        <v>1179</v>
      </c>
      <c r="D53" s="2" t="s">
        <v>683</v>
      </c>
      <c r="E53" s="2" t="s">
        <v>680</v>
      </c>
      <c r="F53" s="1" t="s">
        <v>1021</v>
      </c>
      <c r="G53" s="2" t="s">
        <v>1194</v>
      </c>
      <c r="H53" s="1" t="str">
        <f t="shared" si="2"/>
        <v>02900035</v>
      </c>
      <c r="J53" s="288">
        <f>'Manual Manpower Database'!AJ50</f>
        <v>4121.333333333333</v>
      </c>
      <c r="K53" s="288">
        <f>'Manual Manpower Database'!AK50</f>
        <v>0</v>
      </c>
      <c r="L53" s="288">
        <f>'Manual Manpower Database'!AL50</f>
        <v>686.8888888888888</v>
      </c>
      <c r="M53" s="288">
        <f>'Manual Manpower Database'!AM50</f>
        <v>0</v>
      </c>
      <c r="N53" s="288">
        <f>'Manual Manpower Database'!AN50</f>
        <v>171.7222222222222</v>
      </c>
      <c r="O53" s="288">
        <f>'Manual Manpower Database'!AO50</f>
        <v>0</v>
      </c>
      <c r="P53" s="288">
        <f>'Manual Manpower Database'!AP50</f>
        <v>85.8611111111111</v>
      </c>
      <c r="Q53" s="288">
        <f>'Manual Manpower Database'!AQ50</f>
        <v>96.164444444444442</v>
      </c>
      <c r="R53" s="288">
        <f>'Manual Manpower Database'!AR50</f>
        <v>125</v>
      </c>
      <c r="S53" s="288">
        <f>'Manual Manpower Database'!AS50</f>
        <v>41.666666666666664</v>
      </c>
      <c r="T53" s="288">
        <f>'Manual Manpower Database'!AT50</f>
        <v>54.166666666666664</v>
      </c>
      <c r="U53" s="288">
        <f>'Manual Manpower Database'!AU50</f>
        <v>208.33333333333334</v>
      </c>
      <c r="V53" s="288">
        <f>'Manual Manpower Database'!AV50</f>
        <v>0</v>
      </c>
      <c r="W53" s="288">
        <f>'Manual Manpower Database'!AW50</f>
        <v>8.3333333333333339</v>
      </c>
      <c r="X53" s="288">
        <f>'Manual Manpower Database'!AX50</f>
        <v>55.555555555555557</v>
      </c>
      <c r="Y53" s="288">
        <f t="shared" si="1"/>
        <v>5655.0255555555559</v>
      </c>
    </row>
    <row r="54" spans="2:25" x14ac:dyDescent="0.25">
      <c r="B54" s="2" t="s">
        <v>278</v>
      </c>
      <c r="C54" s="1" t="s">
        <v>1187</v>
      </c>
      <c r="D54" s="2" t="s">
        <v>393</v>
      </c>
      <c r="E54" s="2" t="s">
        <v>1182</v>
      </c>
      <c r="F54" s="1" t="s">
        <v>1023</v>
      </c>
      <c r="G54" s="2" t="s">
        <v>800</v>
      </c>
      <c r="H54" s="1" t="str">
        <f t="shared" si="2"/>
        <v>15100005</v>
      </c>
      <c r="J54" s="288">
        <f>'Manual Manpower Database'!AJ51</f>
        <v>2976.6</v>
      </c>
      <c r="K54" s="288">
        <f>'Manual Manpower Database'!AK51</f>
        <v>0</v>
      </c>
      <c r="L54" s="288">
        <f>'Manual Manpower Database'!AL51</f>
        <v>0</v>
      </c>
      <c r="M54" s="288">
        <f>'Manual Manpower Database'!AM51</f>
        <v>150</v>
      </c>
      <c r="N54" s="288">
        <f>'Manual Manpower Database'!AN51</f>
        <v>124.02499999999999</v>
      </c>
      <c r="O54" s="288">
        <f>'Manual Manpower Database'!AO51</f>
        <v>0</v>
      </c>
      <c r="P54" s="288">
        <f>'Manual Manpower Database'!AP51</f>
        <v>62.012499999999996</v>
      </c>
      <c r="Q54" s="288">
        <f>'Manual Manpower Database'!AQ51</f>
        <v>59.531999999999996</v>
      </c>
      <c r="R54" s="288">
        <f>'Manual Manpower Database'!AR51</f>
        <v>125</v>
      </c>
      <c r="S54" s="288">
        <f>'Manual Manpower Database'!AS51</f>
        <v>41.666666666666664</v>
      </c>
      <c r="T54" s="288">
        <f>'Manual Manpower Database'!AT51</f>
        <v>54.166666666666664</v>
      </c>
      <c r="U54" s="288">
        <f>'Manual Manpower Database'!AU51</f>
        <v>208.33333333333334</v>
      </c>
      <c r="V54" s="288">
        <f>'Manual Manpower Database'!AV51</f>
        <v>0</v>
      </c>
      <c r="W54" s="288">
        <f>'Manual Manpower Database'!AW51</f>
        <v>8.3333333333333339</v>
      </c>
      <c r="X54" s="288">
        <f>'Manual Manpower Database'!AX51</f>
        <v>55.555555555555557</v>
      </c>
      <c r="Y54" s="288">
        <f t="shared" si="1"/>
        <v>3865.2250555555556</v>
      </c>
    </row>
    <row r="55" spans="2:25" x14ac:dyDescent="0.25">
      <c r="B55" s="2" t="s">
        <v>217</v>
      </c>
      <c r="C55" s="1" t="s">
        <v>1179</v>
      </c>
      <c r="D55" s="2" t="s">
        <v>310</v>
      </c>
      <c r="E55" s="2" t="s">
        <v>1008</v>
      </c>
      <c r="F55" s="1" t="s">
        <v>1025</v>
      </c>
      <c r="G55" s="2" t="s">
        <v>1189</v>
      </c>
      <c r="H55" s="1" t="str">
        <f t="shared" si="2"/>
        <v>02300010</v>
      </c>
      <c r="J55" s="288">
        <f>'Manual Manpower Database'!AJ52</f>
        <v>3504.8536585365855</v>
      </c>
      <c r="K55" s="288">
        <f>'Manual Manpower Database'!AK52</f>
        <v>0</v>
      </c>
      <c r="L55" s="288">
        <f>'Manual Manpower Database'!AL52</f>
        <v>876.21341463414637</v>
      </c>
      <c r="M55" s="288">
        <f>'Manual Manpower Database'!AM52</f>
        <v>150</v>
      </c>
      <c r="N55" s="288">
        <f>'Manual Manpower Database'!AN52</f>
        <v>146.03556910569105</v>
      </c>
      <c r="O55" s="288">
        <f>'Manual Manpower Database'!AO52</f>
        <v>0</v>
      </c>
      <c r="P55" s="288">
        <f>'Manual Manpower Database'!AP52</f>
        <v>73.017784552845526</v>
      </c>
      <c r="Q55" s="288">
        <f>'Manual Manpower Database'!AQ52</f>
        <v>87.621341463414652</v>
      </c>
      <c r="R55" s="288">
        <f>'Manual Manpower Database'!AR52</f>
        <v>125</v>
      </c>
      <c r="S55" s="288">
        <f>'Manual Manpower Database'!AS52</f>
        <v>41.666666666666664</v>
      </c>
      <c r="T55" s="288">
        <f>'Manual Manpower Database'!AT52</f>
        <v>54.166666666666664</v>
      </c>
      <c r="U55" s="288">
        <f>'Manual Manpower Database'!AU52</f>
        <v>208.33333333333334</v>
      </c>
      <c r="V55" s="288">
        <f>'Manual Manpower Database'!AV52</f>
        <v>0</v>
      </c>
      <c r="W55" s="288">
        <f>'Manual Manpower Database'!AW52</f>
        <v>8.3333333333333339</v>
      </c>
      <c r="X55" s="288">
        <f>'Manual Manpower Database'!AX52</f>
        <v>55.555555555555557</v>
      </c>
      <c r="Y55" s="288">
        <f t="shared" si="1"/>
        <v>5330.7973238482391</v>
      </c>
    </row>
    <row r="56" spans="2:25" x14ac:dyDescent="0.25">
      <c r="B56" s="2" t="s">
        <v>402</v>
      </c>
      <c r="C56" s="1" t="s">
        <v>1184</v>
      </c>
      <c r="D56" s="2" t="s">
        <v>310</v>
      </c>
      <c r="E56" s="2" t="s">
        <v>1008</v>
      </c>
      <c r="F56" s="1" t="s">
        <v>1027</v>
      </c>
      <c r="G56" s="2" t="s">
        <v>1190</v>
      </c>
      <c r="H56" s="1" t="str">
        <f t="shared" si="2"/>
        <v>02300015</v>
      </c>
      <c r="J56" s="288">
        <f>'Manual Manpower Database'!AJ53</f>
        <v>4020</v>
      </c>
      <c r="K56" s="288">
        <f>'Manual Manpower Database'!AK53</f>
        <v>0</v>
      </c>
      <c r="L56" s="288">
        <f>'Manual Manpower Database'!AL53</f>
        <v>0</v>
      </c>
      <c r="M56" s="288">
        <f>'Manual Manpower Database'!AM53</f>
        <v>300</v>
      </c>
      <c r="N56" s="288">
        <f>'Manual Manpower Database'!AN53</f>
        <v>167.5</v>
      </c>
      <c r="O56" s="288">
        <f>'Manual Manpower Database'!AO53</f>
        <v>0</v>
      </c>
      <c r="P56" s="288">
        <f>'Manual Manpower Database'!AP53</f>
        <v>83.75</v>
      </c>
      <c r="Q56" s="288">
        <f>'Manual Manpower Database'!AQ53</f>
        <v>80.400000000000006</v>
      </c>
      <c r="R56" s="288">
        <f>'Manual Manpower Database'!AR53</f>
        <v>125</v>
      </c>
      <c r="S56" s="288">
        <f>'Manual Manpower Database'!AS53</f>
        <v>41.666666666666664</v>
      </c>
      <c r="T56" s="288">
        <f>'Manual Manpower Database'!AT53</f>
        <v>54.166666666666664</v>
      </c>
      <c r="U56" s="288">
        <f>'Manual Manpower Database'!AU53</f>
        <v>208.33333333333334</v>
      </c>
      <c r="V56" s="288">
        <f>'Manual Manpower Database'!AV53</f>
        <v>0</v>
      </c>
      <c r="W56" s="288">
        <f>'Manual Manpower Database'!AW53</f>
        <v>8.3333333333333339</v>
      </c>
      <c r="X56" s="288">
        <f>'Manual Manpower Database'!AX53</f>
        <v>55.555555555555557</v>
      </c>
      <c r="Y56" s="288">
        <f t="shared" si="1"/>
        <v>5144.7055555555553</v>
      </c>
    </row>
    <row r="57" spans="2:25" x14ac:dyDescent="0.25">
      <c r="B57" s="2" t="s">
        <v>218</v>
      </c>
      <c r="C57" s="1" t="s">
        <v>1186</v>
      </c>
      <c r="D57" s="2" t="s">
        <v>320</v>
      </c>
      <c r="E57" s="2" t="s">
        <v>1172</v>
      </c>
      <c r="F57" s="1" t="s">
        <v>1029</v>
      </c>
      <c r="G57" s="2" t="s">
        <v>1192</v>
      </c>
      <c r="H57" s="1" t="str">
        <f t="shared" si="2"/>
        <v>03300025</v>
      </c>
      <c r="J57" s="288">
        <f>'Manual Manpower Database'!AJ54</f>
        <v>2891.4285714285716</v>
      </c>
      <c r="K57" s="288">
        <f>'Manual Manpower Database'!AK54</f>
        <v>0</v>
      </c>
      <c r="L57" s="288">
        <f>'Manual Manpower Database'!AL54</f>
        <v>481.90476190476193</v>
      </c>
      <c r="M57" s="288">
        <f>'Manual Manpower Database'!AM54</f>
        <v>150</v>
      </c>
      <c r="N57" s="288">
        <f>'Manual Manpower Database'!AN54</f>
        <v>120.47619047619048</v>
      </c>
      <c r="O57" s="288">
        <f>'Manual Manpower Database'!AO54</f>
        <v>0</v>
      </c>
      <c r="P57" s="288">
        <f>'Manual Manpower Database'!AP54</f>
        <v>60.238095238095241</v>
      </c>
      <c r="Q57" s="288">
        <f>'Manual Manpower Database'!AQ54</f>
        <v>67.466666666666669</v>
      </c>
      <c r="R57" s="288">
        <f>'Manual Manpower Database'!AR54</f>
        <v>125</v>
      </c>
      <c r="S57" s="288">
        <f>'Manual Manpower Database'!AS54</f>
        <v>41.666666666666664</v>
      </c>
      <c r="T57" s="288">
        <f>'Manual Manpower Database'!AT54</f>
        <v>54.166666666666664</v>
      </c>
      <c r="U57" s="288">
        <f>'Manual Manpower Database'!AU54</f>
        <v>208.33333333333334</v>
      </c>
      <c r="V57" s="288">
        <f>'Manual Manpower Database'!AV54</f>
        <v>0</v>
      </c>
      <c r="W57" s="288">
        <f>'Manual Manpower Database'!AW54</f>
        <v>8.3333333333333339</v>
      </c>
      <c r="X57" s="288">
        <f>'Manual Manpower Database'!AX54</f>
        <v>55.555555555555557</v>
      </c>
      <c r="Y57" s="288">
        <f t="shared" si="1"/>
        <v>4264.5698412698412</v>
      </c>
    </row>
    <row r="58" spans="2:25" x14ac:dyDescent="0.25">
      <c r="B58" s="2" t="s">
        <v>402</v>
      </c>
      <c r="C58" s="1" t="s">
        <v>1184</v>
      </c>
      <c r="D58" s="2" t="s">
        <v>1166</v>
      </c>
      <c r="E58" s="2" t="s">
        <v>1167</v>
      </c>
      <c r="F58" s="1" t="s">
        <v>1031</v>
      </c>
      <c r="G58" s="2" t="s">
        <v>1206</v>
      </c>
      <c r="H58" s="1" t="str">
        <f t="shared" si="2"/>
        <v>01500018</v>
      </c>
      <c r="J58" s="288">
        <f>'Manual Manpower Database'!AJ55</f>
        <v>3000</v>
      </c>
      <c r="K58" s="288">
        <f>'Manual Manpower Database'!AK55</f>
        <v>0</v>
      </c>
      <c r="L58" s="288">
        <f>'Manual Manpower Database'!AL55</f>
        <v>0</v>
      </c>
      <c r="M58" s="288">
        <f>'Manual Manpower Database'!AM55</f>
        <v>0</v>
      </c>
      <c r="N58" s="288">
        <f>'Manual Manpower Database'!AN55</f>
        <v>125</v>
      </c>
      <c r="O58" s="288">
        <f>'Manual Manpower Database'!AO55</f>
        <v>0</v>
      </c>
      <c r="P58" s="288">
        <f>'Manual Manpower Database'!AP55</f>
        <v>62.5</v>
      </c>
      <c r="Q58" s="288">
        <f>'Manual Manpower Database'!AQ55</f>
        <v>60</v>
      </c>
      <c r="R58" s="288">
        <f>'Manual Manpower Database'!AR55</f>
        <v>125</v>
      </c>
      <c r="S58" s="288">
        <f>'Manual Manpower Database'!AS55</f>
        <v>41.666666666666664</v>
      </c>
      <c r="T58" s="288">
        <f>'Manual Manpower Database'!AT55</f>
        <v>54.166666666666664</v>
      </c>
      <c r="U58" s="288">
        <f>'Manual Manpower Database'!AU55</f>
        <v>208.33333333333334</v>
      </c>
      <c r="V58" s="288">
        <f>'Manual Manpower Database'!AV55</f>
        <v>0</v>
      </c>
      <c r="W58" s="288">
        <f>'Manual Manpower Database'!AW55</f>
        <v>8.3333333333333339</v>
      </c>
      <c r="X58" s="288">
        <f>'Manual Manpower Database'!AX55</f>
        <v>55.555555555555557</v>
      </c>
      <c r="Y58" s="288">
        <f t="shared" si="1"/>
        <v>3740.5555555555557</v>
      </c>
    </row>
    <row r="59" spans="2:25" x14ac:dyDescent="0.25">
      <c r="B59" s="2" t="s">
        <v>402</v>
      </c>
      <c r="C59" s="1" t="s">
        <v>1184</v>
      </c>
      <c r="D59" s="2" t="s">
        <v>1166</v>
      </c>
      <c r="E59" s="2" t="s">
        <v>1167</v>
      </c>
      <c r="F59" s="1" t="s">
        <v>1032</v>
      </c>
      <c r="G59" s="2" t="s">
        <v>1207</v>
      </c>
      <c r="H59" s="1" t="str">
        <f t="shared" si="2"/>
        <v>01500021</v>
      </c>
      <c r="J59" s="288">
        <f>'Manual Manpower Database'!AJ56</f>
        <v>2200</v>
      </c>
      <c r="K59" s="288">
        <f>'Manual Manpower Database'!AK56</f>
        <v>0</v>
      </c>
      <c r="L59" s="288">
        <f>'Manual Manpower Database'!AL56</f>
        <v>0</v>
      </c>
      <c r="M59" s="288">
        <f>'Manual Manpower Database'!AM56</f>
        <v>150</v>
      </c>
      <c r="N59" s="288">
        <f>'Manual Manpower Database'!AN56</f>
        <v>91.666666666666671</v>
      </c>
      <c r="O59" s="288">
        <f>'Manual Manpower Database'!AO56</f>
        <v>0</v>
      </c>
      <c r="P59" s="288">
        <f>'Manual Manpower Database'!AP56</f>
        <v>45.833333333333336</v>
      </c>
      <c r="Q59" s="288">
        <f>'Manual Manpower Database'!AQ56</f>
        <v>44</v>
      </c>
      <c r="R59" s="288">
        <f>'Manual Manpower Database'!AR56</f>
        <v>125</v>
      </c>
      <c r="S59" s="288">
        <f>'Manual Manpower Database'!AS56</f>
        <v>41.666666666666664</v>
      </c>
      <c r="T59" s="288">
        <f>'Manual Manpower Database'!AT56</f>
        <v>54.166666666666664</v>
      </c>
      <c r="U59" s="288">
        <f>'Manual Manpower Database'!AU56</f>
        <v>208.33333333333334</v>
      </c>
      <c r="V59" s="288">
        <f>'Manual Manpower Database'!AV56</f>
        <v>0</v>
      </c>
      <c r="W59" s="288">
        <f>'Manual Manpower Database'!AW56</f>
        <v>8.3333333333333339</v>
      </c>
      <c r="X59" s="288">
        <f>'Manual Manpower Database'!AX56</f>
        <v>55.555555555555557</v>
      </c>
      <c r="Y59" s="288">
        <f t="shared" si="1"/>
        <v>3024.5555555555557</v>
      </c>
    </row>
    <row r="60" spans="2:25" x14ac:dyDescent="0.25">
      <c r="B60" s="2" t="s">
        <v>227</v>
      </c>
      <c r="C60" s="1" t="s">
        <v>1033</v>
      </c>
      <c r="D60" s="2" t="s">
        <v>1183</v>
      </c>
      <c r="E60" s="2" t="s">
        <v>947</v>
      </c>
      <c r="F60" s="1" t="s">
        <v>1034</v>
      </c>
      <c r="G60" s="2" t="s">
        <v>800</v>
      </c>
      <c r="H60" s="1" t="str">
        <f t="shared" si="2"/>
        <v>14900005</v>
      </c>
      <c r="J60" s="288">
        <f>'Manual Manpower Database'!AJ57</f>
        <v>1070</v>
      </c>
      <c r="K60" s="288">
        <f>'Manual Manpower Database'!AK57</f>
        <v>0</v>
      </c>
      <c r="L60" s="288">
        <f>'Manual Manpower Database'!AL57</f>
        <v>0</v>
      </c>
      <c r="M60" s="288">
        <f>'Manual Manpower Database'!AM57</f>
        <v>150</v>
      </c>
      <c r="N60" s="288">
        <f>'Manual Manpower Database'!AN57</f>
        <v>44.583333333333336</v>
      </c>
      <c r="O60" s="288">
        <f>'Manual Manpower Database'!AO57</f>
        <v>0</v>
      </c>
      <c r="P60" s="288">
        <f>'Manual Manpower Database'!AP57</f>
        <v>22.291666666666668</v>
      </c>
      <c r="Q60" s="288">
        <f>'Manual Manpower Database'!AQ57</f>
        <v>21.400000000000002</v>
      </c>
      <c r="R60" s="288">
        <f>'Manual Manpower Database'!AR57</f>
        <v>125</v>
      </c>
      <c r="S60" s="288">
        <f>'Manual Manpower Database'!AS57</f>
        <v>41.666666666666664</v>
      </c>
      <c r="T60" s="288">
        <f>'Manual Manpower Database'!AT57</f>
        <v>54.166666666666664</v>
      </c>
      <c r="U60" s="288">
        <f>'Manual Manpower Database'!AU57</f>
        <v>208.33333333333334</v>
      </c>
      <c r="V60" s="288">
        <f>'Manual Manpower Database'!AV57</f>
        <v>0</v>
      </c>
      <c r="W60" s="288">
        <f>'Manual Manpower Database'!AW57</f>
        <v>8.3333333333333339</v>
      </c>
      <c r="X60" s="288">
        <f>'Manual Manpower Database'!AX57</f>
        <v>55.555555555555557</v>
      </c>
      <c r="Y60" s="288">
        <f t="shared" si="1"/>
        <v>1801.3305555555557</v>
      </c>
    </row>
    <row r="61" spans="2:25" x14ac:dyDescent="0.25">
      <c r="B61" s="2" t="s">
        <v>402</v>
      </c>
      <c r="C61" s="1" t="s">
        <v>1184</v>
      </c>
      <c r="D61" s="2" t="s">
        <v>1166</v>
      </c>
      <c r="E61" s="2" t="s">
        <v>1167</v>
      </c>
      <c r="F61" s="1" t="s">
        <v>1035</v>
      </c>
      <c r="G61" s="2" t="s">
        <v>1208</v>
      </c>
      <c r="H61" s="1" t="str">
        <f t="shared" si="2"/>
        <v>01500024</v>
      </c>
      <c r="J61" s="288">
        <f>'Manual Manpower Database'!AJ58</f>
        <v>2750.8333333333335</v>
      </c>
      <c r="K61" s="288">
        <f>'Manual Manpower Database'!AK58</f>
        <v>400</v>
      </c>
      <c r="L61" s="288">
        <f>'Manual Manpower Database'!AL58</f>
        <v>458.47222222222223</v>
      </c>
      <c r="M61" s="288">
        <f>'Manual Manpower Database'!AM58</f>
        <v>200</v>
      </c>
      <c r="N61" s="288">
        <f>'Manual Manpower Database'!AN58</f>
        <v>114.61805555555556</v>
      </c>
      <c r="O61" s="288">
        <f>'Manual Manpower Database'!AO58</f>
        <v>0</v>
      </c>
      <c r="P61" s="288">
        <f>'Manual Manpower Database'!AP58</f>
        <v>57.309027777777779</v>
      </c>
      <c r="Q61" s="288">
        <f>'Manual Manpower Database'!AQ58</f>
        <v>64.186111111111117</v>
      </c>
      <c r="R61" s="288">
        <f>'Manual Manpower Database'!AR58</f>
        <v>125</v>
      </c>
      <c r="S61" s="288">
        <f>'Manual Manpower Database'!AS58</f>
        <v>41.666666666666664</v>
      </c>
      <c r="T61" s="288">
        <f>'Manual Manpower Database'!AT58</f>
        <v>54.166666666666664</v>
      </c>
      <c r="U61" s="288">
        <f>'Manual Manpower Database'!AU58</f>
        <v>208.33333333333334</v>
      </c>
      <c r="V61" s="288">
        <f>'Manual Manpower Database'!AV58</f>
        <v>0</v>
      </c>
      <c r="W61" s="288">
        <f>'Manual Manpower Database'!AW58</f>
        <v>8.3333333333333339</v>
      </c>
      <c r="X61" s="288">
        <f>'Manual Manpower Database'!AX58</f>
        <v>55.555555555555557</v>
      </c>
      <c r="Y61" s="288">
        <f t="shared" si="1"/>
        <v>4538.4743055555564</v>
      </c>
    </row>
    <row r="62" spans="2:25" x14ac:dyDescent="0.25">
      <c r="B62" s="2" t="s">
        <v>217</v>
      </c>
      <c r="C62" s="1" t="s">
        <v>1179</v>
      </c>
      <c r="D62" s="2" t="s">
        <v>313</v>
      </c>
      <c r="E62" s="2" t="s">
        <v>314</v>
      </c>
      <c r="F62" s="1" t="s">
        <v>1036</v>
      </c>
      <c r="G62" s="2" t="s">
        <v>1189</v>
      </c>
      <c r="H62" s="1" t="str">
        <f t="shared" si="2"/>
        <v>02100010</v>
      </c>
      <c r="J62" s="288">
        <f>'Manual Manpower Database'!AJ59</f>
        <v>598.77551020408168</v>
      </c>
      <c r="K62" s="288">
        <f>'Manual Manpower Database'!AK59</f>
        <v>0</v>
      </c>
      <c r="L62" s="288">
        <f>'Manual Manpower Database'!AL59</f>
        <v>0</v>
      </c>
      <c r="M62" s="288">
        <f>'Manual Manpower Database'!AM59</f>
        <v>250</v>
      </c>
      <c r="N62" s="288">
        <f>'Manual Manpower Database'!AN59</f>
        <v>24.948979591836736</v>
      </c>
      <c r="O62" s="288">
        <f>'Manual Manpower Database'!AO59</f>
        <v>0</v>
      </c>
      <c r="P62" s="288">
        <f>'Manual Manpower Database'!AP59</f>
        <v>12.474489795918368</v>
      </c>
      <c r="Q62" s="288">
        <f>'Manual Manpower Database'!AQ59</f>
        <v>11.975510204081633</v>
      </c>
      <c r="R62" s="288">
        <f>'Manual Manpower Database'!AR59</f>
        <v>125</v>
      </c>
      <c r="S62" s="288">
        <f>'Manual Manpower Database'!AS59</f>
        <v>41.666666666666664</v>
      </c>
      <c r="T62" s="288">
        <f>'Manual Manpower Database'!AT59</f>
        <v>54.166666666666664</v>
      </c>
      <c r="U62" s="288">
        <f>'Manual Manpower Database'!AU59</f>
        <v>208.33333333333334</v>
      </c>
      <c r="V62" s="288">
        <f>'Manual Manpower Database'!AV59</f>
        <v>0</v>
      </c>
      <c r="W62" s="288">
        <f>'Manual Manpower Database'!AW59</f>
        <v>8.3333333333333339</v>
      </c>
      <c r="X62" s="288">
        <f>'Manual Manpower Database'!AX59</f>
        <v>55.555555555555557</v>
      </c>
      <c r="Y62" s="288">
        <f t="shared" si="1"/>
        <v>1391.230045351474</v>
      </c>
    </row>
    <row r="63" spans="2:25" x14ac:dyDescent="0.25">
      <c r="B63" s="2" t="s">
        <v>217</v>
      </c>
      <c r="C63" s="1" t="s">
        <v>1179</v>
      </c>
      <c r="D63" s="2" t="s">
        <v>310</v>
      </c>
      <c r="E63" s="2" t="s">
        <v>1008</v>
      </c>
      <c r="F63" s="1" t="s">
        <v>810</v>
      </c>
      <c r="G63" s="2" t="s">
        <v>1191</v>
      </c>
      <c r="H63" s="1" t="str">
        <f t="shared" si="2"/>
        <v>02300020</v>
      </c>
      <c r="J63" s="288">
        <f>'Manual Manpower Database'!AJ60</f>
        <v>1200</v>
      </c>
      <c r="K63" s="288">
        <f>'Manual Manpower Database'!AK60</f>
        <v>0</v>
      </c>
      <c r="L63" s="288">
        <f>'Manual Manpower Database'!AL60</f>
        <v>0</v>
      </c>
      <c r="M63" s="288">
        <f>'Manual Manpower Database'!AM60</f>
        <v>150</v>
      </c>
      <c r="N63" s="288">
        <f>'Manual Manpower Database'!AN60</f>
        <v>50</v>
      </c>
      <c r="O63" s="288">
        <f>'Manual Manpower Database'!AO60</f>
        <v>0</v>
      </c>
      <c r="P63" s="288">
        <f>'Manual Manpower Database'!AP60</f>
        <v>25</v>
      </c>
      <c r="Q63" s="288">
        <f>'Manual Manpower Database'!AQ60</f>
        <v>24</v>
      </c>
      <c r="R63" s="288">
        <f>'Manual Manpower Database'!AR60</f>
        <v>125</v>
      </c>
      <c r="S63" s="288">
        <f>'Manual Manpower Database'!AS60</f>
        <v>41.666666666666664</v>
      </c>
      <c r="T63" s="288">
        <f>'Manual Manpower Database'!AT60</f>
        <v>54.166666666666664</v>
      </c>
      <c r="U63" s="288">
        <f>'Manual Manpower Database'!AU60</f>
        <v>208.33333333333334</v>
      </c>
      <c r="V63" s="288">
        <f>'Manual Manpower Database'!AV60</f>
        <v>0</v>
      </c>
      <c r="W63" s="288">
        <f>'Manual Manpower Database'!AW60</f>
        <v>8.3333333333333339</v>
      </c>
      <c r="X63" s="288">
        <f>'Manual Manpower Database'!AX60</f>
        <v>55.555555555555557</v>
      </c>
      <c r="Y63" s="288">
        <f t="shared" si="1"/>
        <v>1942.0555555555557</v>
      </c>
    </row>
    <row r="64" spans="2:25" x14ac:dyDescent="0.25">
      <c r="B64" s="2" t="s">
        <v>402</v>
      </c>
      <c r="C64" s="1" t="s">
        <v>1184</v>
      </c>
      <c r="D64" s="2" t="s">
        <v>1166</v>
      </c>
      <c r="E64" s="2" t="s">
        <v>1167</v>
      </c>
      <c r="F64" s="1" t="s">
        <v>1037</v>
      </c>
      <c r="G64" s="2" t="s">
        <v>1209</v>
      </c>
      <c r="H64" s="1" t="str">
        <f t="shared" si="2"/>
        <v>01500027</v>
      </c>
      <c r="J64" s="288">
        <f>'Manual Manpower Database'!AJ61</f>
        <v>861.81818181818187</v>
      </c>
      <c r="K64" s="288">
        <f>'Manual Manpower Database'!AK61</f>
        <v>0</v>
      </c>
      <c r="L64" s="288">
        <f>'Manual Manpower Database'!AL61</f>
        <v>0</v>
      </c>
      <c r="M64" s="288">
        <f>'Manual Manpower Database'!AM61</f>
        <v>200</v>
      </c>
      <c r="N64" s="288">
        <f>'Manual Manpower Database'!AN61</f>
        <v>35.909090909090914</v>
      </c>
      <c r="O64" s="288">
        <f>'Manual Manpower Database'!AO61</f>
        <v>0</v>
      </c>
      <c r="P64" s="288">
        <f>'Manual Manpower Database'!AP61</f>
        <v>17.954545454545457</v>
      </c>
      <c r="Q64" s="288">
        <f>'Manual Manpower Database'!AQ61</f>
        <v>17.236363636363638</v>
      </c>
      <c r="R64" s="288">
        <f>'Manual Manpower Database'!AR61</f>
        <v>125</v>
      </c>
      <c r="S64" s="288">
        <f>'Manual Manpower Database'!AS61</f>
        <v>41.666666666666664</v>
      </c>
      <c r="T64" s="288">
        <f>'Manual Manpower Database'!AT61</f>
        <v>54.166666666666664</v>
      </c>
      <c r="U64" s="288">
        <f>'Manual Manpower Database'!AU61</f>
        <v>208.33333333333334</v>
      </c>
      <c r="V64" s="288">
        <f>'Manual Manpower Database'!AV61</f>
        <v>0</v>
      </c>
      <c r="W64" s="288">
        <f>'Manual Manpower Database'!AW61</f>
        <v>8.3333333333333339</v>
      </c>
      <c r="X64" s="288">
        <f>'Manual Manpower Database'!AX61</f>
        <v>55.555555555555557</v>
      </c>
      <c r="Y64" s="288">
        <f t="shared" si="1"/>
        <v>1625.9737373737378</v>
      </c>
    </row>
    <row r="65" spans="2:25" x14ac:dyDescent="0.25">
      <c r="B65" s="2" t="s">
        <v>217</v>
      </c>
      <c r="C65" s="1" t="s">
        <v>1179</v>
      </c>
      <c r="D65" s="2" t="s">
        <v>310</v>
      </c>
      <c r="E65" s="2" t="s">
        <v>1008</v>
      </c>
      <c r="F65" s="1" t="s">
        <v>807</v>
      </c>
      <c r="G65" s="2" t="s">
        <v>1192</v>
      </c>
      <c r="H65" s="1" t="str">
        <f t="shared" si="2"/>
        <v>02300025</v>
      </c>
      <c r="J65" s="288">
        <f>'Manual Manpower Database'!AJ62</f>
        <v>925</v>
      </c>
      <c r="K65" s="288">
        <f>'Manual Manpower Database'!AK62</f>
        <v>0</v>
      </c>
      <c r="L65" s="288">
        <f>'Manual Manpower Database'!AL62</f>
        <v>0</v>
      </c>
      <c r="M65" s="288">
        <f>'Manual Manpower Database'!AM62</f>
        <v>150</v>
      </c>
      <c r="N65" s="288">
        <f>'Manual Manpower Database'!AN62</f>
        <v>38.541666666666664</v>
      </c>
      <c r="O65" s="288">
        <f>'Manual Manpower Database'!AO62</f>
        <v>0</v>
      </c>
      <c r="P65" s="288">
        <f>'Manual Manpower Database'!AP62</f>
        <v>19.270833333333332</v>
      </c>
      <c r="Q65" s="288">
        <f>'Manual Manpower Database'!AQ62</f>
        <v>18.5</v>
      </c>
      <c r="R65" s="288">
        <f>'Manual Manpower Database'!AR62</f>
        <v>125</v>
      </c>
      <c r="S65" s="288">
        <f>'Manual Manpower Database'!AS62</f>
        <v>41.666666666666664</v>
      </c>
      <c r="T65" s="288">
        <f>'Manual Manpower Database'!AT62</f>
        <v>54.166666666666664</v>
      </c>
      <c r="U65" s="288">
        <f>'Manual Manpower Database'!AU62</f>
        <v>208.33333333333334</v>
      </c>
      <c r="V65" s="288">
        <f>'Manual Manpower Database'!AV62</f>
        <v>0</v>
      </c>
      <c r="W65" s="288">
        <f>'Manual Manpower Database'!AW62</f>
        <v>8.3333333333333339</v>
      </c>
      <c r="X65" s="288">
        <f>'Manual Manpower Database'!AX62</f>
        <v>55.555555555555557</v>
      </c>
      <c r="Y65" s="288">
        <f t="shared" si="1"/>
        <v>1644.3680555555557</v>
      </c>
    </row>
    <row r="66" spans="2:25" x14ac:dyDescent="0.25">
      <c r="B66" s="2" t="s">
        <v>402</v>
      </c>
      <c r="C66" s="1" t="s">
        <v>1184</v>
      </c>
      <c r="D66" s="2" t="s">
        <v>1168</v>
      </c>
      <c r="E66" s="2" t="s">
        <v>1169</v>
      </c>
      <c r="F66" s="1" t="s">
        <v>559</v>
      </c>
      <c r="G66" s="2" t="s">
        <v>1209</v>
      </c>
      <c r="H66" s="1" t="str">
        <f t="shared" si="2"/>
        <v>01700027</v>
      </c>
      <c r="J66" s="288">
        <f>'Manual Manpower Database'!AJ63</f>
        <v>907.35294117647061</v>
      </c>
      <c r="K66" s="288">
        <f>'Manual Manpower Database'!AK63</f>
        <v>0</v>
      </c>
      <c r="L66" s="288">
        <f>'Manual Manpower Database'!AL63</f>
        <v>0</v>
      </c>
      <c r="M66" s="288">
        <f>'Manual Manpower Database'!AM63</f>
        <v>250</v>
      </c>
      <c r="N66" s="288">
        <f>'Manual Manpower Database'!AN63</f>
        <v>37.806372549019606</v>
      </c>
      <c r="O66" s="288">
        <f>'Manual Manpower Database'!AO63</f>
        <v>0</v>
      </c>
      <c r="P66" s="288">
        <f>'Manual Manpower Database'!AP63</f>
        <v>18.903186274509803</v>
      </c>
      <c r="Q66" s="288">
        <f>'Manual Manpower Database'!AQ63</f>
        <v>18.147058823529413</v>
      </c>
      <c r="R66" s="288">
        <f>'Manual Manpower Database'!AR63</f>
        <v>125</v>
      </c>
      <c r="S66" s="288">
        <f>'Manual Manpower Database'!AS63</f>
        <v>41.666666666666664</v>
      </c>
      <c r="T66" s="288">
        <f>'Manual Manpower Database'!AT63</f>
        <v>54.166666666666664</v>
      </c>
      <c r="U66" s="288">
        <f>'Manual Manpower Database'!AU63</f>
        <v>208.33333333333334</v>
      </c>
      <c r="V66" s="288">
        <f>'Manual Manpower Database'!AV63</f>
        <v>0</v>
      </c>
      <c r="W66" s="288">
        <f>'Manual Manpower Database'!AW63</f>
        <v>8.3333333333333339</v>
      </c>
      <c r="X66" s="288">
        <f>'Manual Manpower Database'!AX63</f>
        <v>55.555555555555557</v>
      </c>
      <c r="Y66" s="288">
        <f t="shared" si="1"/>
        <v>1725.2651143790854</v>
      </c>
    </row>
    <row r="67" spans="2:25" x14ac:dyDescent="0.25">
      <c r="B67" s="2" t="s">
        <v>218</v>
      </c>
      <c r="C67" s="1" t="s">
        <v>1186</v>
      </c>
      <c r="D67" s="2" t="s">
        <v>320</v>
      </c>
      <c r="E67" s="2" t="s">
        <v>1172</v>
      </c>
      <c r="F67" s="1" t="s">
        <v>1038</v>
      </c>
      <c r="G67" s="2" t="s">
        <v>1193</v>
      </c>
      <c r="H67" s="1" t="str">
        <f t="shared" si="2"/>
        <v>03300030</v>
      </c>
      <c r="J67" s="288">
        <f>'Manual Manpower Database'!AJ64</f>
        <v>735</v>
      </c>
      <c r="K67" s="288">
        <f>'Manual Manpower Database'!AK64</f>
        <v>0</v>
      </c>
      <c r="L67" s="288">
        <f>'Manual Manpower Database'!AL64</f>
        <v>0</v>
      </c>
      <c r="M67" s="288">
        <f>'Manual Manpower Database'!AM64</f>
        <v>150</v>
      </c>
      <c r="N67" s="288">
        <f>'Manual Manpower Database'!AN64</f>
        <v>30.625</v>
      </c>
      <c r="O67" s="288">
        <f>'Manual Manpower Database'!AO64</f>
        <v>0</v>
      </c>
      <c r="P67" s="288">
        <f>'Manual Manpower Database'!AP64</f>
        <v>15.3125</v>
      </c>
      <c r="Q67" s="288">
        <f>'Manual Manpower Database'!AQ64</f>
        <v>14.700000000000001</v>
      </c>
      <c r="R67" s="288">
        <f>'Manual Manpower Database'!AR64</f>
        <v>125</v>
      </c>
      <c r="S67" s="288">
        <f>'Manual Manpower Database'!AS64</f>
        <v>41.666666666666664</v>
      </c>
      <c r="T67" s="288">
        <f>'Manual Manpower Database'!AT64</f>
        <v>54.166666666666664</v>
      </c>
      <c r="U67" s="288">
        <f>'Manual Manpower Database'!AU64</f>
        <v>208.33333333333334</v>
      </c>
      <c r="V67" s="288">
        <f>'Manual Manpower Database'!AV64</f>
        <v>0</v>
      </c>
      <c r="W67" s="288">
        <f>'Manual Manpower Database'!AW64</f>
        <v>8.3333333333333339</v>
      </c>
      <c r="X67" s="288">
        <f>'Manual Manpower Database'!AX64</f>
        <v>55.555555555555557</v>
      </c>
      <c r="Y67" s="288">
        <f t="shared" si="1"/>
        <v>1438.6930555555557</v>
      </c>
    </row>
    <row r="68" spans="2:25" x14ac:dyDescent="0.25">
      <c r="B68" s="2" t="s">
        <v>279</v>
      </c>
      <c r="C68" s="1" t="s">
        <v>990</v>
      </c>
      <c r="D68" s="2" t="s">
        <v>395</v>
      </c>
      <c r="E68" s="2" t="s">
        <v>1178</v>
      </c>
      <c r="F68" s="1" t="s">
        <v>1039</v>
      </c>
      <c r="G68" s="2" t="s">
        <v>1190</v>
      </c>
      <c r="H68" s="1" t="str">
        <f t="shared" si="2"/>
        <v>16050015</v>
      </c>
      <c r="J68" s="288">
        <f>'Manual Manpower Database'!AJ65</f>
        <v>826.66666666666663</v>
      </c>
      <c r="K68" s="288">
        <f>'Manual Manpower Database'!AK65</f>
        <v>0</v>
      </c>
      <c r="L68" s="288">
        <f>'Manual Manpower Database'!AL65</f>
        <v>0</v>
      </c>
      <c r="M68" s="288">
        <f>'Manual Manpower Database'!AM65</f>
        <v>250</v>
      </c>
      <c r="N68" s="288">
        <f>'Manual Manpower Database'!AN65</f>
        <v>34.444444444444443</v>
      </c>
      <c r="O68" s="288">
        <f>'Manual Manpower Database'!AO65</f>
        <v>0</v>
      </c>
      <c r="P68" s="288">
        <f>'Manual Manpower Database'!AP65</f>
        <v>17.222222222222221</v>
      </c>
      <c r="Q68" s="288">
        <f>'Manual Manpower Database'!AQ65</f>
        <v>16.533333333333331</v>
      </c>
      <c r="R68" s="288">
        <f>'Manual Manpower Database'!AR65</f>
        <v>125</v>
      </c>
      <c r="S68" s="288">
        <f>'Manual Manpower Database'!AS65</f>
        <v>41.666666666666664</v>
      </c>
      <c r="T68" s="288">
        <f>'Manual Manpower Database'!AT65</f>
        <v>54.166666666666664</v>
      </c>
      <c r="U68" s="288">
        <f>'Manual Manpower Database'!AU65</f>
        <v>208.33333333333334</v>
      </c>
      <c r="V68" s="288">
        <f>'Manual Manpower Database'!AV65</f>
        <v>0</v>
      </c>
      <c r="W68" s="288">
        <f>'Manual Manpower Database'!AW65</f>
        <v>8.3333333333333339</v>
      </c>
      <c r="X68" s="288">
        <f>'Manual Manpower Database'!AX65</f>
        <v>55.555555555555557</v>
      </c>
      <c r="Y68" s="288">
        <f t="shared" si="1"/>
        <v>1637.922222222222</v>
      </c>
    </row>
    <row r="69" spans="2:25" x14ac:dyDescent="0.25">
      <c r="B69" s="2" t="s">
        <v>278</v>
      </c>
      <c r="C69" s="1" t="s">
        <v>1187</v>
      </c>
      <c r="D69" s="2" t="s">
        <v>1176</v>
      </c>
      <c r="E69" s="2" t="s">
        <v>1177</v>
      </c>
      <c r="F69" s="1" t="s">
        <v>1040</v>
      </c>
      <c r="G69" s="2" t="s">
        <v>1193</v>
      </c>
      <c r="H69" s="1" t="str">
        <f t="shared" ref="H69:H100" si="3">D69&amp;G69</f>
        <v>15900030</v>
      </c>
      <c r="J69" s="288">
        <f>'Manual Manpower Database'!AJ66</f>
        <v>1300</v>
      </c>
      <c r="K69" s="288">
        <f>'Manual Manpower Database'!AK66</f>
        <v>0</v>
      </c>
      <c r="L69" s="288">
        <f>'Manual Manpower Database'!AL66</f>
        <v>0</v>
      </c>
      <c r="M69" s="288">
        <f>'Manual Manpower Database'!AM66</f>
        <v>150</v>
      </c>
      <c r="N69" s="288">
        <f>'Manual Manpower Database'!AN66</f>
        <v>54.166666666666664</v>
      </c>
      <c r="O69" s="288">
        <f>'Manual Manpower Database'!AO66</f>
        <v>0</v>
      </c>
      <c r="P69" s="288">
        <f>'Manual Manpower Database'!AP66</f>
        <v>27.083333333333332</v>
      </c>
      <c r="Q69" s="288">
        <f>'Manual Manpower Database'!AQ66</f>
        <v>26</v>
      </c>
      <c r="R69" s="288">
        <f>'Manual Manpower Database'!AR66</f>
        <v>125</v>
      </c>
      <c r="S69" s="288">
        <f>'Manual Manpower Database'!AS66</f>
        <v>41.666666666666664</v>
      </c>
      <c r="T69" s="288">
        <f>'Manual Manpower Database'!AT66</f>
        <v>54.166666666666664</v>
      </c>
      <c r="U69" s="288">
        <f>'Manual Manpower Database'!AU66</f>
        <v>208.33333333333334</v>
      </c>
      <c r="V69" s="288">
        <f>'Manual Manpower Database'!AV66</f>
        <v>0</v>
      </c>
      <c r="W69" s="288">
        <f>'Manual Manpower Database'!AW66</f>
        <v>8.3333333333333339</v>
      </c>
      <c r="X69" s="288">
        <f>'Manual Manpower Database'!AX66</f>
        <v>55.555555555555557</v>
      </c>
      <c r="Y69" s="288">
        <f t="shared" si="1"/>
        <v>2050.3055555555557</v>
      </c>
    </row>
    <row r="70" spans="2:25" x14ac:dyDescent="0.25">
      <c r="B70" s="2" t="s">
        <v>219</v>
      </c>
      <c r="C70" s="1" t="s">
        <v>4</v>
      </c>
      <c r="D70" s="2" t="s">
        <v>324</v>
      </c>
      <c r="E70" s="2" t="s">
        <v>326</v>
      </c>
      <c r="F70" s="1" t="s">
        <v>1041</v>
      </c>
      <c r="G70" s="2" t="s">
        <v>1189</v>
      </c>
      <c r="H70" s="1" t="str">
        <f t="shared" si="3"/>
        <v>04200010</v>
      </c>
      <c r="J70" s="288">
        <f>'Manual Manpower Database'!AJ67</f>
        <v>718.61904761904759</v>
      </c>
      <c r="K70" s="288">
        <f>'Manual Manpower Database'!AK67</f>
        <v>0</v>
      </c>
      <c r="L70" s="288">
        <f>'Manual Manpower Database'!AL67</f>
        <v>0</v>
      </c>
      <c r="M70" s="288">
        <f>'Manual Manpower Database'!AM67</f>
        <v>250</v>
      </c>
      <c r="N70" s="288">
        <f>'Manual Manpower Database'!AN67</f>
        <v>29.942460317460316</v>
      </c>
      <c r="O70" s="288">
        <f>'Manual Manpower Database'!AO67</f>
        <v>0</v>
      </c>
      <c r="P70" s="288">
        <f>'Manual Manpower Database'!AP67</f>
        <v>14.971230158730158</v>
      </c>
      <c r="Q70" s="288">
        <f>'Manual Manpower Database'!AQ67</f>
        <v>14.372380952380952</v>
      </c>
      <c r="R70" s="288">
        <f>'Manual Manpower Database'!AR67</f>
        <v>125</v>
      </c>
      <c r="S70" s="288">
        <f>'Manual Manpower Database'!AS67</f>
        <v>41.666666666666664</v>
      </c>
      <c r="T70" s="288">
        <f>'Manual Manpower Database'!AT67</f>
        <v>54.166666666666664</v>
      </c>
      <c r="U70" s="288">
        <f>'Manual Manpower Database'!AU67</f>
        <v>208.33333333333334</v>
      </c>
      <c r="V70" s="288">
        <f>'Manual Manpower Database'!AV67</f>
        <v>0</v>
      </c>
      <c r="W70" s="288">
        <f>'Manual Manpower Database'!AW67</f>
        <v>8.3333333333333339</v>
      </c>
      <c r="X70" s="288">
        <f>'Manual Manpower Database'!AX67</f>
        <v>55.555555555555557</v>
      </c>
      <c r="Y70" s="288">
        <f t="shared" si="1"/>
        <v>1520.9606746031748</v>
      </c>
    </row>
    <row r="71" spans="2:25" x14ac:dyDescent="0.25">
      <c r="B71" s="2" t="s">
        <v>402</v>
      </c>
      <c r="C71" s="1" t="s">
        <v>1184</v>
      </c>
      <c r="D71" s="2" t="s">
        <v>1166</v>
      </c>
      <c r="E71" s="2" t="s">
        <v>1167</v>
      </c>
      <c r="F71" s="1" t="s">
        <v>1042</v>
      </c>
      <c r="G71" s="2" t="s">
        <v>1193</v>
      </c>
      <c r="H71" s="1" t="str">
        <f t="shared" si="3"/>
        <v>01500030</v>
      </c>
      <c r="J71" s="288">
        <f>'Manual Manpower Database'!AJ68</f>
        <v>1094.2957746478874</v>
      </c>
      <c r="K71" s="288">
        <f>'Manual Manpower Database'!AK68</f>
        <v>300</v>
      </c>
      <c r="L71" s="288">
        <f>'Manual Manpower Database'!AL68</f>
        <v>0</v>
      </c>
      <c r="M71" s="288">
        <f>'Manual Manpower Database'!AM68</f>
        <v>200</v>
      </c>
      <c r="N71" s="288">
        <f>'Manual Manpower Database'!AN68</f>
        <v>45.595657276995304</v>
      </c>
      <c r="O71" s="288">
        <f>'Manual Manpower Database'!AO68</f>
        <v>0</v>
      </c>
      <c r="P71" s="288">
        <f>'Manual Manpower Database'!AP68</f>
        <v>22.797828638497652</v>
      </c>
      <c r="Q71" s="288">
        <f>'Manual Manpower Database'!AQ68</f>
        <v>21.885915492957746</v>
      </c>
      <c r="R71" s="288">
        <f>'Manual Manpower Database'!AR68</f>
        <v>125</v>
      </c>
      <c r="S71" s="288">
        <f>'Manual Manpower Database'!AS68</f>
        <v>41.666666666666664</v>
      </c>
      <c r="T71" s="288">
        <f>'Manual Manpower Database'!AT68</f>
        <v>54.166666666666664</v>
      </c>
      <c r="U71" s="288">
        <f>'Manual Manpower Database'!AU68</f>
        <v>208.33333333333334</v>
      </c>
      <c r="V71" s="288">
        <f>'Manual Manpower Database'!AV68</f>
        <v>0</v>
      </c>
      <c r="W71" s="288">
        <f>'Manual Manpower Database'!AW68</f>
        <v>8.3333333333333339</v>
      </c>
      <c r="X71" s="288">
        <f>'Manual Manpower Database'!AX68</f>
        <v>55.555555555555557</v>
      </c>
      <c r="Y71" s="288">
        <f t="shared" si="1"/>
        <v>2177.6307316118941</v>
      </c>
    </row>
    <row r="72" spans="2:25" x14ac:dyDescent="0.25">
      <c r="B72" s="2" t="s">
        <v>224</v>
      </c>
      <c r="C72" s="1" t="s">
        <v>9</v>
      </c>
      <c r="D72" s="2" t="s">
        <v>366</v>
      </c>
      <c r="E72" s="2" t="s">
        <v>367</v>
      </c>
      <c r="F72" s="1" t="s">
        <v>1043</v>
      </c>
      <c r="G72" s="2" t="s">
        <v>1189</v>
      </c>
      <c r="H72" s="1" t="str">
        <f t="shared" si="3"/>
        <v>09900010</v>
      </c>
      <c r="J72" s="288">
        <f>'Manual Manpower Database'!AJ69</f>
        <v>650</v>
      </c>
      <c r="K72" s="288">
        <f>'Manual Manpower Database'!AK69</f>
        <v>0</v>
      </c>
      <c r="L72" s="288">
        <f>'Manual Manpower Database'!AL69</f>
        <v>0</v>
      </c>
      <c r="M72" s="288">
        <f>'Manual Manpower Database'!AM69</f>
        <v>150</v>
      </c>
      <c r="N72" s="288">
        <f>'Manual Manpower Database'!AN69</f>
        <v>27.083333333333332</v>
      </c>
      <c r="O72" s="288">
        <f>'Manual Manpower Database'!AO69</f>
        <v>0</v>
      </c>
      <c r="P72" s="288">
        <f>'Manual Manpower Database'!AP69</f>
        <v>13.541666666666666</v>
      </c>
      <c r="Q72" s="288">
        <f>'Manual Manpower Database'!AQ69</f>
        <v>13</v>
      </c>
      <c r="R72" s="288">
        <f>'Manual Manpower Database'!AR69</f>
        <v>125</v>
      </c>
      <c r="S72" s="288">
        <f>'Manual Manpower Database'!AS69</f>
        <v>41.666666666666664</v>
      </c>
      <c r="T72" s="288">
        <f>'Manual Manpower Database'!AT69</f>
        <v>54.166666666666664</v>
      </c>
      <c r="U72" s="288">
        <f>'Manual Manpower Database'!AU69</f>
        <v>208.33333333333334</v>
      </c>
      <c r="V72" s="288">
        <f>'Manual Manpower Database'!AV69</f>
        <v>0</v>
      </c>
      <c r="W72" s="288">
        <f>'Manual Manpower Database'!AW69</f>
        <v>8.3333333333333339</v>
      </c>
      <c r="X72" s="288">
        <f>'Manual Manpower Database'!AX69</f>
        <v>55.555555555555557</v>
      </c>
      <c r="Y72" s="288">
        <f t="shared" si="1"/>
        <v>1346.6805555555554</v>
      </c>
    </row>
    <row r="73" spans="2:25" x14ac:dyDescent="0.25">
      <c r="B73" s="2" t="s">
        <v>278</v>
      </c>
      <c r="C73" s="1" t="s">
        <v>1187</v>
      </c>
      <c r="D73" s="2" t="s">
        <v>394</v>
      </c>
      <c r="E73" s="2" t="s">
        <v>399</v>
      </c>
      <c r="F73" s="1" t="s">
        <v>1044</v>
      </c>
      <c r="G73" s="2" t="s">
        <v>1189</v>
      </c>
      <c r="H73" s="1" t="str">
        <f t="shared" si="3"/>
        <v>15200010</v>
      </c>
      <c r="J73" s="288">
        <f>'Manual Manpower Database'!AJ70</f>
        <v>750</v>
      </c>
      <c r="K73" s="288">
        <f>'Manual Manpower Database'!AK70</f>
        <v>0</v>
      </c>
      <c r="L73" s="288">
        <f>'Manual Manpower Database'!AL70</f>
        <v>0</v>
      </c>
      <c r="M73" s="288">
        <f>'Manual Manpower Database'!AM70</f>
        <v>150</v>
      </c>
      <c r="N73" s="288">
        <f>'Manual Manpower Database'!AN70</f>
        <v>31.25</v>
      </c>
      <c r="O73" s="288">
        <f>'Manual Manpower Database'!AO70</f>
        <v>0</v>
      </c>
      <c r="P73" s="288">
        <f>'Manual Manpower Database'!AP70</f>
        <v>15.625</v>
      </c>
      <c r="Q73" s="288">
        <f>'Manual Manpower Database'!AQ70</f>
        <v>15</v>
      </c>
      <c r="R73" s="288">
        <f>'Manual Manpower Database'!AR70</f>
        <v>125</v>
      </c>
      <c r="S73" s="288">
        <f>'Manual Manpower Database'!AS70</f>
        <v>41.666666666666664</v>
      </c>
      <c r="T73" s="288">
        <f>'Manual Manpower Database'!AT70</f>
        <v>54.166666666666664</v>
      </c>
      <c r="U73" s="288">
        <f>'Manual Manpower Database'!AU70</f>
        <v>208.33333333333334</v>
      </c>
      <c r="V73" s="288">
        <f>'Manual Manpower Database'!AV70</f>
        <v>0</v>
      </c>
      <c r="W73" s="288">
        <f>'Manual Manpower Database'!AW70</f>
        <v>8.3333333333333339</v>
      </c>
      <c r="X73" s="288">
        <f>'Manual Manpower Database'!AX70</f>
        <v>55.555555555555557</v>
      </c>
      <c r="Y73" s="288">
        <f t="shared" ref="Y73:Y139" si="4">SUM(J73:X73)</f>
        <v>1454.9305555555557</v>
      </c>
    </row>
    <row r="74" spans="2:25" x14ac:dyDescent="0.25">
      <c r="B74" s="2" t="s">
        <v>218</v>
      </c>
      <c r="C74" s="1" t="s">
        <v>1186</v>
      </c>
      <c r="D74" s="2" t="s">
        <v>322</v>
      </c>
      <c r="E74" s="2" t="s">
        <v>323</v>
      </c>
      <c r="F74" s="1" t="s">
        <v>529</v>
      </c>
      <c r="G74" s="2" t="s">
        <v>800</v>
      </c>
      <c r="H74" s="1" t="str">
        <f t="shared" si="3"/>
        <v>03400005</v>
      </c>
      <c r="J74" s="288">
        <v>2891.4285714285716</v>
      </c>
      <c r="K74" s="288">
        <v>0</v>
      </c>
      <c r="L74" s="288">
        <v>481.90476190476193</v>
      </c>
      <c r="M74" s="288">
        <v>150</v>
      </c>
      <c r="N74" s="288">
        <v>120.47619047619048</v>
      </c>
      <c r="O74" s="288">
        <v>0</v>
      </c>
      <c r="P74" s="288">
        <v>60.238095238095241</v>
      </c>
      <c r="Q74" s="288">
        <v>67.466666666666669</v>
      </c>
      <c r="R74" s="288">
        <v>125</v>
      </c>
      <c r="S74" s="288">
        <v>41.666666666666664</v>
      </c>
      <c r="T74" s="288">
        <v>54.166666666666664</v>
      </c>
      <c r="U74" s="288">
        <v>208.33333333333334</v>
      </c>
      <c r="V74" s="288">
        <v>0</v>
      </c>
      <c r="W74" s="288">
        <v>8.3333333333333339</v>
      </c>
      <c r="X74" s="288">
        <v>55.555555555555557</v>
      </c>
      <c r="Y74" s="288">
        <v>4264.5698412698412</v>
      </c>
    </row>
    <row r="75" spans="2:25" x14ac:dyDescent="0.25">
      <c r="B75" s="2" t="s">
        <v>218</v>
      </c>
      <c r="C75" s="1" t="s">
        <v>1186</v>
      </c>
      <c r="D75" s="2" t="s">
        <v>320</v>
      </c>
      <c r="E75" s="2" t="s">
        <v>1172</v>
      </c>
      <c r="F75" s="1" t="s">
        <v>1045</v>
      </c>
      <c r="G75" s="2" t="s">
        <v>1194</v>
      </c>
      <c r="H75" s="1" t="str">
        <f t="shared" si="3"/>
        <v>03300035</v>
      </c>
      <c r="J75" s="288">
        <f>'Manual Manpower Database'!AJ71</f>
        <v>750</v>
      </c>
      <c r="K75" s="288">
        <f>'Manual Manpower Database'!AK71</f>
        <v>0</v>
      </c>
      <c r="L75" s="288">
        <f>'Manual Manpower Database'!AL71</f>
        <v>0</v>
      </c>
      <c r="M75" s="288">
        <f>'Manual Manpower Database'!AM71</f>
        <v>150</v>
      </c>
      <c r="N75" s="288">
        <f>'Manual Manpower Database'!AN71</f>
        <v>31.25</v>
      </c>
      <c r="O75" s="288">
        <f>'Manual Manpower Database'!AO71</f>
        <v>0</v>
      </c>
      <c r="P75" s="288">
        <f>'Manual Manpower Database'!AP71</f>
        <v>15.625</v>
      </c>
      <c r="Q75" s="288">
        <f>'Manual Manpower Database'!AQ71</f>
        <v>15</v>
      </c>
      <c r="R75" s="288">
        <f>'Manual Manpower Database'!AR71</f>
        <v>125</v>
      </c>
      <c r="S75" s="288">
        <f>'Manual Manpower Database'!AS71</f>
        <v>41.666666666666664</v>
      </c>
      <c r="T75" s="288">
        <f>'Manual Manpower Database'!AT71</f>
        <v>54.166666666666664</v>
      </c>
      <c r="U75" s="288">
        <f>'Manual Manpower Database'!AU71</f>
        <v>208.33333333333334</v>
      </c>
      <c r="V75" s="288">
        <f>'Manual Manpower Database'!AV71</f>
        <v>0</v>
      </c>
      <c r="W75" s="288">
        <f>'Manual Manpower Database'!AW71</f>
        <v>8.3333333333333339</v>
      </c>
      <c r="X75" s="288">
        <f>'Manual Manpower Database'!AX71</f>
        <v>55.555555555555557</v>
      </c>
      <c r="Y75" s="288">
        <f t="shared" si="4"/>
        <v>1454.9305555555557</v>
      </c>
    </row>
    <row r="76" spans="2:25" x14ac:dyDescent="0.25">
      <c r="B76" s="2" t="s">
        <v>402</v>
      </c>
      <c r="C76" s="1" t="s">
        <v>1184</v>
      </c>
      <c r="D76" s="2" t="s">
        <v>1168</v>
      </c>
      <c r="E76" s="2" t="s">
        <v>1169</v>
      </c>
      <c r="F76" s="1" t="s">
        <v>1046</v>
      </c>
      <c r="G76" s="2" t="s">
        <v>1193</v>
      </c>
      <c r="H76" s="1" t="str">
        <f t="shared" si="3"/>
        <v>01700030</v>
      </c>
      <c r="J76" s="288">
        <f>'Manual Manpower Database'!AJ72</f>
        <v>884.375</v>
      </c>
      <c r="K76" s="288">
        <f>'Manual Manpower Database'!AK72</f>
        <v>0</v>
      </c>
      <c r="L76" s="288">
        <f>'Manual Manpower Database'!AL72</f>
        <v>0</v>
      </c>
      <c r="M76" s="288">
        <f>'Manual Manpower Database'!AM72</f>
        <v>150</v>
      </c>
      <c r="N76" s="288">
        <f>'Manual Manpower Database'!AN72</f>
        <v>36.848958333333336</v>
      </c>
      <c r="O76" s="288">
        <f>'Manual Manpower Database'!AO72</f>
        <v>0</v>
      </c>
      <c r="P76" s="288">
        <f>'Manual Manpower Database'!AP72</f>
        <v>18.424479166666668</v>
      </c>
      <c r="Q76" s="288">
        <f>'Manual Manpower Database'!AQ72</f>
        <v>17.6875</v>
      </c>
      <c r="R76" s="288">
        <f>'Manual Manpower Database'!AR72</f>
        <v>125</v>
      </c>
      <c r="S76" s="288">
        <f>'Manual Manpower Database'!AS72</f>
        <v>41.666666666666664</v>
      </c>
      <c r="T76" s="288">
        <f>'Manual Manpower Database'!AT72</f>
        <v>54.166666666666664</v>
      </c>
      <c r="U76" s="288">
        <f>'Manual Manpower Database'!AU72</f>
        <v>208.33333333333334</v>
      </c>
      <c r="V76" s="288">
        <f>'Manual Manpower Database'!AV72</f>
        <v>0</v>
      </c>
      <c r="W76" s="288">
        <f>'Manual Manpower Database'!AW72</f>
        <v>8.3333333333333339</v>
      </c>
      <c r="X76" s="288">
        <f>'Manual Manpower Database'!AX72</f>
        <v>55.555555555555557</v>
      </c>
      <c r="Y76" s="288">
        <f t="shared" si="4"/>
        <v>1600.3914930555557</v>
      </c>
    </row>
    <row r="77" spans="2:25" x14ac:dyDescent="0.25">
      <c r="B77" s="2" t="s">
        <v>402</v>
      </c>
      <c r="C77" s="1" t="s">
        <v>1184</v>
      </c>
      <c r="D77" s="2" t="s">
        <v>1168</v>
      </c>
      <c r="E77" s="2" t="s">
        <v>1169</v>
      </c>
      <c r="F77" s="1" t="s">
        <v>1047</v>
      </c>
      <c r="G77" s="2" t="s">
        <v>1210</v>
      </c>
      <c r="H77" s="1" t="str">
        <f t="shared" si="3"/>
        <v>01700033</v>
      </c>
      <c r="J77" s="288">
        <f>'Manual Manpower Database'!AJ73</f>
        <v>3000</v>
      </c>
      <c r="K77" s="288">
        <f>'Manual Manpower Database'!AK73</f>
        <v>300</v>
      </c>
      <c r="L77" s="288">
        <f>'Manual Manpower Database'!AL73</f>
        <v>0</v>
      </c>
      <c r="M77" s="288">
        <f>'Manual Manpower Database'!AM73</f>
        <v>0</v>
      </c>
      <c r="N77" s="288">
        <f>'Manual Manpower Database'!AN73</f>
        <v>125</v>
      </c>
      <c r="O77" s="288">
        <f>'Manual Manpower Database'!AO73</f>
        <v>0</v>
      </c>
      <c r="P77" s="288">
        <f>'Manual Manpower Database'!AP73</f>
        <v>62.5</v>
      </c>
      <c r="Q77" s="288">
        <f>'Manual Manpower Database'!AQ73</f>
        <v>60</v>
      </c>
      <c r="R77" s="288">
        <f>'Manual Manpower Database'!AR73</f>
        <v>125</v>
      </c>
      <c r="S77" s="288">
        <f>'Manual Manpower Database'!AS73</f>
        <v>41.666666666666664</v>
      </c>
      <c r="T77" s="288">
        <f>'Manual Manpower Database'!AT73</f>
        <v>54.166666666666664</v>
      </c>
      <c r="U77" s="288">
        <f>'Manual Manpower Database'!AU73</f>
        <v>208.33333333333334</v>
      </c>
      <c r="V77" s="288">
        <f>'Manual Manpower Database'!AV73</f>
        <v>0</v>
      </c>
      <c r="W77" s="288">
        <f>'Manual Manpower Database'!AW73</f>
        <v>8.3333333333333339</v>
      </c>
      <c r="X77" s="288">
        <f>'Manual Manpower Database'!AX73</f>
        <v>55.555555555555557</v>
      </c>
      <c r="Y77" s="288">
        <f t="shared" si="4"/>
        <v>4040.5555555555557</v>
      </c>
    </row>
    <row r="78" spans="2:25" x14ac:dyDescent="0.25">
      <c r="B78" s="2" t="s">
        <v>402</v>
      </c>
      <c r="C78" s="1" t="s">
        <v>1184</v>
      </c>
      <c r="D78" s="2" t="s">
        <v>1168</v>
      </c>
      <c r="E78" s="2" t="s">
        <v>1169</v>
      </c>
      <c r="F78" s="1" t="s">
        <v>1049</v>
      </c>
      <c r="G78" s="2" t="s">
        <v>1211</v>
      </c>
      <c r="H78" s="1" t="str">
        <f t="shared" si="3"/>
        <v>01700036</v>
      </c>
      <c r="J78" s="288">
        <f>'Manual Manpower Database'!AJ74</f>
        <v>733.33333333333337</v>
      </c>
      <c r="K78" s="288">
        <f>'Manual Manpower Database'!AK74</f>
        <v>0</v>
      </c>
      <c r="L78" s="288">
        <f>'Manual Manpower Database'!AL74</f>
        <v>0</v>
      </c>
      <c r="M78" s="288">
        <f>'Manual Manpower Database'!AM74</f>
        <v>150</v>
      </c>
      <c r="N78" s="288">
        <f>'Manual Manpower Database'!AN74</f>
        <v>30.555555555555557</v>
      </c>
      <c r="O78" s="288">
        <f>'Manual Manpower Database'!AO74</f>
        <v>0</v>
      </c>
      <c r="P78" s="288">
        <f>'Manual Manpower Database'!AP74</f>
        <v>15.277777777777779</v>
      </c>
      <c r="Q78" s="288">
        <f>'Manual Manpower Database'!AQ74</f>
        <v>14.666666666666668</v>
      </c>
      <c r="R78" s="288">
        <f>'Manual Manpower Database'!AR74</f>
        <v>125</v>
      </c>
      <c r="S78" s="288">
        <f>'Manual Manpower Database'!AS74</f>
        <v>41.666666666666664</v>
      </c>
      <c r="T78" s="288">
        <f>'Manual Manpower Database'!AT74</f>
        <v>54.166666666666664</v>
      </c>
      <c r="U78" s="288">
        <f>'Manual Manpower Database'!AU74</f>
        <v>208.33333333333334</v>
      </c>
      <c r="V78" s="288">
        <f>'Manual Manpower Database'!AV74</f>
        <v>0</v>
      </c>
      <c r="W78" s="288">
        <f>'Manual Manpower Database'!AW74</f>
        <v>8.3333333333333339</v>
      </c>
      <c r="X78" s="288">
        <f>'Manual Manpower Database'!AX74</f>
        <v>55.555555555555557</v>
      </c>
      <c r="Y78" s="288">
        <f t="shared" si="4"/>
        <v>1436.8888888888891</v>
      </c>
    </row>
    <row r="79" spans="2:25" x14ac:dyDescent="0.25">
      <c r="B79" s="2" t="s">
        <v>217</v>
      </c>
      <c r="C79" s="1" t="s">
        <v>1179</v>
      </c>
      <c r="D79" s="2" t="s">
        <v>313</v>
      </c>
      <c r="E79" s="2" t="s">
        <v>314</v>
      </c>
      <c r="F79" s="1" t="s">
        <v>1051</v>
      </c>
      <c r="G79" s="2" t="s">
        <v>1190</v>
      </c>
      <c r="H79" s="1" t="str">
        <f t="shared" si="3"/>
        <v>02100015</v>
      </c>
      <c r="J79" s="288">
        <f>'Manual Manpower Database'!AJ75</f>
        <v>2511.25</v>
      </c>
      <c r="K79" s="288">
        <f>'Manual Manpower Database'!AK75</f>
        <v>0</v>
      </c>
      <c r="L79" s="288">
        <f>'Manual Manpower Database'!AL75</f>
        <v>627.8125</v>
      </c>
      <c r="M79" s="288">
        <f>'Manual Manpower Database'!AM75</f>
        <v>250</v>
      </c>
      <c r="N79" s="288">
        <f>'Manual Manpower Database'!AN75</f>
        <v>104.63541666666667</v>
      </c>
      <c r="O79" s="288">
        <f>'Manual Manpower Database'!AO75</f>
        <v>0</v>
      </c>
      <c r="P79" s="288">
        <f>'Manual Manpower Database'!AP75</f>
        <v>52.317708333333336</v>
      </c>
      <c r="Q79" s="288">
        <f>'Manual Manpower Database'!AQ75</f>
        <v>62.78125</v>
      </c>
      <c r="R79" s="288">
        <f>'Manual Manpower Database'!AR75</f>
        <v>125</v>
      </c>
      <c r="S79" s="288">
        <f>'Manual Manpower Database'!AS75</f>
        <v>41.666666666666664</v>
      </c>
      <c r="T79" s="288">
        <f>'Manual Manpower Database'!AT75</f>
        <v>54.166666666666664</v>
      </c>
      <c r="U79" s="288">
        <f>'Manual Manpower Database'!AU75</f>
        <v>208.33333333333334</v>
      </c>
      <c r="V79" s="288">
        <f>'Manual Manpower Database'!AV75</f>
        <v>0</v>
      </c>
      <c r="W79" s="288">
        <f>'Manual Manpower Database'!AW75</f>
        <v>8.3333333333333339</v>
      </c>
      <c r="X79" s="288">
        <f>'Manual Manpower Database'!AX75</f>
        <v>55.555555555555557</v>
      </c>
      <c r="Y79" s="288">
        <f t="shared" si="4"/>
        <v>4101.8524305555557</v>
      </c>
    </row>
    <row r="80" spans="2:25" x14ac:dyDescent="0.25">
      <c r="B80" s="2" t="s">
        <v>278</v>
      </c>
      <c r="C80" s="1" t="s">
        <v>1187</v>
      </c>
      <c r="D80" s="2" t="s">
        <v>1176</v>
      </c>
      <c r="E80" s="2" t="s">
        <v>1177</v>
      </c>
      <c r="F80" s="1" t="s">
        <v>539</v>
      </c>
      <c r="G80" s="2" t="s">
        <v>1194</v>
      </c>
      <c r="H80" s="1" t="str">
        <f t="shared" si="3"/>
        <v>15900035</v>
      </c>
      <c r="J80" s="288">
        <f>'Manual Manpower Database'!AJ76</f>
        <v>1056.060606060606</v>
      </c>
      <c r="K80" s="288">
        <f>'Manual Manpower Database'!AK76</f>
        <v>0</v>
      </c>
      <c r="L80" s="288">
        <f>'Manual Manpower Database'!AL76</f>
        <v>0</v>
      </c>
      <c r="M80" s="288">
        <f>'Manual Manpower Database'!AM76</f>
        <v>150</v>
      </c>
      <c r="N80" s="288">
        <f>'Manual Manpower Database'!AN76</f>
        <v>44.002525252525253</v>
      </c>
      <c r="O80" s="288">
        <f>'Manual Manpower Database'!AO76</f>
        <v>0</v>
      </c>
      <c r="P80" s="288">
        <f>'Manual Manpower Database'!AP76</f>
        <v>22.001262626262626</v>
      </c>
      <c r="Q80" s="288">
        <f>'Manual Manpower Database'!AQ76</f>
        <v>21.121212121212121</v>
      </c>
      <c r="R80" s="288">
        <f>'Manual Manpower Database'!AR76</f>
        <v>125</v>
      </c>
      <c r="S80" s="288">
        <f>'Manual Manpower Database'!AS76</f>
        <v>41.666666666666664</v>
      </c>
      <c r="T80" s="288">
        <f>'Manual Manpower Database'!AT76</f>
        <v>54.166666666666664</v>
      </c>
      <c r="U80" s="288">
        <f>'Manual Manpower Database'!AU76</f>
        <v>208.33333333333334</v>
      </c>
      <c r="V80" s="288">
        <f>'Manual Manpower Database'!AV76</f>
        <v>0</v>
      </c>
      <c r="W80" s="288">
        <f>'Manual Manpower Database'!AW76</f>
        <v>8.3333333333333339</v>
      </c>
      <c r="X80" s="288">
        <f>'Manual Manpower Database'!AX76</f>
        <v>55.555555555555557</v>
      </c>
      <c r="Y80" s="288">
        <f t="shared" si="4"/>
        <v>1786.2411616161614</v>
      </c>
    </row>
    <row r="81" spans="2:25" x14ac:dyDescent="0.25">
      <c r="B81" s="2" t="s">
        <v>402</v>
      </c>
      <c r="C81" s="1" t="s">
        <v>1184</v>
      </c>
      <c r="D81" s="2" t="s">
        <v>1168</v>
      </c>
      <c r="E81" s="2" t="s">
        <v>1169</v>
      </c>
      <c r="F81" s="1" t="s">
        <v>561</v>
      </c>
      <c r="G81" s="2" t="s">
        <v>1212</v>
      </c>
      <c r="H81" s="1" t="str">
        <f t="shared" si="3"/>
        <v>01700039</v>
      </c>
      <c r="J81" s="288">
        <f>'Manual Manpower Database'!AJ77</f>
        <v>641.30063473744951</v>
      </c>
      <c r="K81" s="288">
        <f>'Manual Manpower Database'!AK77</f>
        <v>300</v>
      </c>
      <c r="L81" s="288">
        <f>'Manual Manpower Database'!AL77</f>
        <v>0</v>
      </c>
      <c r="M81" s="288">
        <f>'Manual Manpower Database'!AM77</f>
        <v>250</v>
      </c>
      <c r="N81" s="288">
        <f>'Manual Manpower Database'!AN77</f>
        <v>26.720859780727064</v>
      </c>
      <c r="O81" s="288">
        <f>'Manual Manpower Database'!AO77</f>
        <v>0</v>
      </c>
      <c r="P81" s="288">
        <f>'Manual Manpower Database'!AP77</f>
        <v>13.360429890363532</v>
      </c>
      <c r="Q81" s="288">
        <f>'Manual Manpower Database'!AQ77</f>
        <v>12.826012694748991</v>
      </c>
      <c r="R81" s="288">
        <f>'Manual Manpower Database'!AR77</f>
        <v>125</v>
      </c>
      <c r="S81" s="288">
        <f>'Manual Manpower Database'!AS77</f>
        <v>41.666666666666664</v>
      </c>
      <c r="T81" s="288">
        <f>'Manual Manpower Database'!AT77</f>
        <v>54.166666666666664</v>
      </c>
      <c r="U81" s="288">
        <f>'Manual Manpower Database'!AU77</f>
        <v>208.33333333333334</v>
      </c>
      <c r="V81" s="288">
        <f>'Manual Manpower Database'!AV77</f>
        <v>0</v>
      </c>
      <c r="W81" s="288">
        <f>'Manual Manpower Database'!AW77</f>
        <v>8.3333333333333339</v>
      </c>
      <c r="X81" s="288">
        <f>'Manual Manpower Database'!AX77</f>
        <v>55.555555555555557</v>
      </c>
      <c r="Y81" s="288">
        <f t="shared" si="4"/>
        <v>1737.2634926588446</v>
      </c>
    </row>
    <row r="82" spans="2:25" x14ac:dyDescent="0.25">
      <c r="B82" s="2" t="s">
        <v>402</v>
      </c>
      <c r="C82" s="1" t="s">
        <v>1184</v>
      </c>
      <c r="D82" s="2" t="s">
        <v>1168</v>
      </c>
      <c r="E82" s="2" t="s">
        <v>1169</v>
      </c>
      <c r="F82" s="1" t="s">
        <v>1052</v>
      </c>
      <c r="G82" s="2" t="s">
        <v>1213</v>
      </c>
      <c r="H82" s="1" t="str">
        <f t="shared" si="3"/>
        <v>01700042</v>
      </c>
      <c r="J82" s="288">
        <f>'Manual Manpower Database'!AJ78</f>
        <v>338.20050494424572</v>
      </c>
      <c r="K82" s="288">
        <f>'Manual Manpower Database'!AK78</f>
        <v>300</v>
      </c>
      <c r="L82" s="288">
        <f>'Manual Manpower Database'!AL78</f>
        <v>0</v>
      </c>
      <c r="M82" s="288">
        <f>'Manual Manpower Database'!AM78</f>
        <v>250</v>
      </c>
      <c r="N82" s="288">
        <f>'Manual Manpower Database'!AN78</f>
        <v>14.091687706010239</v>
      </c>
      <c r="O82" s="288">
        <f>'Manual Manpower Database'!AO78</f>
        <v>0</v>
      </c>
      <c r="P82" s="288">
        <f>'Manual Manpower Database'!AP78</f>
        <v>7.0458438530051195</v>
      </c>
      <c r="Q82" s="288">
        <f>'Manual Manpower Database'!AQ78</f>
        <v>6.7640100988849143</v>
      </c>
      <c r="R82" s="288">
        <f>'Manual Manpower Database'!AR78</f>
        <v>125</v>
      </c>
      <c r="S82" s="288">
        <f>'Manual Manpower Database'!AS78</f>
        <v>41.666666666666664</v>
      </c>
      <c r="T82" s="288">
        <f>'Manual Manpower Database'!AT78</f>
        <v>54.166666666666664</v>
      </c>
      <c r="U82" s="288">
        <f>'Manual Manpower Database'!AU78</f>
        <v>208.33333333333334</v>
      </c>
      <c r="V82" s="288">
        <f>'Manual Manpower Database'!AV78</f>
        <v>0</v>
      </c>
      <c r="W82" s="288">
        <f>'Manual Manpower Database'!AW78</f>
        <v>8.3333333333333339</v>
      </c>
      <c r="X82" s="288">
        <f>'Manual Manpower Database'!AX78</f>
        <v>55.555555555555557</v>
      </c>
      <c r="Y82" s="288">
        <f t="shared" si="4"/>
        <v>1409.1576021577016</v>
      </c>
    </row>
    <row r="83" spans="2:25" x14ac:dyDescent="0.25">
      <c r="B83" s="2" t="s">
        <v>402</v>
      </c>
      <c r="C83" s="1" t="s">
        <v>1184</v>
      </c>
      <c r="D83" s="2" t="s">
        <v>1168</v>
      </c>
      <c r="E83" s="2" t="s">
        <v>1169</v>
      </c>
      <c r="F83" s="1" t="s">
        <v>1053</v>
      </c>
      <c r="G83" s="2" t="s">
        <v>1196</v>
      </c>
      <c r="H83" s="1" t="str">
        <f t="shared" si="3"/>
        <v>01700045</v>
      </c>
      <c r="J83" s="288">
        <f>'Manual Manpower Database'!AJ79</f>
        <v>490</v>
      </c>
      <c r="K83" s="288">
        <f>'Manual Manpower Database'!AK79</f>
        <v>0</v>
      </c>
      <c r="L83" s="288">
        <f>'Manual Manpower Database'!AL79</f>
        <v>0</v>
      </c>
      <c r="M83" s="288">
        <f>'Manual Manpower Database'!AM79</f>
        <v>150</v>
      </c>
      <c r="N83" s="288">
        <f>'Manual Manpower Database'!AN79</f>
        <v>20.416666666666668</v>
      </c>
      <c r="O83" s="288">
        <f>'Manual Manpower Database'!AO79</f>
        <v>0</v>
      </c>
      <c r="P83" s="288">
        <f>'Manual Manpower Database'!AP79</f>
        <v>10.208333333333334</v>
      </c>
      <c r="Q83" s="288">
        <f>'Manual Manpower Database'!AQ79</f>
        <v>9.8000000000000007</v>
      </c>
      <c r="R83" s="288">
        <f>'Manual Manpower Database'!AR79</f>
        <v>125</v>
      </c>
      <c r="S83" s="288">
        <f>'Manual Manpower Database'!AS79</f>
        <v>41.666666666666664</v>
      </c>
      <c r="T83" s="288">
        <f>'Manual Manpower Database'!AT79</f>
        <v>54.166666666666664</v>
      </c>
      <c r="U83" s="288">
        <f>'Manual Manpower Database'!AU79</f>
        <v>208.33333333333334</v>
      </c>
      <c r="V83" s="288">
        <f>'Manual Manpower Database'!AV79</f>
        <v>0</v>
      </c>
      <c r="W83" s="288">
        <f>'Manual Manpower Database'!AW79</f>
        <v>8.3333333333333339</v>
      </c>
      <c r="X83" s="288">
        <f>'Manual Manpower Database'!AX79</f>
        <v>55.555555555555557</v>
      </c>
      <c r="Y83" s="288">
        <f t="shared" si="4"/>
        <v>1173.4805555555554</v>
      </c>
    </row>
    <row r="84" spans="2:25" x14ac:dyDescent="0.25">
      <c r="B84" s="2" t="s">
        <v>218</v>
      </c>
      <c r="C84" s="1" t="s">
        <v>1186</v>
      </c>
      <c r="D84" s="2" t="s">
        <v>320</v>
      </c>
      <c r="E84" s="2" t="s">
        <v>1172</v>
      </c>
      <c r="F84" s="1" t="s">
        <v>1054</v>
      </c>
      <c r="G84" s="2" t="s">
        <v>1195</v>
      </c>
      <c r="H84" s="1" t="str">
        <f t="shared" si="3"/>
        <v>03300040</v>
      </c>
      <c r="J84" s="288">
        <f>'Manual Manpower Database'!AJ80</f>
        <v>1251.3888888888889</v>
      </c>
      <c r="K84" s="288">
        <f>'Manual Manpower Database'!AK80</f>
        <v>0</v>
      </c>
      <c r="L84" s="288">
        <f>'Manual Manpower Database'!AL80</f>
        <v>0</v>
      </c>
      <c r="M84" s="288">
        <f>'Manual Manpower Database'!AM80</f>
        <v>150</v>
      </c>
      <c r="N84" s="288">
        <f>'Manual Manpower Database'!AN80</f>
        <v>52.141203703703702</v>
      </c>
      <c r="O84" s="288">
        <f>'Manual Manpower Database'!AO80</f>
        <v>0</v>
      </c>
      <c r="P84" s="288">
        <f>'Manual Manpower Database'!AP80</f>
        <v>26.070601851851851</v>
      </c>
      <c r="Q84" s="288">
        <f>'Manual Manpower Database'!AQ80</f>
        <v>25.027777777777779</v>
      </c>
      <c r="R84" s="288">
        <f>'Manual Manpower Database'!AR80</f>
        <v>125</v>
      </c>
      <c r="S84" s="288">
        <f>'Manual Manpower Database'!AS80</f>
        <v>41.666666666666664</v>
      </c>
      <c r="T84" s="288">
        <f>'Manual Manpower Database'!AT80</f>
        <v>54.166666666666664</v>
      </c>
      <c r="U84" s="288">
        <f>'Manual Manpower Database'!AU80</f>
        <v>208.33333333333334</v>
      </c>
      <c r="V84" s="288">
        <f>'Manual Manpower Database'!AV80</f>
        <v>0</v>
      </c>
      <c r="W84" s="288">
        <f>'Manual Manpower Database'!AW80</f>
        <v>8.3333333333333339</v>
      </c>
      <c r="X84" s="288">
        <f>'Manual Manpower Database'!AX80</f>
        <v>55.555555555555557</v>
      </c>
      <c r="Y84" s="288">
        <f t="shared" si="4"/>
        <v>1997.6840277777781</v>
      </c>
    </row>
    <row r="85" spans="2:25" x14ac:dyDescent="0.25">
      <c r="B85" s="2" t="s">
        <v>219</v>
      </c>
      <c r="C85" s="1" t="s">
        <v>4</v>
      </c>
      <c r="D85" s="2" t="s">
        <v>324</v>
      </c>
      <c r="E85" s="2" t="s">
        <v>326</v>
      </c>
      <c r="F85" s="1" t="s">
        <v>1055</v>
      </c>
      <c r="G85" s="2" t="s">
        <v>1190</v>
      </c>
      <c r="H85" s="1" t="str">
        <f t="shared" si="3"/>
        <v>04200015</v>
      </c>
      <c r="J85" s="288">
        <f>'Manual Manpower Database'!AJ81</f>
        <v>1267.090909090909</v>
      </c>
      <c r="K85" s="288">
        <f>'Manual Manpower Database'!AK81</f>
        <v>0</v>
      </c>
      <c r="L85" s="288">
        <f>'Manual Manpower Database'!AL81</f>
        <v>0</v>
      </c>
      <c r="M85" s="288">
        <f>'Manual Manpower Database'!AM81</f>
        <v>250</v>
      </c>
      <c r="N85" s="288">
        <f>'Manual Manpower Database'!AN81</f>
        <v>52.79545454545454</v>
      </c>
      <c r="O85" s="288">
        <f>'Manual Manpower Database'!AO81</f>
        <v>0</v>
      </c>
      <c r="P85" s="288">
        <f>'Manual Manpower Database'!AP81</f>
        <v>26.39772727272727</v>
      </c>
      <c r="Q85" s="288">
        <f>'Manual Manpower Database'!AQ81</f>
        <v>25.34181818181818</v>
      </c>
      <c r="R85" s="288">
        <f>'Manual Manpower Database'!AR81</f>
        <v>125</v>
      </c>
      <c r="S85" s="288">
        <f>'Manual Manpower Database'!AS81</f>
        <v>41.666666666666664</v>
      </c>
      <c r="T85" s="288">
        <f>'Manual Manpower Database'!AT81</f>
        <v>54.166666666666664</v>
      </c>
      <c r="U85" s="288">
        <f>'Manual Manpower Database'!AU81</f>
        <v>208.33333333333334</v>
      </c>
      <c r="V85" s="288">
        <f>'Manual Manpower Database'!AV81</f>
        <v>0</v>
      </c>
      <c r="W85" s="288">
        <f>'Manual Manpower Database'!AW81</f>
        <v>8.3333333333333339</v>
      </c>
      <c r="X85" s="288">
        <f>'Manual Manpower Database'!AX81</f>
        <v>55.555555555555557</v>
      </c>
      <c r="Y85" s="288">
        <f t="shared" si="4"/>
        <v>2114.681464646465</v>
      </c>
    </row>
    <row r="86" spans="2:25" x14ac:dyDescent="0.25">
      <c r="B86" s="2" t="s">
        <v>218</v>
      </c>
      <c r="C86" s="1" t="s">
        <v>1186</v>
      </c>
      <c r="D86" s="2" t="s">
        <v>320</v>
      </c>
      <c r="E86" s="2" t="s">
        <v>1172</v>
      </c>
      <c r="F86" s="1" t="s">
        <v>1056</v>
      </c>
      <c r="G86" s="2" t="s">
        <v>1196</v>
      </c>
      <c r="H86" s="1" t="str">
        <f t="shared" si="3"/>
        <v>03300045</v>
      </c>
      <c r="J86" s="288">
        <f>'Manual Manpower Database'!AJ82</f>
        <v>1208.955223880597</v>
      </c>
      <c r="K86" s="288">
        <f>'Manual Manpower Database'!AK82</f>
        <v>0</v>
      </c>
      <c r="L86" s="288">
        <f>'Manual Manpower Database'!AL82</f>
        <v>0</v>
      </c>
      <c r="M86" s="288">
        <f>'Manual Manpower Database'!AM82</f>
        <v>150</v>
      </c>
      <c r="N86" s="288">
        <f>'Manual Manpower Database'!AN82</f>
        <v>50.373134328358212</v>
      </c>
      <c r="O86" s="288">
        <f>'Manual Manpower Database'!AO82</f>
        <v>0</v>
      </c>
      <c r="P86" s="288">
        <f>'Manual Manpower Database'!AP82</f>
        <v>25.186567164179106</v>
      </c>
      <c r="Q86" s="288">
        <f>'Manual Manpower Database'!AQ82</f>
        <v>24.17910447761194</v>
      </c>
      <c r="R86" s="288">
        <f>'Manual Manpower Database'!AR82</f>
        <v>125</v>
      </c>
      <c r="S86" s="288">
        <f>'Manual Manpower Database'!AS82</f>
        <v>41.666666666666664</v>
      </c>
      <c r="T86" s="288">
        <f>'Manual Manpower Database'!AT82</f>
        <v>54.166666666666664</v>
      </c>
      <c r="U86" s="288">
        <f>'Manual Manpower Database'!AU82</f>
        <v>208.33333333333334</v>
      </c>
      <c r="V86" s="288">
        <f>'Manual Manpower Database'!AV82</f>
        <v>0</v>
      </c>
      <c r="W86" s="288">
        <f>'Manual Manpower Database'!AW82</f>
        <v>8.3333333333333339</v>
      </c>
      <c r="X86" s="288">
        <f>'Manual Manpower Database'!AX82</f>
        <v>55.555555555555557</v>
      </c>
      <c r="Y86" s="288">
        <f t="shared" si="4"/>
        <v>1951.7495854063018</v>
      </c>
    </row>
    <row r="87" spans="2:25" x14ac:dyDescent="0.25">
      <c r="B87" s="2" t="s">
        <v>402</v>
      </c>
      <c r="C87" s="1" t="s">
        <v>1184</v>
      </c>
      <c r="D87" s="2" t="s">
        <v>1168</v>
      </c>
      <c r="E87" s="2" t="s">
        <v>1169</v>
      </c>
      <c r="F87" s="1" t="s">
        <v>1057</v>
      </c>
      <c r="G87" s="2" t="s">
        <v>1214</v>
      </c>
      <c r="H87" s="1" t="str">
        <f t="shared" si="3"/>
        <v>01700048</v>
      </c>
      <c r="J87" s="288">
        <f>'Manual Manpower Database'!AJ83</f>
        <v>1831.1111111111111</v>
      </c>
      <c r="K87" s="288">
        <f>'Manual Manpower Database'!AK83</f>
        <v>300</v>
      </c>
      <c r="L87" s="288">
        <f>'Manual Manpower Database'!AL83</f>
        <v>0</v>
      </c>
      <c r="M87" s="288">
        <f>'Manual Manpower Database'!AM83</f>
        <v>150</v>
      </c>
      <c r="N87" s="288">
        <f>'Manual Manpower Database'!AN83</f>
        <v>76.296296296296291</v>
      </c>
      <c r="O87" s="288">
        <f>'Manual Manpower Database'!AO83</f>
        <v>0</v>
      </c>
      <c r="P87" s="288">
        <f>'Manual Manpower Database'!AP83</f>
        <v>38.148148148148145</v>
      </c>
      <c r="Q87" s="288">
        <f>'Manual Manpower Database'!AQ83</f>
        <v>36.62222222222222</v>
      </c>
      <c r="R87" s="288">
        <f>'Manual Manpower Database'!AR83</f>
        <v>125</v>
      </c>
      <c r="S87" s="288">
        <f>'Manual Manpower Database'!AS83</f>
        <v>41.666666666666664</v>
      </c>
      <c r="T87" s="288">
        <f>'Manual Manpower Database'!AT83</f>
        <v>54.166666666666664</v>
      </c>
      <c r="U87" s="288">
        <f>'Manual Manpower Database'!AU83</f>
        <v>208.33333333333334</v>
      </c>
      <c r="V87" s="288">
        <f>'Manual Manpower Database'!AV83</f>
        <v>0</v>
      </c>
      <c r="W87" s="288">
        <f>'Manual Manpower Database'!AW83</f>
        <v>8.3333333333333339</v>
      </c>
      <c r="X87" s="288">
        <f>'Manual Manpower Database'!AX83</f>
        <v>55.555555555555557</v>
      </c>
      <c r="Y87" s="288">
        <f t="shared" si="4"/>
        <v>2925.2333333333336</v>
      </c>
    </row>
    <row r="88" spans="2:25" x14ac:dyDescent="0.25">
      <c r="B88" s="2" t="s">
        <v>278</v>
      </c>
      <c r="C88" s="1" t="s">
        <v>1187</v>
      </c>
      <c r="D88" s="2" t="s">
        <v>1176</v>
      </c>
      <c r="E88" s="2" t="s">
        <v>1177</v>
      </c>
      <c r="F88" s="1" t="s">
        <v>1058</v>
      </c>
      <c r="G88" s="2" t="s">
        <v>1195</v>
      </c>
      <c r="H88" s="1" t="str">
        <f t="shared" si="3"/>
        <v>15900040</v>
      </c>
      <c r="J88" s="288">
        <f>'Manual Manpower Database'!AJ84</f>
        <v>1500</v>
      </c>
      <c r="K88" s="288">
        <f>'Manual Manpower Database'!AK84</f>
        <v>0</v>
      </c>
      <c r="L88" s="288">
        <f>'Manual Manpower Database'!AL84</f>
        <v>0</v>
      </c>
      <c r="M88" s="288">
        <f>'Manual Manpower Database'!AM84</f>
        <v>150</v>
      </c>
      <c r="N88" s="288">
        <f>'Manual Manpower Database'!AN84</f>
        <v>62.5</v>
      </c>
      <c r="O88" s="288">
        <f>'Manual Manpower Database'!AO84</f>
        <v>0</v>
      </c>
      <c r="P88" s="288">
        <f>'Manual Manpower Database'!AP84</f>
        <v>31.25</v>
      </c>
      <c r="Q88" s="288">
        <f>'Manual Manpower Database'!AQ84</f>
        <v>30</v>
      </c>
      <c r="R88" s="288">
        <f>'Manual Manpower Database'!AR84</f>
        <v>125</v>
      </c>
      <c r="S88" s="288">
        <f>'Manual Manpower Database'!AS84</f>
        <v>41.666666666666664</v>
      </c>
      <c r="T88" s="288">
        <f>'Manual Manpower Database'!AT84</f>
        <v>54.166666666666664</v>
      </c>
      <c r="U88" s="288">
        <f>'Manual Manpower Database'!AU84</f>
        <v>208.33333333333334</v>
      </c>
      <c r="V88" s="288">
        <f>'Manual Manpower Database'!AV84</f>
        <v>0</v>
      </c>
      <c r="W88" s="288">
        <f>'Manual Manpower Database'!AW84</f>
        <v>8.3333333333333339</v>
      </c>
      <c r="X88" s="288">
        <f>'Manual Manpower Database'!AX84</f>
        <v>55.555555555555557</v>
      </c>
      <c r="Y88" s="288">
        <f t="shared" si="4"/>
        <v>2266.8055555555561</v>
      </c>
    </row>
    <row r="89" spans="2:25" x14ac:dyDescent="0.25">
      <c r="B89" s="2" t="s">
        <v>279</v>
      </c>
      <c r="C89" s="1" t="s">
        <v>990</v>
      </c>
      <c r="D89" s="2" t="s">
        <v>395</v>
      </c>
      <c r="E89" s="2" t="s">
        <v>1178</v>
      </c>
      <c r="F89" s="1" t="s">
        <v>1059</v>
      </c>
      <c r="G89" s="2" t="s">
        <v>1191</v>
      </c>
      <c r="H89" s="1" t="str">
        <f t="shared" si="3"/>
        <v>16050020</v>
      </c>
      <c r="J89" s="288">
        <f>'Manual Manpower Database'!AJ85</f>
        <v>1300</v>
      </c>
      <c r="K89" s="288">
        <f>'Manual Manpower Database'!AK85</f>
        <v>0</v>
      </c>
      <c r="L89" s="288">
        <f>'Manual Manpower Database'!AL85</f>
        <v>0</v>
      </c>
      <c r="M89" s="288">
        <f>'Manual Manpower Database'!AM85</f>
        <v>150</v>
      </c>
      <c r="N89" s="288">
        <f>'Manual Manpower Database'!AN85</f>
        <v>54.166666666666664</v>
      </c>
      <c r="O89" s="288">
        <f>'Manual Manpower Database'!AO85</f>
        <v>0</v>
      </c>
      <c r="P89" s="288">
        <f>'Manual Manpower Database'!AP85</f>
        <v>27.083333333333332</v>
      </c>
      <c r="Q89" s="288">
        <f>'Manual Manpower Database'!AQ85</f>
        <v>26</v>
      </c>
      <c r="R89" s="288">
        <f>'Manual Manpower Database'!AR85</f>
        <v>125</v>
      </c>
      <c r="S89" s="288">
        <f>'Manual Manpower Database'!AS85</f>
        <v>41.666666666666664</v>
      </c>
      <c r="T89" s="288">
        <f>'Manual Manpower Database'!AT85</f>
        <v>54.166666666666664</v>
      </c>
      <c r="U89" s="288">
        <f>'Manual Manpower Database'!AU85</f>
        <v>208.33333333333334</v>
      </c>
      <c r="V89" s="288">
        <f>'Manual Manpower Database'!AV85</f>
        <v>0</v>
      </c>
      <c r="W89" s="288">
        <f>'Manual Manpower Database'!AW85</f>
        <v>8.3333333333333339</v>
      </c>
      <c r="X89" s="288">
        <f>'Manual Manpower Database'!AX85</f>
        <v>55.555555555555557</v>
      </c>
      <c r="Y89" s="288">
        <f t="shared" si="4"/>
        <v>2050.3055555555557</v>
      </c>
    </row>
    <row r="90" spans="2:25" x14ac:dyDescent="0.25">
      <c r="B90" s="2" t="s">
        <v>402</v>
      </c>
      <c r="C90" s="1" t="s">
        <v>1184</v>
      </c>
      <c r="D90" s="2" t="s">
        <v>1168</v>
      </c>
      <c r="E90" s="2" t="s">
        <v>1169</v>
      </c>
      <c r="F90" s="1" t="s">
        <v>560</v>
      </c>
      <c r="G90" s="2" t="s">
        <v>1215</v>
      </c>
      <c r="H90" s="1" t="str">
        <f t="shared" si="3"/>
        <v>01700051</v>
      </c>
      <c r="J90" s="288">
        <f>'Manual Manpower Database'!AJ86</f>
        <v>1099.8333333333333</v>
      </c>
      <c r="K90" s="288">
        <f>'Manual Manpower Database'!AK86</f>
        <v>0</v>
      </c>
      <c r="L90" s="288">
        <f>'Manual Manpower Database'!AL86</f>
        <v>0</v>
      </c>
      <c r="M90" s="288">
        <f>'Manual Manpower Database'!AM86</f>
        <v>150</v>
      </c>
      <c r="N90" s="288">
        <f>'Manual Manpower Database'!AN86</f>
        <v>45.826388888888886</v>
      </c>
      <c r="O90" s="288">
        <f>'Manual Manpower Database'!AO86</f>
        <v>0</v>
      </c>
      <c r="P90" s="288">
        <f>'Manual Manpower Database'!AP86</f>
        <v>22.913194444444443</v>
      </c>
      <c r="Q90" s="288">
        <f>'Manual Manpower Database'!AQ86</f>
        <v>21.996666666666666</v>
      </c>
      <c r="R90" s="288">
        <f>'Manual Manpower Database'!AR86</f>
        <v>125</v>
      </c>
      <c r="S90" s="288">
        <f>'Manual Manpower Database'!AS86</f>
        <v>41.666666666666664</v>
      </c>
      <c r="T90" s="288">
        <f>'Manual Manpower Database'!AT86</f>
        <v>54.166666666666664</v>
      </c>
      <c r="U90" s="288">
        <f>'Manual Manpower Database'!AU86</f>
        <v>208.33333333333334</v>
      </c>
      <c r="V90" s="288">
        <f>'Manual Manpower Database'!AV86</f>
        <v>0</v>
      </c>
      <c r="W90" s="288">
        <f>'Manual Manpower Database'!AW86</f>
        <v>8.3333333333333339</v>
      </c>
      <c r="X90" s="288">
        <f>'Manual Manpower Database'!AX86</f>
        <v>55.555555555555557</v>
      </c>
      <c r="Y90" s="288">
        <f t="shared" si="4"/>
        <v>1833.6251388888888</v>
      </c>
    </row>
    <row r="91" spans="2:25" x14ac:dyDescent="0.25">
      <c r="B91" s="2" t="s">
        <v>402</v>
      </c>
      <c r="C91" s="1" t="s">
        <v>1184</v>
      </c>
      <c r="D91" s="2" t="s">
        <v>1168</v>
      </c>
      <c r="E91" s="2" t="s">
        <v>1169</v>
      </c>
      <c r="F91" s="1" t="s">
        <v>1226</v>
      </c>
      <c r="G91" s="2" t="s">
        <v>1227</v>
      </c>
      <c r="H91" s="1" t="str">
        <f t="shared" si="3"/>
        <v>01700087</v>
      </c>
      <c r="J91" s="288">
        <f>'Manual Manpower Database'!AJ87</f>
        <v>1239.4444444444443</v>
      </c>
      <c r="K91" s="288">
        <f>'Manual Manpower Database'!AK87</f>
        <v>0</v>
      </c>
      <c r="L91" s="288">
        <f>'Manual Manpower Database'!AL87</f>
        <v>0</v>
      </c>
      <c r="M91" s="288">
        <f>'Manual Manpower Database'!AM87</f>
        <v>150</v>
      </c>
      <c r="N91" s="288">
        <f>'Manual Manpower Database'!AN87</f>
        <v>51.643518518518512</v>
      </c>
      <c r="O91" s="288">
        <f>'Manual Manpower Database'!AO87</f>
        <v>0</v>
      </c>
      <c r="P91" s="288">
        <f>'Manual Manpower Database'!AP87</f>
        <v>25.821759259259256</v>
      </c>
      <c r="Q91" s="288">
        <f>'Manual Manpower Database'!AQ87</f>
        <v>24.788888888888888</v>
      </c>
      <c r="R91" s="288">
        <f>'Manual Manpower Database'!AR87</f>
        <v>125</v>
      </c>
      <c r="S91" s="288">
        <f>'Manual Manpower Database'!AS87</f>
        <v>41.666666666666664</v>
      </c>
      <c r="T91" s="288">
        <f>'Manual Manpower Database'!AT87</f>
        <v>54.166666666666664</v>
      </c>
      <c r="U91" s="288">
        <f>'Manual Manpower Database'!AU87</f>
        <v>208.33333333333334</v>
      </c>
      <c r="V91" s="288">
        <f>'Manual Manpower Database'!AV87</f>
        <v>0</v>
      </c>
      <c r="W91" s="288">
        <f>'Manual Manpower Database'!AW87</f>
        <v>8.3333333333333339</v>
      </c>
      <c r="X91" s="288">
        <f>'Manual Manpower Database'!AX87</f>
        <v>55.555555555555557</v>
      </c>
      <c r="Y91" s="288">
        <f t="shared" ref="Y91" si="5">SUM(J91:X91)</f>
        <v>1984.7541666666666</v>
      </c>
    </row>
    <row r="92" spans="2:25" x14ac:dyDescent="0.25">
      <c r="B92" s="2" t="s">
        <v>224</v>
      </c>
      <c r="C92" s="1" t="s">
        <v>9</v>
      </c>
      <c r="D92" s="2" t="s">
        <v>366</v>
      </c>
      <c r="E92" s="2" t="s">
        <v>367</v>
      </c>
      <c r="F92" s="1" t="s">
        <v>1060</v>
      </c>
      <c r="G92" s="2" t="s">
        <v>1190</v>
      </c>
      <c r="H92" s="1" t="str">
        <f t="shared" si="3"/>
        <v>09900015</v>
      </c>
      <c r="J92" s="288">
        <f>'Manual Manpower Database'!AJ87</f>
        <v>1239.4444444444443</v>
      </c>
      <c r="K92" s="288">
        <f>'Manual Manpower Database'!AK87</f>
        <v>0</v>
      </c>
      <c r="L92" s="288">
        <f>'Manual Manpower Database'!AL87</f>
        <v>0</v>
      </c>
      <c r="M92" s="288">
        <f>'Manual Manpower Database'!AM87</f>
        <v>150</v>
      </c>
      <c r="N92" s="288">
        <f>'Manual Manpower Database'!AN87</f>
        <v>51.643518518518512</v>
      </c>
      <c r="O92" s="288">
        <f>'Manual Manpower Database'!AO87</f>
        <v>0</v>
      </c>
      <c r="P92" s="288">
        <f>'Manual Manpower Database'!AP87</f>
        <v>25.821759259259256</v>
      </c>
      <c r="Q92" s="288">
        <f>'Manual Manpower Database'!AQ87</f>
        <v>24.788888888888888</v>
      </c>
      <c r="R92" s="288">
        <f>'Manual Manpower Database'!AR87</f>
        <v>125</v>
      </c>
      <c r="S92" s="288">
        <f>'Manual Manpower Database'!AS87</f>
        <v>41.666666666666664</v>
      </c>
      <c r="T92" s="288">
        <f>'Manual Manpower Database'!AT87</f>
        <v>54.166666666666664</v>
      </c>
      <c r="U92" s="288">
        <f>'Manual Manpower Database'!AU87</f>
        <v>208.33333333333334</v>
      </c>
      <c r="V92" s="288">
        <f>'Manual Manpower Database'!AV87</f>
        <v>0</v>
      </c>
      <c r="W92" s="288">
        <f>'Manual Manpower Database'!AW87</f>
        <v>8.3333333333333339</v>
      </c>
      <c r="X92" s="288">
        <f>'Manual Manpower Database'!AX87</f>
        <v>55.555555555555557</v>
      </c>
      <c r="Y92" s="288">
        <f t="shared" si="4"/>
        <v>1984.7541666666666</v>
      </c>
    </row>
    <row r="93" spans="2:25" x14ac:dyDescent="0.25">
      <c r="B93" s="2" t="s">
        <v>278</v>
      </c>
      <c r="C93" s="1" t="s">
        <v>1187</v>
      </c>
      <c r="D93" s="2" t="s">
        <v>393</v>
      </c>
      <c r="E93" s="2" t="s">
        <v>1182</v>
      </c>
      <c r="F93" s="1" t="s">
        <v>1061</v>
      </c>
      <c r="G93" s="2" t="s">
        <v>1189</v>
      </c>
      <c r="H93" s="1" t="str">
        <f t="shared" si="3"/>
        <v>15100010</v>
      </c>
      <c r="J93" s="288">
        <f>'Manual Manpower Database'!AJ88</f>
        <v>1425.5813953488373</v>
      </c>
      <c r="K93" s="288">
        <f>'Manual Manpower Database'!AK88</f>
        <v>0</v>
      </c>
      <c r="L93" s="288">
        <f>'Manual Manpower Database'!AL88</f>
        <v>0</v>
      </c>
      <c r="M93" s="288">
        <f>'Manual Manpower Database'!AM88</f>
        <v>200</v>
      </c>
      <c r="N93" s="288">
        <f>'Manual Manpower Database'!AN88</f>
        <v>59.399224806201552</v>
      </c>
      <c r="O93" s="288">
        <f>'Manual Manpower Database'!AO88</f>
        <v>0</v>
      </c>
      <c r="P93" s="288">
        <f>'Manual Manpower Database'!AP88</f>
        <v>29.699612403100776</v>
      </c>
      <c r="Q93" s="288">
        <f>'Manual Manpower Database'!AQ88</f>
        <v>28.511627906976745</v>
      </c>
      <c r="R93" s="288">
        <f>'Manual Manpower Database'!AR88</f>
        <v>125</v>
      </c>
      <c r="S93" s="288">
        <f>'Manual Manpower Database'!AS88</f>
        <v>41.666666666666664</v>
      </c>
      <c r="T93" s="288">
        <f>'Manual Manpower Database'!AT88</f>
        <v>54.166666666666664</v>
      </c>
      <c r="U93" s="288">
        <f>'Manual Manpower Database'!AU88</f>
        <v>208.33333333333334</v>
      </c>
      <c r="V93" s="288">
        <f>'Manual Manpower Database'!AV88</f>
        <v>0</v>
      </c>
      <c r="W93" s="288">
        <f>'Manual Manpower Database'!AW88</f>
        <v>8.3333333333333339</v>
      </c>
      <c r="X93" s="288">
        <f>'Manual Manpower Database'!AX88</f>
        <v>55.555555555555557</v>
      </c>
      <c r="Y93" s="288">
        <f t="shared" si="4"/>
        <v>2236.2474160206725</v>
      </c>
    </row>
    <row r="94" spans="2:25" x14ac:dyDescent="0.25">
      <c r="B94" s="2" t="s">
        <v>402</v>
      </c>
      <c r="C94" s="1" t="s">
        <v>1184</v>
      </c>
      <c r="D94" s="2" t="s">
        <v>1168</v>
      </c>
      <c r="E94" s="2" t="s">
        <v>1169</v>
      </c>
      <c r="F94" s="1" t="s">
        <v>1062</v>
      </c>
      <c r="G94" s="2" t="s">
        <v>1216</v>
      </c>
      <c r="H94" s="1" t="str">
        <f t="shared" si="3"/>
        <v>01700054</v>
      </c>
      <c r="J94" s="288">
        <f>'Manual Manpower Database'!AJ89</f>
        <v>1450</v>
      </c>
      <c r="K94" s="288">
        <f>'Manual Manpower Database'!AK89</f>
        <v>0</v>
      </c>
      <c r="L94" s="288">
        <f>'Manual Manpower Database'!AL89</f>
        <v>0</v>
      </c>
      <c r="M94" s="288">
        <f>'Manual Manpower Database'!AM89</f>
        <v>150</v>
      </c>
      <c r="N94" s="288">
        <f>'Manual Manpower Database'!AN89</f>
        <v>60.416666666666664</v>
      </c>
      <c r="O94" s="288">
        <f>'Manual Manpower Database'!AO89</f>
        <v>0</v>
      </c>
      <c r="P94" s="288">
        <f>'Manual Manpower Database'!AP89</f>
        <v>30.208333333333332</v>
      </c>
      <c r="Q94" s="288">
        <f>'Manual Manpower Database'!AQ89</f>
        <v>29</v>
      </c>
      <c r="R94" s="288">
        <f>'Manual Manpower Database'!AR89</f>
        <v>125</v>
      </c>
      <c r="S94" s="288">
        <f>'Manual Manpower Database'!AS89</f>
        <v>41.666666666666664</v>
      </c>
      <c r="T94" s="288">
        <f>'Manual Manpower Database'!AT89</f>
        <v>54.166666666666664</v>
      </c>
      <c r="U94" s="288">
        <f>'Manual Manpower Database'!AU89</f>
        <v>208.33333333333334</v>
      </c>
      <c r="V94" s="288">
        <f>'Manual Manpower Database'!AV89</f>
        <v>0</v>
      </c>
      <c r="W94" s="288">
        <f>'Manual Manpower Database'!AW89</f>
        <v>8.3333333333333339</v>
      </c>
      <c r="X94" s="288">
        <f>'Manual Manpower Database'!AX89</f>
        <v>55.555555555555557</v>
      </c>
      <c r="Y94" s="288">
        <f t="shared" si="4"/>
        <v>2212.6805555555561</v>
      </c>
    </row>
    <row r="95" spans="2:25" x14ac:dyDescent="0.25">
      <c r="B95" s="2" t="s">
        <v>402</v>
      </c>
      <c r="C95" s="1" t="s">
        <v>1184</v>
      </c>
      <c r="D95" s="2" t="s">
        <v>1168</v>
      </c>
      <c r="E95" s="2" t="s">
        <v>1169</v>
      </c>
      <c r="F95" s="1" t="s">
        <v>1063</v>
      </c>
      <c r="G95" s="2" t="s">
        <v>1217</v>
      </c>
      <c r="H95" s="1" t="str">
        <f t="shared" si="3"/>
        <v>01700057</v>
      </c>
      <c r="J95" s="288">
        <f>'Manual Manpower Database'!AJ90</f>
        <v>3200</v>
      </c>
      <c r="K95" s="288">
        <f>'Manual Manpower Database'!AK90</f>
        <v>300</v>
      </c>
      <c r="L95" s="288">
        <f>'Manual Manpower Database'!AL90</f>
        <v>0</v>
      </c>
      <c r="M95" s="288">
        <f>'Manual Manpower Database'!AM90</f>
        <v>0</v>
      </c>
      <c r="N95" s="288">
        <f>'Manual Manpower Database'!AN90</f>
        <v>133.33333333333334</v>
      </c>
      <c r="O95" s="288">
        <f>'Manual Manpower Database'!AO90</f>
        <v>0</v>
      </c>
      <c r="P95" s="288">
        <f>'Manual Manpower Database'!AP90</f>
        <v>66.666666666666671</v>
      </c>
      <c r="Q95" s="288">
        <f>'Manual Manpower Database'!AQ90</f>
        <v>64</v>
      </c>
      <c r="R95" s="288">
        <f>'Manual Manpower Database'!AR90</f>
        <v>125</v>
      </c>
      <c r="S95" s="288">
        <f>'Manual Manpower Database'!AS90</f>
        <v>41.666666666666664</v>
      </c>
      <c r="T95" s="288">
        <f>'Manual Manpower Database'!AT90</f>
        <v>54.166666666666664</v>
      </c>
      <c r="U95" s="288">
        <f>'Manual Manpower Database'!AU90</f>
        <v>208.33333333333334</v>
      </c>
      <c r="V95" s="288">
        <f>'Manual Manpower Database'!AV90</f>
        <v>0</v>
      </c>
      <c r="W95" s="288">
        <f>'Manual Manpower Database'!AW90</f>
        <v>8.3333333333333339</v>
      </c>
      <c r="X95" s="288">
        <f>'Manual Manpower Database'!AX90</f>
        <v>55.555555555555557</v>
      </c>
      <c r="Y95" s="288">
        <f t="shared" si="4"/>
        <v>4257.0555555555547</v>
      </c>
    </row>
    <row r="96" spans="2:25" x14ac:dyDescent="0.25">
      <c r="B96" s="2" t="s">
        <v>224</v>
      </c>
      <c r="C96" s="1" t="s">
        <v>9</v>
      </c>
      <c r="D96" s="2" t="s">
        <v>358</v>
      </c>
      <c r="E96" s="2" t="s">
        <v>361</v>
      </c>
      <c r="F96" s="1" t="s">
        <v>541</v>
      </c>
      <c r="G96" s="2" t="s">
        <v>1190</v>
      </c>
      <c r="H96" s="1" t="str">
        <f t="shared" si="3"/>
        <v>09600015</v>
      </c>
      <c r="J96" s="288">
        <v>1267.090909090909</v>
      </c>
      <c r="K96" s="288">
        <v>0</v>
      </c>
      <c r="L96" s="288">
        <v>0</v>
      </c>
      <c r="M96" s="288">
        <v>250</v>
      </c>
      <c r="N96" s="288">
        <v>52.79545454545454</v>
      </c>
      <c r="O96" s="288">
        <v>0</v>
      </c>
      <c r="P96" s="288">
        <v>26.39772727272727</v>
      </c>
      <c r="Q96" s="288">
        <v>25.34181818181818</v>
      </c>
      <c r="R96" s="288">
        <v>125</v>
      </c>
      <c r="S96" s="288">
        <v>41.666666666666664</v>
      </c>
      <c r="T96" s="288">
        <v>54.166666666666664</v>
      </c>
      <c r="U96" s="288">
        <v>208.33333333333334</v>
      </c>
      <c r="V96" s="288">
        <v>0</v>
      </c>
      <c r="W96" s="288">
        <v>8.3333333333333339</v>
      </c>
      <c r="X96" s="288">
        <v>55.555555555555557</v>
      </c>
      <c r="Y96" s="288">
        <v>2114.681464646465</v>
      </c>
    </row>
    <row r="97" spans="2:25" x14ac:dyDescent="0.25">
      <c r="B97" s="2" t="s">
        <v>219</v>
      </c>
      <c r="C97" s="1" t="s">
        <v>4</v>
      </c>
      <c r="D97" s="2" t="s">
        <v>324</v>
      </c>
      <c r="E97" s="2" t="s">
        <v>326</v>
      </c>
      <c r="F97" s="1" t="s">
        <v>532</v>
      </c>
      <c r="G97" s="2" t="s">
        <v>1191</v>
      </c>
      <c r="H97" s="1" t="str">
        <f t="shared" si="3"/>
        <v>04200020</v>
      </c>
      <c r="J97" s="288">
        <f>'Manual Manpower Database'!AJ91</f>
        <v>927.59574468085111</v>
      </c>
      <c r="K97" s="288">
        <f>'Manual Manpower Database'!AK91</f>
        <v>0</v>
      </c>
      <c r="L97" s="288">
        <f>'Manual Manpower Database'!AL91</f>
        <v>0</v>
      </c>
      <c r="M97" s="288">
        <f>'Manual Manpower Database'!AM91</f>
        <v>250</v>
      </c>
      <c r="N97" s="288">
        <f>'Manual Manpower Database'!AN91</f>
        <v>38.649822695035461</v>
      </c>
      <c r="O97" s="288">
        <f>'Manual Manpower Database'!AO91</f>
        <v>0</v>
      </c>
      <c r="P97" s="288">
        <f>'Manual Manpower Database'!AP91</f>
        <v>19.32491134751773</v>
      </c>
      <c r="Q97" s="288">
        <f>'Manual Manpower Database'!AQ91</f>
        <v>18.551914893617024</v>
      </c>
      <c r="R97" s="288">
        <f>'Manual Manpower Database'!AR91</f>
        <v>125</v>
      </c>
      <c r="S97" s="288">
        <f>'Manual Manpower Database'!AS91</f>
        <v>41.666666666666664</v>
      </c>
      <c r="T97" s="288">
        <f>'Manual Manpower Database'!AT91</f>
        <v>54.166666666666664</v>
      </c>
      <c r="U97" s="288">
        <f>'Manual Manpower Database'!AU91</f>
        <v>208.33333333333334</v>
      </c>
      <c r="V97" s="288">
        <f>'Manual Manpower Database'!AV91</f>
        <v>0</v>
      </c>
      <c r="W97" s="288">
        <f>'Manual Manpower Database'!AW91</f>
        <v>8.3333333333333339</v>
      </c>
      <c r="X97" s="288">
        <f>'Manual Manpower Database'!AX91</f>
        <v>55.555555555555557</v>
      </c>
      <c r="Y97" s="288">
        <f t="shared" si="4"/>
        <v>1747.177949172577</v>
      </c>
    </row>
    <row r="98" spans="2:25" x14ac:dyDescent="0.25">
      <c r="B98" s="2" t="s">
        <v>402</v>
      </c>
      <c r="C98" s="1" t="s">
        <v>1184</v>
      </c>
      <c r="D98" s="2" t="s">
        <v>1166</v>
      </c>
      <c r="E98" s="2" t="s">
        <v>1167</v>
      </c>
      <c r="F98" s="1" t="s">
        <v>552</v>
      </c>
      <c r="G98" s="2" t="s">
        <v>1210</v>
      </c>
      <c r="H98" s="1" t="str">
        <f t="shared" si="3"/>
        <v>01500033</v>
      </c>
      <c r="J98" s="288">
        <f>'Manual Manpower Database'!AJ92</f>
        <v>2243.181818181818</v>
      </c>
      <c r="K98" s="288">
        <f>'Manual Manpower Database'!AK92</f>
        <v>300</v>
      </c>
      <c r="L98" s="288">
        <f>'Manual Manpower Database'!AL92</f>
        <v>0</v>
      </c>
      <c r="M98" s="288">
        <f>'Manual Manpower Database'!AM92</f>
        <v>150</v>
      </c>
      <c r="N98" s="288">
        <f>'Manual Manpower Database'!AN92</f>
        <v>93.465909090909079</v>
      </c>
      <c r="O98" s="288">
        <f>'Manual Manpower Database'!AO92</f>
        <v>0</v>
      </c>
      <c r="P98" s="288">
        <f>'Manual Manpower Database'!AP92</f>
        <v>46.73295454545454</v>
      </c>
      <c r="Q98" s="288">
        <f>'Manual Manpower Database'!AQ92</f>
        <v>44.86363636363636</v>
      </c>
      <c r="R98" s="288">
        <f>'Manual Manpower Database'!AR92</f>
        <v>125</v>
      </c>
      <c r="S98" s="288">
        <f>'Manual Manpower Database'!AS92</f>
        <v>41.666666666666664</v>
      </c>
      <c r="T98" s="288">
        <f>'Manual Manpower Database'!AT92</f>
        <v>54.166666666666664</v>
      </c>
      <c r="U98" s="288">
        <f>'Manual Manpower Database'!AU92</f>
        <v>208.33333333333334</v>
      </c>
      <c r="V98" s="288">
        <f>'Manual Manpower Database'!AV92</f>
        <v>0</v>
      </c>
      <c r="W98" s="288">
        <f>'Manual Manpower Database'!AW92</f>
        <v>8.3333333333333339</v>
      </c>
      <c r="X98" s="288">
        <f>'Manual Manpower Database'!AX92</f>
        <v>55.555555555555557</v>
      </c>
      <c r="Y98" s="288">
        <f t="shared" si="4"/>
        <v>3371.2998737373737</v>
      </c>
    </row>
    <row r="99" spans="2:25" x14ac:dyDescent="0.25">
      <c r="B99" s="2" t="s">
        <v>402</v>
      </c>
      <c r="C99" s="1" t="s">
        <v>1184</v>
      </c>
      <c r="D99" s="2" t="s">
        <v>1166</v>
      </c>
      <c r="E99" s="2" t="s">
        <v>1167</v>
      </c>
      <c r="F99" s="1" t="s">
        <v>1064</v>
      </c>
      <c r="G99" s="2" t="s">
        <v>1211</v>
      </c>
      <c r="H99" s="1" t="str">
        <f t="shared" si="3"/>
        <v>01500036</v>
      </c>
      <c r="J99" s="288">
        <f>'Manual Manpower Database'!AJ93</f>
        <v>1542.8571428571429</v>
      </c>
      <c r="K99" s="288">
        <f>'Manual Manpower Database'!AK93</f>
        <v>300</v>
      </c>
      <c r="L99" s="288">
        <f>'Manual Manpower Database'!AL93</f>
        <v>0</v>
      </c>
      <c r="M99" s="288">
        <f>'Manual Manpower Database'!AM93</f>
        <v>150</v>
      </c>
      <c r="N99" s="288">
        <f>'Manual Manpower Database'!AN93</f>
        <v>64.285714285714292</v>
      </c>
      <c r="O99" s="288">
        <f>'Manual Manpower Database'!AO93</f>
        <v>0</v>
      </c>
      <c r="P99" s="288">
        <f>'Manual Manpower Database'!AP93</f>
        <v>32.142857142857146</v>
      </c>
      <c r="Q99" s="288">
        <f>'Manual Manpower Database'!AQ93</f>
        <v>30.857142857142858</v>
      </c>
      <c r="R99" s="288">
        <f>'Manual Manpower Database'!AR93</f>
        <v>125</v>
      </c>
      <c r="S99" s="288">
        <f>'Manual Manpower Database'!AS93</f>
        <v>41.666666666666664</v>
      </c>
      <c r="T99" s="288">
        <f>'Manual Manpower Database'!AT93</f>
        <v>54.166666666666664</v>
      </c>
      <c r="U99" s="288">
        <f>'Manual Manpower Database'!AU93</f>
        <v>208.33333333333334</v>
      </c>
      <c r="V99" s="288">
        <f>'Manual Manpower Database'!AV93</f>
        <v>0</v>
      </c>
      <c r="W99" s="288">
        <f>'Manual Manpower Database'!AW93</f>
        <v>8.3333333333333339</v>
      </c>
      <c r="X99" s="288">
        <f>'Manual Manpower Database'!AX93</f>
        <v>55.555555555555557</v>
      </c>
      <c r="Y99" s="288">
        <f t="shared" si="4"/>
        <v>2613.198412698413</v>
      </c>
    </row>
    <row r="100" spans="2:25" x14ac:dyDescent="0.25">
      <c r="B100" s="2" t="s">
        <v>402</v>
      </c>
      <c r="C100" s="1" t="s">
        <v>1184</v>
      </c>
      <c r="D100" s="2" t="s">
        <v>1166</v>
      </c>
      <c r="E100" s="2" t="s">
        <v>1167</v>
      </c>
      <c r="F100" s="1" t="s">
        <v>1065</v>
      </c>
      <c r="G100" s="2" t="s">
        <v>1212</v>
      </c>
      <c r="H100" s="1" t="str">
        <f t="shared" si="3"/>
        <v>01500039</v>
      </c>
      <c r="J100" s="288">
        <f>'Manual Manpower Database'!AJ94</f>
        <v>1400</v>
      </c>
      <c r="K100" s="288">
        <f>'Manual Manpower Database'!AK94</f>
        <v>0</v>
      </c>
      <c r="L100" s="288">
        <f>'Manual Manpower Database'!AL94</f>
        <v>0</v>
      </c>
      <c r="M100" s="288">
        <f>'Manual Manpower Database'!AM94</f>
        <v>200</v>
      </c>
      <c r="N100" s="288">
        <f>'Manual Manpower Database'!AN94</f>
        <v>58.333333333333336</v>
      </c>
      <c r="O100" s="288">
        <f>'Manual Manpower Database'!AO94</f>
        <v>0</v>
      </c>
      <c r="P100" s="288">
        <f>'Manual Manpower Database'!AP94</f>
        <v>29.166666666666668</v>
      </c>
      <c r="Q100" s="288">
        <f>'Manual Manpower Database'!AQ94</f>
        <v>28</v>
      </c>
      <c r="R100" s="288">
        <f>'Manual Manpower Database'!AR94</f>
        <v>125</v>
      </c>
      <c r="S100" s="288">
        <f>'Manual Manpower Database'!AS94</f>
        <v>41.666666666666664</v>
      </c>
      <c r="T100" s="288">
        <f>'Manual Manpower Database'!AT94</f>
        <v>54.166666666666664</v>
      </c>
      <c r="U100" s="288">
        <f>'Manual Manpower Database'!AU94</f>
        <v>208.33333333333334</v>
      </c>
      <c r="V100" s="288">
        <f>'Manual Manpower Database'!AV94</f>
        <v>0</v>
      </c>
      <c r="W100" s="288">
        <f>'Manual Manpower Database'!AW94</f>
        <v>8.3333333333333339</v>
      </c>
      <c r="X100" s="288">
        <f>'Manual Manpower Database'!AX94</f>
        <v>55.555555555555557</v>
      </c>
      <c r="Y100" s="288">
        <f t="shared" si="4"/>
        <v>2208.5555555555561</v>
      </c>
    </row>
    <row r="101" spans="2:25" x14ac:dyDescent="0.25">
      <c r="B101" s="2" t="s">
        <v>402</v>
      </c>
      <c r="C101" s="1" t="s">
        <v>1184</v>
      </c>
      <c r="D101" s="2" t="s">
        <v>1166</v>
      </c>
      <c r="E101" s="2" t="s">
        <v>1167</v>
      </c>
      <c r="F101" s="1" t="s">
        <v>1066</v>
      </c>
      <c r="G101" s="2" t="s">
        <v>1213</v>
      </c>
      <c r="H101" s="1" t="str">
        <f t="shared" ref="H101:H132" si="6">D101&amp;G101</f>
        <v>01500042</v>
      </c>
      <c r="J101" s="288">
        <f>'Manual Manpower Database'!AJ95</f>
        <v>1318.5064102564102</v>
      </c>
      <c r="K101" s="288">
        <f>'Manual Manpower Database'!AK95</f>
        <v>300</v>
      </c>
      <c r="L101" s="288">
        <f>'Manual Manpower Database'!AL95</f>
        <v>0</v>
      </c>
      <c r="M101" s="288">
        <f>'Manual Manpower Database'!AM95</f>
        <v>250</v>
      </c>
      <c r="N101" s="288">
        <f>'Manual Manpower Database'!AN95</f>
        <v>54.93776709401709</v>
      </c>
      <c r="O101" s="288">
        <f>'Manual Manpower Database'!AO95</f>
        <v>0</v>
      </c>
      <c r="P101" s="288">
        <f>'Manual Manpower Database'!AP95</f>
        <v>27.468883547008545</v>
      </c>
      <c r="Q101" s="288">
        <f>'Manual Manpower Database'!AQ95</f>
        <v>26.370128205128204</v>
      </c>
      <c r="R101" s="288">
        <f>'Manual Manpower Database'!AR95</f>
        <v>125</v>
      </c>
      <c r="S101" s="288">
        <f>'Manual Manpower Database'!AS95</f>
        <v>41.666666666666664</v>
      </c>
      <c r="T101" s="288">
        <f>'Manual Manpower Database'!AT95</f>
        <v>54.166666666666664</v>
      </c>
      <c r="U101" s="288">
        <f>'Manual Manpower Database'!AU95</f>
        <v>208.33333333333334</v>
      </c>
      <c r="V101" s="288">
        <f>'Manual Manpower Database'!AV95</f>
        <v>0</v>
      </c>
      <c r="W101" s="288">
        <f>'Manual Manpower Database'!AW95</f>
        <v>8.3333333333333339</v>
      </c>
      <c r="X101" s="288">
        <f>'Manual Manpower Database'!AX95</f>
        <v>55.555555555555557</v>
      </c>
      <c r="Y101" s="288">
        <f t="shared" si="4"/>
        <v>2470.3387446581196</v>
      </c>
    </row>
    <row r="102" spans="2:25" x14ac:dyDescent="0.25">
      <c r="B102" s="2" t="s">
        <v>402</v>
      </c>
      <c r="C102" s="1" t="s">
        <v>1184</v>
      </c>
      <c r="D102" s="2" t="s">
        <v>1166</v>
      </c>
      <c r="E102" s="2" t="s">
        <v>1167</v>
      </c>
      <c r="F102" s="1" t="s">
        <v>1067</v>
      </c>
      <c r="G102" s="2" t="s">
        <v>1196</v>
      </c>
      <c r="H102" s="1" t="str">
        <f t="shared" si="6"/>
        <v>01500045</v>
      </c>
      <c r="J102" s="288">
        <f>'Manual Manpower Database'!AJ96</f>
        <v>1684.2857142857142</v>
      </c>
      <c r="K102" s="288">
        <f>'Manual Manpower Database'!AK96</f>
        <v>300</v>
      </c>
      <c r="L102" s="288">
        <f>'Manual Manpower Database'!AL96</f>
        <v>0</v>
      </c>
      <c r="M102" s="288">
        <f>'Manual Manpower Database'!AM96</f>
        <v>150</v>
      </c>
      <c r="N102" s="288">
        <f>'Manual Manpower Database'!AN96</f>
        <v>70.178571428571431</v>
      </c>
      <c r="O102" s="288">
        <f>'Manual Manpower Database'!AO96</f>
        <v>0</v>
      </c>
      <c r="P102" s="288">
        <f>'Manual Manpower Database'!AP96</f>
        <v>35.089285714285715</v>
      </c>
      <c r="Q102" s="288">
        <f>'Manual Manpower Database'!AQ96</f>
        <v>33.685714285714283</v>
      </c>
      <c r="R102" s="288">
        <f>'Manual Manpower Database'!AR96</f>
        <v>125</v>
      </c>
      <c r="S102" s="288">
        <f>'Manual Manpower Database'!AS96</f>
        <v>41.666666666666664</v>
      </c>
      <c r="T102" s="288">
        <f>'Manual Manpower Database'!AT96</f>
        <v>54.166666666666664</v>
      </c>
      <c r="U102" s="288">
        <f>'Manual Manpower Database'!AU96</f>
        <v>208.33333333333334</v>
      </c>
      <c r="V102" s="288">
        <f>'Manual Manpower Database'!AV96</f>
        <v>0</v>
      </c>
      <c r="W102" s="288">
        <f>'Manual Manpower Database'!AW96</f>
        <v>8.3333333333333339</v>
      </c>
      <c r="X102" s="288">
        <f>'Manual Manpower Database'!AX96</f>
        <v>55.555555555555557</v>
      </c>
      <c r="Y102" s="288">
        <f t="shared" si="4"/>
        <v>2766.2948412698415</v>
      </c>
    </row>
    <row r="103" spans="2:25" x14ac:dyDescent="0.25">
      <c r="B103" s="2" t="s">
        <v>402</v>
      </c>
      <c r="C103" s="1" t="s">
        <v>1184</v>
      </c>
      <c r="D103" s="2" t="s">
        <v>1166</v>
      </c>
      <c r="E103" s="2" t="s">
        <v>1167</v>
      </c>
      <c r="F103" s="1" t="s">
        <v>1068</v>
      </c>
      <c r="G103" s="2" t="s">
        <v>1214</v>
      </c>
      <c r="H103" s="1" t="str">
        <f t="shared" si="6"/>
        <v>01500048</v>
      </c>
      <c r="J103" s="288">
        <f>'Manual Manpower Database'!AJ97</f>
        <v>1500.9428571428571</v>
      </c>
      <c r="K103" s="288">
        <f>'Manual Manpower Database'!AK97</f>
        <v>0</v>
      </c>
      <c r="L103" s="288">
        <f>'Manual Manpower Database'!AL97</f>
        <v>0</v>
      </c>
      <c r="M103" s="288">
        <f>'Manual Manpower Database'!AM97</f>
        <v>250</v>
      </c>
      <c r="N103" s="288">
        <f>'Manual Manpower Database'!AN97</f>
        <v>62.539285714285711</v>
      </c>
      <c r="O103" s="288">
        <f>'Manual Manpower Database'!AO97</f>
        <v>0</v>
      </c>
      <c r="P103" s="288">
        <f>'Manual Manpower Database'!AP97</f>
        <v>31.269642857142856</v>
      </c>
      <c r="Q103" s="288">
        <f>'Manual Manpower Database'!AQ97</f>
        <v>30.018857142857144</v>
      </c>
      <c r="R103" s="288">
        <f>'Manual Manpower Database'!AR97</f>
        <v>125</v>
      </c>
      <c r="S103" s="288">
        <f>'Manual Manpower Database'!AS97</f>
        <v>41.666666666666664</v>
      </c>
      <c r="T103" s="288">
        <f>'Manual Manpower Database'!AT97</f>
        <v>54.166666666666664</v>
      </c>
      <c r="U103" s="288">
        <f>'Manual Manpower Database'!AU97</f>
        <v>208.33333333333334</v>
      </c>
      <c r="V103" s="288">
        <f>'Manual Manpower Database'!AV97</f>
        <v>0</v>
      </c>
      <c r="W103" s="288">
        <f>'Manual Manpower Database'!AW97</f>
        <v>8.3333333333333339</v>
      </c>
      <c r="X103" s="288">
        <f>'Manual Manpower Database'!AX97</f>
        <v>55.555555555555557</v>
      </c>
      <c r="Y103" s="288">
        <f t="shared" si="4"/>
        <v>2367.8261984126984</v>
      </c>
    </row>
    <row r="104" spans="2:25" x14ac:dyDescent="0.25">
      <c r="B104" s="2" t="s">
        <v>402</v>
      </c>
      <c r="C104" s="1" t="s">
        <v>1184</v>
      </c>
      <c r="D104" s="2" t="s">
        <v>1166</v>
      </c>
      <c r="E104" s="2" t="s">
        <v>1167</v>
      </c>
      <c r="F104" s="1" t="s">
        <v>1069</v>
      </c>
      <c r="G104" s="2" t="s">
        <v>1215</v>
      </c>
      <c r="H104" s="1" t="str">
        <f t="shared" si="6"/>
        <v>01500051</v>
      </c>
      <c r="J104" s="288">
        <f>'Manual Manpower Database'!AJ98</f>
        <v>1523.2142857142858</v>
      </c>
      <c r="K104" s="288">
        <f>'Manual Manpower Database'!AK98</f>
        <v>0</v>
      </c>
      <c r="L104" s="288">
        <f>'Manual Manpower Database'!AL98</f>
        <v>0</v>
      </c>
      <c r="M104" s="288">
        <f>'Manual Manpower Database'!AM98</f>
        <v>200</v>
      </c>
      <c r="N104" s="288">
        <f>'Manual Manpower Database'!AN98</f>
        <v>63.467261904761905</v>
      </c>
      <c r="O104" s="288">
        <f>'Manual Manpower Database'!AO98</f>
        <v>0</v>
      </c>
      <c r="P104" s="288">
        <f>'Manual Manpower Database'!AP98</f>
        <v>31.733630952380953</v>
      </c>
      <c r="Q104" s="288">
        <f>'Manual Manpower Database'!AQ98</f>
        <v>30.464285714285715</v>
      </c>
      <c r="R104" s="288">
        <f>'Manual Manpower Database'!AR98</f>
        <v>125</v>
      </c>
      <c r="S104" s="288">
        <f>'Manual Manpower Database'!AS98</f>
        <v>41.666666666666664</v>
      </c>
      <c r="T104" s="288">
        <f>'Manual Manpower Database'!AT98</f>
        <v>54.166666666666664</v>
      </c>
      <c r="U104" s="288">
        <f>'Manual Manpower Database'!AU98</f>
        <v>208.33333333333334</v>
      </c>
      <c r="V104" s="288">
        <f>'Manual Manpower Database'!AV98</f>
        <v>0</v>
      </c>
      <c r="W104" s="288">
        <f>'Manual Manpower Database'!AW98</f>
        <v>8.3333333333333339</v>
      </c>
      <c r="X104" s="288">
        <f>'Manual Manpower Database'!AX98</f>
        <v>55.555555555555557</v>
      </c>
      <c r="Y104" s="288">
        <f t="shared" si="4"/>
        <v>2341.9350198412703</v>
      </c>
    </row>
    <row r="105" spans="2:25" x14ac:dyDescent="0.25">
      <c r="B105" s="2" t="s">
        <v>402</v>
      </c>
      <c r="C105" s="1" t="s">
        <v>1184</v>
      </c>
      <c r="D105" s="2" t="s">
        <v>1166</v>
      </c>
      <c r="E105" s="2" t="s">
        <v>1167</v>
      </c>
      <c r="F105" s="1" t="s">
        <v>1070</v>
      </c>
      <c r="G105" s="2" t="s">
        <v>1216</v>
      </c>
      <c r="H105" s="1" t="str">
        <f t="shared" si="6"/>
        <v>01500054</v>
      </c>
      <c r="J105" s="288">
        <f>'Manual Manpower Database'!AJ99</f>
        <v>1825</v>
      </c>
      <c r="K105" s="288">
        <f>'Manual Manpower Database'!AK99</f>
        <v>0</v>
      </c>
      <c r="L105" s="288">
        <f>'Manual Manpower Database'!AL99</f>
        <v>0</v>
      </c>
      <c r="M105" s="288">
        <f>'Manual Manpower Database'!AM99</f>
        <v>150</v>
      </c>
      <c r="N105" s="288">
        <f>'Manual Manpower Database'!AN99</f>
        <v>76.041666666666671</v>
      </c>
      <c r="O105" s="288">
        <f>'Manual Manpower Database'!AO99</f>
        <v>0</v>
      </c>
      <c r="P105" s="288">
        <f>'Manual Manpower Database'!AP99</f>
        <v>38.020833333333336</v>
      </c>
      <c r="Q105" s="288">
        <f>'Manual Manpower Database'!AQ99</f>
        <v>36.5</v>
      </c>
      <c r="R105" s="288">
        <f>'Manual Manpower Database'!AR99</f>
        <v>125</v>
      </c>
      <c r="S105" s="288">
        <f>'Manual Manpower Database'!AS99</f>
        <v>41.666666666666664</v>
      </c>
      <c r="T105" s="288">
        <f>'Manual Manpower Database'!AT99</f>
        <v>54.166666666666664</v>
      </c>
      <c r="U105" s="288">
        <f>'Manual Manpower Database'!AU99</f>
        <v>208.33333333333334</v>
      </c>
      <c r="V105" s="288">
        <f>'Manual Manpower Database'!AV99</f>
        <v>0</v>
      </c>
      <c r="W105" s="288">
        <f>'Manual Manpower Database'!AW99</f>
        <v>8.3333333333333339</v>
      </c>
      <c r="X105" s="288">
        <f>'Manual Manpower Database'!AX99</f>
        <v>55.555555555555557</v>
      </c>
      <c r="Y105" s="288">
        <f t="shared" si="4"/>
        <v>2618.6180555555557</v>
      </c>
    </row>
    <row r="106" spans="2:25" x14ac:dyDescent="0.25">
      <c r="B106" s="2" t="s">
        <v>402</v>
      </c>
      <c r="C106" s="1" t="s">
        <v>1184</v>
      </c>
      <c r="D106" s="2" t="s">
        <v>1166</v>
      </c>
      <c r="E106" s="2" t="s">
        <v>1167</v>
      </c>
      <c r="F106" s="1" t="s">
        <v>1071</v>
      </c>
      <c r="G106" s="2" t="s">
        <v>1217</v>
      </c>
      <c r="H106" s="1" t="str">
        <f t="shared" si="6"/>
        <v>01500057</v>
      </c>
      <c r="J106" s="288">
        <f>'Manual Manpower Database'!AJ100</f>
        <v>1070</v>
      </c>
      <c r="K106" s="288">
        <f>'Manual Manpower Database'!AK100</f>
        <v>0</v>
      </c>
      <c r="L106" s="288">
        <f>'Manual Manpower Database'!AL100</f>
        <v>0</v>
      </c>
      <c r="M106" s="288">
        <f>'Manual Manpower Database'!AM100</f>
        <v>150</v>
      </c>
      <c r="N106" s="288">
        <f>'Manual Manpower Database'!AN100</f>
        <v>44.583333333333336</v>
      </c>
      <c r="O106" s="288">
        <f>'Manual Manpower Database'!AO100</f>
        <v>0</v>
      </c>
      <c r="P106" s="288">
        <f>'Manual Manpower Database'!AP100</f>
        <v>22.291666666666668</v>
      </c>
      <c r="Q106" s="288">
        <f>'Manual Manpower Database'!AQ100</f>
        <v>21.400000000000002</v>
      </c>
      <c r="R106" s="288">
        <f>'Manual Manpower Database'!AR100</f>
        <v>125</v>
      </c>
      <c r="S106" s="288">
        <f>'Manual Manpower Database'!AS100</f>
        <v>41.666666666666664</v>
      </c>
      <c r="T106" s="288">
        <f>'Manual Manpower Database'!AT100</f>
        <v>54.166666666666664</v>
      </c>
      <c r="U106" s="288">
        <f>'Manual Manpower Database'!AU100</f>
        <v>208.33333333333334</v>
      </c>
      <c r="V106" s="288">
        <f>'Manual Manpower Database'!AV100</f>
        <v>0</v>
      </c>
      <c r="W106" s="288">
        <f>'Manual Manpower Database'!AW100</f>
        <v>8.3333333333333339</v>
      </c>
      <c r="X106" s="288">
        <f>'Manual Manpower Database'!AX100</f>
        <v>55.555555555555557</v>
      </c>
      <c r="Y106" s="288">
        <f t="shared" si="4"/>
        <v>1801.3305555555557</v>
      </c>
    </row>
    <row r="107" spans="2:25" x14ac:dyDescent="0.25">
      <c r="B107" s="2" t="s">
        <v>220</v>
      </c>
      <c r="C107" s="1" t="s">
        <v>1072</v>
      </c>
      <c r="D107" s="2" t="s">
        <v>328</v>
      </c>
      <c r="E107" s="2" t="s">
        <v>329</v>
      </c>
      <c r="F107" s="1" t="s">
        <v>1073</v>
      </c>
      <c r="G107" s="2" t="s">
        <v>800</v>
      </c>
      <c r="H107" s="1" t="str">
        <f t="shared" si="6"/>
        <v>05500005</v>
      </c>
      <c r="J107" s="288">
        <f>'Manual Manpower Database'!AJ101</f>
        <v>3000</v>
      </c>
      <c r="K107" s="288">
        <f>'Manual Manpower Database'!AK101</f>
        <v>300</v>
      </c>
      <c r="L107" s="288">
        <f>'Manual Manpower Database'!AL101</f>
        <v>0</v>
      </c>
      <c r="M107" s="288">
        <f>'Manual Manpower Database'!AM101</f>
        <v>0</v>
      </c>
      <c r="N107" s="288">
        <f>'Manual Manpower Database'!AN101</f>
        <v>125</v>
      </c>
      <c r="O107" s="288">
        <f>'Manual Manpower Database'!AO101</f>
        <v>0</v>
      </c>
      <c r="P107" s="288">
        <f>'Manual Manpower Database'!AP101</f>
        <v>62.5</v>
      </c>
      <c r="Q107" s="288">
        <f>'Manual Manpower Database'!AQ101</f>
        <v>60</v>
      </c>
      <c r="R107" s="288">
        <f>'Manual Manpower Database'!AR101</f>
        <v>125</v>
      </c>
      <c r="S107" s="288">
        <f>'Manual Manpower Database'!AS101</f>
        <v>41.666666666666664</v>
      </c>
      <c r="T107" s="288">
        <f>'Manual Manpower Database'!AT101</f>
        <v>54.166666666666664</v>
      </c>
      <c r="U107" s="288">
        <f>'Manual Manpower Database'!AU101</f>
        <v>208.33333333333334</v>
      </c>
      <c r="V107" s="288">
        <f>'Manual Manpower Database'!AV101</f>
        <v>0</v>
      </c>
      <c r="W107" s="288">
        <f>'Manual Manpower Database'!AW101</f>
        <v>8.3333333333333339</v>
      </c>
      <c r="X107" s="288">
        <f>'Manual Manpower Database'!AX101</f>
        <v>55.555555555555557</v>
      </c>
      <c r="Y107" s="288">
        <f t="shared" si="4"/>
        <v>4040.5555555555557</v>
      </c>
    </row>
    <row r="108" spans="2:25" x14ac:dyDescent="0.25">
      <c r="B108" s="2" t="s">
        <v>402</v>
      </c>
      <c r="C108" s="1" t="s">
        <v>1184</v>
      </c>
      <c r="D108" s="2" t="s">
        <v>1166</v>
      </c>
      <c r="E108" s="2" t="s">
        <v>1167</v>
      </c>
      <c r="F108" s="1" t="s">
        <v>1074</v>
      </c>
      <c r="G108" s="2" t="s">
        <v>1198</v>
      </c>
      <c r="H108" s="1" t="str">
        <f t="shared" si="6"/>
        <v>01500060</v>
      </c>
      <c r="J108" s="288">
        <f>'Manual Manpower Database'!AJ102</f>
        <v>1200</v>
      </c>
      <c r="K108" s="288">
        <f>'Manual Manpower Database'!AK102</f>
        <v>0</v>
      </c>
      <c r="L108" s="288">
        <f>'Manual Manpower Database'!AL102</f>
        <v>0</v>
      </c>
      <c r="M108" s="288">
        <f>'Manual Manpower Database'!AM102</f>
        <v>150</v>
      </c>
      <c r="N108" s="288">
        <f>'Manual Manpower Database'!AN102</f>
        <v>50</v>
      </c>
      <c r="O108" s="288">
        <f>'Manual Manpower Database'!AO102</f>
        <v>0</v>
      </c>
      <c r="P108" s="288">
        <f>'Manual Manpower Database'!AP102</f>
        <v>25</v>
      </c>
      <c r="Q108" s="288">
        <f>'Manual Manpower Database'!AQ102</f>
        <v>24</v>
      </c>
      <c r="R108" s="288">
        <f>'Manual Manpower Database'!AR102</f>
        <v>125</v>
      </c>
      <c r="S108" s="288">
        <f>'Manual Manpower Database'!AS102</f>
        <v>41.666666666666664</v>
      </c>
      <c r="T108" s="288">
        <f>'Manual Manpower Database'!AT102</f>
        <v>54.166666666666664</v>
      </c>
      <c r="U108" s="288">
        <f>'Manual Manpower Database'!AU102</f>
        <v>208.33333333333334</v>
      </c>
      <c r="V108" s="288">
        <f>'Manual Manpower Database'!AV102</f>
        <v>0</v>
      </c>
      <c r="W108" s="288">
        <f>'Manual Manpower Database'!AW102</f>
        <v>8.3333333333333339</v>
      </c>
      <c r="X108" s="288">
        <f>'Manual Manpower Database'!AX102</f>
        <v>55.555555555555557</v>
      </c>
      <c r="Y108" s="288">
        <f t="shared" si="4"/>
        <v>1942.0555555555557</v>
      </c>
    </row>
    <row r="109" spans="2:25" x14ac:dyDescent="0.25">
      <c r="B109" s="2" t="s">
        <v>279</v>
      </c>
      <c r="C109" s="1" t="s">
        <v>990</v>
      </c>
      <c r="D109" s="2" t="s">
        <v>1173</v>
      </c>
      <c r="E109" s="2" t="s">
        <v>1174</v>
      </c>
      <c r="F109" s="1" t="s">
        <v>1076</v>
      </c>
      <c r="G109" s="2" t="s">
        <v>1189</v>
      </c>
      <c r="H109" s="1" t="str">
        <f t="shared" si="6"/>
        <v>16700010</v>
      </c>
      <c r="J109" s="288">
        <f>'Manual Manpower Database'!AJ103</f>
        <v>2683</v>
      </c>
      <c r="K109" s="288">
        <f>'Manual Manpower Database'!AK103</f>
        <v>400</v>
      </c>
      <c r="L109" s="288">
        <f>'Manual Manpower Database'!AL103</f>
        <v>447.16666666666669</v>
      </c>
      <c r="M109" s="288">
        <f>'Manual Manpower Database'!AM103</f>
        <v>200</v>
      </c>
      <c r="N109" s="288">
        <f>'Manual Manpower Database'!AN103</f>
        <v>111.79166666666667</v>
      </c>
      <c r="O109" s="288">
        <f>'Manual Manpower Database'!AO103</f>
        <v>0</v>
      </c>
      <c r="P109" s="288">
        <f>'Manual Manpower Database'!AP103</f>
        <v>55.895833333333336</v>
      </c>
      <c r="Q109" s="288">
        <f>'Manual Manpower Database'!AQ103</f>
        <v>62.603333333333332</v>
      </c>
      <c r="R109" s="288">
        <f>'Manual Manpower Database'!AR103</f>
        <v>125</v>
      </c>
      <c r="S109" s="288">
        <f>'Manual Manpower Database'!AS103</f>
        <v>41.666666666666664</v>
      </c>
      <c r="T109" s="288">
        <f>'Manual Manpower Database'!AT103</f>
        <v>54.166666666666664</v>
      </c>
      <c r="U109" s="288">
        <f>'Manual Manpower Database'!AU103</f>
        <v>208.33333333333334</v>
      </c>
      <c r="V109" s="288">
        <f>'Manual Manpower Database'!AV103</f>
        <v>0</v>
      </c>
      <c r="W109" s="288">
        <f>'Manual Manpower Database'!AW103</f>
        <v>8.3333333333333339</v>
      </c>
      <c r="X109" s="288">
        <f>'Manual Manpower Database'!AX103</f>
        <v>55.555555555555557</v>
      </c>
      <c r="Y109" s="288">
        <f t="shared" si="4"/>
        <v>4453.5130555555552</v>
      </c>
    </row>
    <row r="110" spans="2:25" x14ac:dyDescent="0.25">
      <c r="B110" s="2" t="s">
        <v>402</v>
      </c>
      <c r="C110" s="1" t="s">
        <v>1184</v>
      </c>
      <c r="D110" s="2" t="s">
        <v>1170</v>
      </c>
      <c r="E110" s="2" t="s">
        <v>1171</v>
      </c>
      <c r="F110" s="1" t="s">
        <v>1078</v>
      </c>
      <c r="G110" s="2" t="s">
        <v>1191</v>
      </c>
      <c r="H110" s="1" t="str">
        <f t="shared" si="6"/>
        <v>01800020</v>
      </c>
      <c r="J110" s="288">
        <f>'Manual Manpower Database'!AJ104</f>
        <v>1006.6326530612245</v>
      </c>
      <c r="K110" s="288">
        <f>'Manual Manpower Database'!AK104</f>
        <v>0</v>
      </c>
      <c r="L110" s="288">
        <f>'Manual Manpower Database'!AL104</f>
        <v>0</v>
      </c>
      <c r="M110" s="288">
        <f>'Manual Manpower Database'!AM104</f>
        <v>150</v>
      </c>
      <c r="N110" s="288">
        <f>'Manual Manpower Database'!AN104</f>
        <v>41.943027210884352</v>
      </c>
      <c r="O110" s="288">
        <f>'Manual Manpower Database'!AO104</f>
        <v>0</v>
      </c>
      <c r="P110" s="288">
        <f>'Manual Manpower Database'!AP104</f>
        <v>20.971513605442176</v>
      </c>
      <c r="Q110" s="288">
        <f>'Manual Manpower Database'!AQ104</f>
        <v>20.132653061224488</v>
      </c>
      <c r="R110" s="288">
        <f>'Manual Manpower Database'!AR104</f>
        <v>125</v>
      </c>
      <c r="S110" s="288">
        <f>'Manual Manpower Database'!AS104</f>
        <v>41.666666666666664</v>
      </c>
      <c r="T110" s="288">
        <f>'Manual Manpower Database'!AT104</f>
        <v>54.166666666666664</v>
      </c>
      <c r="U110" s="288">
        <f>'Manual Manpower Database'!AU104</f>
        <v>208.33333333333334</v>
      </c>
      <c r="V110" s="288">
        <f>'Manual Manpower Database'!AV104</f>
        <v>0</v>
      </c>
      <c r="W110" s="288">
        <f>'Manual Manpower Database'!AW104</f>
        <v>8.3333333333333339</v>
      </c>
      <c r="X110" s="288">
        <f>'Manual Manpower Database'!AX104</f>
        <v>55.555555555555557</v>
      </c>
      <c r="Y110" s="288">
        <f t="shared" si="4"/>
        <v>1732.7354024943313</v>
      </c>
    </row>
    <row r="111" spans="2:25" x14ac:dyDescent="0.25">
      <c r="B111" s="2" t="s">
        <v>217</v>
      </c>
      <c r="C111" s="1" t="s">
        <v>1179</v>
      </c>
      <c r="D111" s="2" t="s">
        <v>316</v>
      </c>
      <c r="E111" s="2" t="s">
        <v>1175</v>
      </c>
      <c r="F111" s="1" t="s">
        <v>812</v>
      </c>
      <c r="G111" s="2" t="s">
        <v>1191</v>
      </c>
      <c r="H111" s="1" t="str">
        <f t="shared" si="6"/>
        <v>02200020</v>
      </c>
      <c r="J111" s="288">
        <f>'Manual Manpower Database'!AJ105</f>
        <v>2264.0540540540542</v>
      </c>
      <c r="K111" s="288">
        <f>'Manual Manpower Database'!AK105</f>
        <v>800</v>
      </c>
      <c r="L111" s="288">
        <f>'Manual Manpower Database'!AL105</f>
        <v>0</v>
      </c>
      <c r="M111" s="288">
        <f>'Manual Manpower Database'!AM105</f>
        <v>250</v>
      </c>
      <c r="N111" s="288">
        <f>'Manual Manpower Database'!AN105</f>
        <v>94.335585585585591</v>
      </c>
      <c r="O111" s="288">
        <f>'Manual Manpower Database'!AO105</f>
        <v>0</v>
      </c>
      <c r="P111" s="288">
        <f>'Manual Manpower Database'!AP105</f>
        <v>47.167792792792795</v>
      </c>
      <c r="Q111" s="288">
        <f>'Manual Manpower Database'!AQ105</f>
        <v>45.281081081081084</v>
      </c>
      <c r="R111" s="288">
        <f>'Manual Manpower Database'!AR105</f>
        <v>125</v>
      </c>
      <c r="S111" s="288">
        <f>'Manual Manpower Database'!AS105</f>
        <v>41.666666666666664</v>
      </c>
      <c r="T111" s="288">
        <f>'Manual Manpower Database'!AT105</f>
        <v>54.166666666666664</v>
      </c>
      <c r="U111" s="288">
        <f>'Manual Manpower Database'!AU105</f>
        <v>208.33333333333334</v>
      </c>
      <c r="V111" s="288">
        <f>'Manual Manpower Database'!AV105</f>
        <v>0</v>
      </c>
      <c r="W111" s="288">
        <f>'Manual Manpower Database'!AW105</f>
        <v>8.3333333333333339</v>
      </c>
      <c r="X111" s="288">
        <f>'Manual Manpower Database'!AX105</f>
        <v>55.555555555555557</v>
      </c>
      <c r="Y111" s="288">
        <f t="shared" si="4"/>
        <v>3993.8940690690692</v>
      </c>
    </row>
    <row r="112" spans="2:25" x14ac:dyDescent="0.25">
      <c r="B112" s="2" t="s">
        <v>218</v>
      </c>
      <c r="C112" s="1" t="s">
        <v>1186</v>
      </c>
      <c r="D112" s="2" t="s">
        <v>320</v>
      </c>
      <c r="E112" s="2" t="s">
        <v>1172</v>
      </c>
      <c r="F112" s="1" t="s">
        <v>815</v>
      </c>
      <c r="G112" s="2" t="s">
        <v>1197</v>
      </c>
      <c r="H112" s="1" t="str">
        <f t="shared" si="6"/>
        <v>03300050</v>
      </c>
      <c r="J112" s="288">
        <f>'Manual Manpower Database'!AJ106</f>
        <v>1680</v>
      </c>
      <c r="K112" s="288">
        <f>'Manual Manpower Database'!AK106</f>
        <v>0</v>
      </c>
      <c r="L112" s="288">
        <f>'Manual Manpower Database'!AL106</f>
        <v>0</v>
      </c>
      <c r="M112" s="288">
        <f>'Manual Manpower Database'!AM106</f>
        <v>150</v>
      </c>
      <c r="N112" s="288">
        <f>'Manual Manpower Database'!AN106</f>
        <v>70</v>
      </c>
      <c r="O112" s="288">
        <f>'Manual Manpower Database'!AO106</f>
        <v>0</v>
      </c>
      <c r="P112" s="288">
        <f>'Manual Manpower Database'!AP106</f>
        <v>35</v>
      </c>
      <c r="Q112" s="288">
        <f>'Manual Manpower Database'!AQ106</f>
        <v>33.6</v>
      </c>
      <c r="R112" s="288">
        <f>'Manual Manpower Database'!AR106</f>
        <v>125</v>
      </c>
      <c r="S112" s="288">
        <f>'Manual Manpower Database'!AS106</f>
        <v>41.666666666666664</v>
      </c>
      <c r="T112" s="288">
        <f>'Manual Manpower Database'!AT106</f>
        <v>54.166666666666664</v>
      </c>
      <c r="U112" s="288">
        <f>'Manual Manpower Database'!AU106</f>
        <v>208.33333333333334</v>
      </c>
      <c r="V112" s="288">
        <f>'Manual Manpower Database'!AV106</f>
        <v>0</v>
      </c>
      <c r="W112" s="288">
        <f>'Manual Manpower Database'!AW106</f>
        <v>8.3333333333333339</v>
      </c>
      <c r="X112" s="288">
        <f>'Manual Manpower Database'!AX106</f>
        <v>55.555555555555557</v>
      </c>
      <c r="Y112" s="288">
        <f t="shared" si="4"/>
        <v>2461.6555555555556</v>
      </c>
    </row>
    <row r="113" spans="2:25" x14ac:dyDescent="0.25">
      <c r="B113" s="2" t="s">
        <v>217</v>
      </c>
      <c r="C113" s="1" t="s">
        <v>1179</v>
      </c>
      <c r="D113" s="2" t="s">
        <v>316</v>
      </c>
      <c r="E113" s="2" t="s">
        <v>1175</v>
      </c>
      <c r="F113" s="1" t="s">
        <v>811</v>
      </c>
      <c r="G113" s="2" t="s">
        <v>1192</v>
      </c>
      <c r="H113" s="1" t="str">
        <f t="shared" si="6"/>
        <v>02200025</v>
      </c>
      <c r="J113" s="288">
        <f>'Manual Manpower Database'!AJ107</f>
        <v>1932</v>
      </c>
      <c r="K113" s="288">
        <f>'Manual Manpower Database'!AK107</f>
        <v>0</v>
      </c>
      <c r="L113" s="288">
        <f>'Manual Manpower Database'!AL107</f>
        <v>0</v>
      </c>
      <c r="M113" s="288">
        <f>'Manual Manpower Database'!AM107</f>
        <v>200</v>
      </c>
      <c r="N113" s="288">
        <f>'Manual Manpower Database'!AN107</f>
        <v>80.5</v>
      </c>
      <c r="O113" s="288">
        <f>'Manual Manpower Database'!AO107</f>
        <v>0</v>
      </c>
      <c r="P113" s="288">
        <f>'Manual Manpower Database'!AP107</f>
        <v>40.25</v>
      </c>
      <c r="Q113" s="288">
        <f>'Manual Manpower Database'!AQ107</f>
        <v>38.64</v>
      </c>
      <c r="R113" s="288">
        <f>'Manual Manpower Database'!AR107</f>
        <v>125</v>
      </c>
      <c r="S113" s="288">
        <f>'Manual Manpower Database'!AS107</f>
        <v>41.666666666666664</v>
      </c>
      <c r="T113" s="288">
        <f>'Manual Manpower Database'!AT107</f>
        <v>54.166666666666664</v>
      </c>
      <c r="U113" s="288">
        <f>'Manual Manpower Database'!AU107</f>
        <v>208.33333333333334</v>
      </c>
      <c r="V113" s="288">
        <f>'Manual Manpower Database'!AV107</f>
        <v>0</v>
      </c>
      <c r="W113" s="288">
        <f>'Manual Manpower Database'!AW107</f>
        <v>8.3333333333333339</v>
      </c>
      <c r="X113" s="288">
        <f>'Manual Manpower Database'!AX107</f>
        <v>55.555555555555557</v>
      </c>
      <c r="Y113" s="288">
        <f t="shared" si="4"/>
        <v>2784.4455555555555</v>
      </c>
    </row>
    <row r="114" spans="2:25" x14ac:dyDescent="0.25">
      <c r="B114" s="2" t="s">
        <v>217</v>
      </c>
      <c r="C114" s="1" t="s">
        <v>1179</v>
      </c>
      <c r="D114" s="2" t="s">
        <v>316</v>
      </c>
      <c r="E114" s="2" t="s">
        <v>1175</v>
      </c>
      <c r="F114" s="1" t="s">
        <v>820</v>
      </c>
      <c r="G114" s="2" t="s">
        <v>1193</v>
      </c>
      <c r="H114" s="1" t="str">
        <f t="shared" si="6"/>
        <v>02200030</v>
      </c>
      <c r="J114" s="288">
        <f>'Manual Manpower Database'!AJ108</f>
        <v>1186.8421052631579</v>
      </c>
      <c r="K114" s="288">
        <f>'Manual Manpower Database'!AK108</f>
        <v>0</v>
      </c>
      <c r="L114" s="288">
        <f>'Manual Manpower Database'!AL108</f>
        <v>0</v>
      </c>
      <c r="M114" s="288">
        <f>'Manual Manpower Database'!AM108</f>
        <v>200</v>
      </c>
      <c r="N114" s="288">
        <f>'Manual Manpower Database'!AN108</f>
        <v>49.451754385964911</v>
      </c>
      <c r="O114" s="288">
        <f>'Manual Manpower Database'!AO108</f>
        <v>0</v>
      </c>
      <c r="P114" s="288">
        <f>'Manual Manpower Database'!AP108</f>
        <v>24.725877192982455</v>
      </c>
      <c r="Q114" s="288">
        <f>'Manual Manpower Database'!AQ108</f>
        <v>23.736842105263158</v>
      </c>
      <c r="R114" s="288">
        <f>'Manual Manpower Database'!AR108</f>
        <v>125</v>
      </c>
      <c r="S114" s="288">
        <f>'Manual Manpower Database'!AS108</f>
        <v>41.666666666666664</v>
      </c>
      <c r="T114" s="288">
        <f>'Manual Manpower Database'!AT108</f>
        <v>54.166666666666664</v>
      </c>
      <c r="U114" s="288">
        <f>'Manual Manpower Database'!AU108</f>
        <v>208.33333333333334</v>
      </c>
      <c r="V114" s="288">
        <f>'Manual Manpower Database'!AV108</f>
        <v>0</v>
      </c>
      <c r="W114" s="288">
        <f>'Manual Manpower Database'!AW108</f>
        <v>8.3333333333333339</v>
      </c>
      <c r="X114" s="288">
        <f>'Manual Manpower Database'!AX108</f>
        <v>55.555555555555557</v>
      </c>
      <c r="Y114" s="288">
        <f t="shared" si="4"/>
        <v>1977.812134502924</v>
      </c>
    </row>
    <row r="115" spans="2:25" x14ac:dyDescent="0.25">
      <c r="B115" s="2" t="s">
        <v>217</v>
      </c>
      <c r="C115" s="1" t="s">
        <v>1179</v>
      </c>
      <c r="D115" s="2" t="s">
        <v>683</v>
      </c>
      <c r="E115" s="2" t="s">
        <v>680</v>
      </c>
      <c r="F115" s="1" t="s">
        <v>814</v>
      </c>
      <c r="G115" s="2" t="s">
        <v>1195</v>
      </c>
      <c r="H115" s="1" t="str">
        <f t="shared" si="6"/>
        <v>02900040</v>
      </c>
      <c r="J115" s="288">
        <f>'Manual Manpower Database'!AJ109</f>
        <v>2550</v>
      </c>
      <c r="K115" s="288">
        <f>'Manual Manpower Database'!AK109</f>
        <v>300</v>
      </c>
      <c r="L115" s="288">
        <f>'Manual Manpower Database'!AL109</f>
        <v>425</v>
      </c>
      <c r="M115" s="288">
        <f>'Manual Manpower Database'!AM109</f>
        <v>150</v>
      </c>
      <c r="N115" s="288">
        <f>'Manual Manpower Database'!AN109</f>
        <v>106.25</v>
      </c>
      <c r="O115" s="288">
        <f>'Manual Manpower Database'!AO109</f>
        <v>0</v>
      </c>
      <c r="P115" s="288">
        <f>'Manual Manpower Database'!AP109</f>
        <v>53.125</v>
      </c>
      <c r="Q115" s="288">
        <f>'Manual Manpower Database'!AQ109</f>
        <v>59.5</v>
      </c>
      <c r="R115" s="288">
        <f>'Manual Manpower Database'!AR109</f>
        <v>125</v>
      </c>
      <c r="S115" s="288">
        <f>'Manual Manpower Database'!AS109</f>
        <v>41.666666666666664</v>
      </c>
      <c r="T115" s="288">
        <f>'Manual Manpower Database'!AT109</f>
        <v>54.166666666666664</v>
      </c>
      <c r="U115" s="288">
        <f>'Manual Manpower Database'!AU109</f>
        <v>208.33333333333334</v>
      </c>
      <c r="V115" s="288">
        <f>'Manual Manpower Database'!AV109</f>
        <v>0</v>
      </c>
      <c r="W115" s="288">
        <f>'Manual Manpower Database'!AW109</f>
        <v>8.3333333333333339</v>
      </c>
      <c r="X115" s="288">
        <f>'Manual Manpower Database'!AX109</f>
        <v>55.555555555555557</v>
      </c>
      <c r="Y115" s="288">
        <f t="shared" si="4"/>
        <v>4136.9305555555557</v>
      </c>
    </row>
    <row r="116" spans="2:25" x14ac:dyDescent="0.25">
      <c r="B116" s="2" t="s">
        <v>217</v>
      </c>
      <c r="C116" s="1" t="s">
        <v>1179</v>
      </c>
      <c r="D116" s="2" t="s">
        <v>316</v>
      </c>
      <c r="E116" s="2" t="s">
        <v>1175</v>
      </c>
      <c r="F116" s="1" t="s">
        <v>819</v>
      </c>
      <c r="G116" s="2" t="s">
        <v>1194</v>
      </c>
      <c r="H116" s="1" t="str">
        <f t="shared" si="6"/>
        <v>02200035</v>
      </c>
      <c r="J116" s="288">
        <f>'Manual Manpower Database'!AJ110</f>
        <v>667.98245614035091</v>
      </c>
      <c r="K116" s="288">
        <f>'Manual Manpower Database'!AK110</f>
        <v>0</v>
      </c>
      <c r="L116" s="288">
        <f>'Manual Manpower Database'!AL110</f>
        <v>0</v>
      </c>
      <c r="M116" s="288">
        <f>'Manual Manpower Database'!AM110</f>
        <v>150</v>
      </c>
      <c r="N116" s="288">
        <f>'Manual Manpower Database'!AN110</f>
        <v>27.832602339181289</v>
      </c>
      <c r="O116" s="288">
        <f>'Manual Manpower Database'!AO110</f>
        <v>0</v>
      </c>
      <c r="P116" s="288">
        <f>'Manual Manpower Database'!AP110</f>
        <v>13.916301169590644</v>
      </c>
      <c r="Q116" s="288">
        <f>'Manual Manpower Database'!AQ110</f>
        <v>13.359649122807019</v>
      </c>
      <c r="R116" s="288">
        <f>'Manual Manpower Database'!AR110</f>
        <v>125</v>
      </c>
      <c r="S116" s="288">
        <f>'Manual Manpower Database'!AS110</f>
        <v>41.666666666666664</v>
      </c>
      <c r="T116" s="288">
        <f>'Manual Manpower Database'!AT110</f>
        <v>54.166666666666664</v>
      </c>
      <c r="U116" s="288">
        <f>'Manual Manpower Database'!AU110</f>
        <v>208.33333333333334</v>
      </c>
      <c r="V116" s="288">
        <f>'Manual Manpower Database'!AV110</f>
        <v>0</v>
      </c>
      <c r="W116" s="288">
        <f>'Manual Manpower Database'!AW110</f>
        <v>8.3333333333333339</v>
      </c>
      <c r="X116" s="288">
        <f>'Manual Manpower Database'!AX110</f>
        <v>55.555555555555557</v>
      </c>
      <c r="Y116" s="288">
        <f t="shared" si="4"/>
        <v>1366.1465643274855</v>
      </c>
    </row>
    <row r="117" spans="2:25" x14ac:dyDescent="0.25">
      <c r="B117" s="2" t="s">
        <v>217</v>
      </c>
      <c r="C117" s="1" t="s">
        <v>1179</v>
      </c>
      <c r="D117" s="2" t="s">
        <v>316</v>
      </c>
      <c r="E117" s="2" t="s">
        <v>1175</v>
      </c>
      <c r="F117" s="1" t="s">
        <v>813</v>
      </c>
      <c r="G117" s="2" t="s">
        <v>1195</v>
      </c>
      <c r="H117" s="1" t="str">
        <f t="shared" si="6"/>
        <v>02200040</v>
      </c>
      <c r="J117" s="288">
        <f>'Manual Manpower Database'!AJ111</f>
        <v>1411.0377358490566</v>
      </c>
      <c r="K117" s="288">
        <f>'Manual Manpower Database'!AK111</f>
        <v>0</v>
      </c>
      <c r="L117" s="288">
        <f>'Manual Manpower Database'!AL111</f>
        <v>0</v>
      </c>
      <c r="M117" s="288">
        <f>'Manual Manpower Database'!AM111</f>
        <v>200</v>
      </c>
      <c r="N117" s="288">
        <f>'Manual Manpower Database'!AN111</f>
        <v>58.793238993710695</v>
      </c>
      <c r="O117" s="288">
        <f>'Manual Manpower Database'!AO111</f>
        <v>0</v>
      </c>
      <c r="P117" s="288">
        <f>'Manual Manpower Database'!AP111</f>
        <v>29.396619496855347</v>
      </c>
      <c r="Q117" s="288">
        <f>'Manual Manpower Database'!AQ111</f>
        <v>28.220754716981133</v>
      </c>
      <c r="R117" s="288">
        <f>'Manual Manpower Database'!AR111</f>
        <v>125</v>
      </c>
      <c r="S117" s="288">
        <f>'Manual Manpower Database'!AS111</f>
        <v>41.666666666666664</v>
      </c>
      <c r="T117" s="288">
        <f>'Manual Manpower Database'!AT111</f>
        <v>54.166666666666664</v>
      </c>
      <c r="U117" s="288">
        <f>'Manual Manpower Database'!AU111</f>
        <v>208.33333333333334</v>
      </c>
      <c r="V117" s="288">
        <f>'Manual Manpower Database'!AV111</f>
        <v>0</v>
      </c>
      <c r="W117" s="288">
        <f>'Manual Manpower Database'!AW111</f>
        <v>8.3333333333333339</v>
      </c>
      <c r="X117" s="288">
        <f>'Manual Manpower Database'!AX111</f>
        <v>55.555555555555557</v>
      </c>
      <c r="Y117" s="288">
        <f t="shared" si="4"/>
        <v>2220.5039046121597</v>
      </c>
    </row>
    <row r="118" spans="2:25" x14ac:dyDescent="0.25">
      <c r="B118" s="2" t="s">
        <v>217</v>
      </c>
      <c r="C118" s="1" t="s">
        <v>1179</v>
      </c>
      <c r="D118" s="2" t="s">
        <v>310</v>
      </c>
      <c r="E118" s="2" t="s">
        <v>1008</v>
      </c>
      <c r="F118" s="1" t="s">
        <v>803</v>
      </c>
      <c r="G118" s="2" t="s">
        <v>1193</v>
      </c>
      <c r="H118" s="1" t="str">
        <f t="shared" si="6"/>
        <v>02300030</v>
      </c>
      <c r="J118" s="288">
        <f>'Manual Manpower Database'!AJ112</f>
        <v>1335.3225806451612</v>
      </c>
      <c r="K118" s="288">
        <f>'Manual Manpower Database'!AK112</f>
        <v>0</v>
      </c>
      <c r="L118" s="288">
        <f>'Manual Manpower Database'!AL112</f>
        <v>0</v>
      </c>
      <c r="M118" s="288">
        <f>'Manual Manpower Database'!AM112</f>
        <v>200</v>
      </c>
      <c r="N118" s="288">
        <f>'Manual Manpower Database'!AN112</f>
        <v>55.638440860215049</v>
      </c>
      <c r="O118" s="288">
        <f>'Manual Manpower Database'!AO112</f>
        <v>0</v>
      </c>
      <c r="P118" s="288">
        <f>'Manual Manpower Database'!AP112</f>
        <v>27.819220430107524</v>
      </c>
      <c r="Q118" s="288">
        <f>'Manual Manpower Database'!AQ112</f>
        <v>26.706451612903226</v>
      </c>
      <c r="R118" s="288">
        <f>'Manual Manpower Database'!AR112</f>
        <v>125</v>
      </c>
      <c r="S118" s="288">
        <f>'Manual Manpower Database'!AS112</f>
        <v>41.666666666666664</v>
      </c>
      <c r="T118" s="288">
        <f>'Manual Manpower Database'!AT112</f>
        <v>54.166666666666664</v>
      </c>
      <c r="U118" s="288">
        <f>'Manual Manpower Database'!AU112</f>
        <v>208.33333333333334</v>
      </c>
      <c r="V118" s="288">
        <f>'Manual Manpower Database'!AV112</f>
        <v>0</v>
      </c>
      <c r="W118" s="288">
        <f>'Manual Manpower Database'!AW112</f>
        <v>8.3333333333333339</v>
      </c>
      <c r="X118" s="288">
        <f>'Manual Manpower Database'!AX112</f>
        <v>55.555555555555557</v>
      </c>
      <c r="Y118" s="288">
        <f t="shared" si="4"/>
        <v>2138.542249103943</v>
      </c>
    </row>
    <row r="119" spans="2:25" x14ac:dyDescent="0.25">
      <c r="B119" s="2" t="s">
        <v>402</v>
      </c>
      <c r="C119" s="1" t="s">
        <v>1184</v>
      </c>
      <c r="D119" s="2" t="s">
        <v>316</v>
      </c>
      <c r="E119" s="2" t="s">
        <v>1175</v>
      </c>
      <c r="F119" s="1" t="s">
        <v>1080</v>
      </c>
      <c r="G119" s="2" t="s">
        <v>1196</v>
      </c>
      <c r="H119" s="1" t="str">
        <f t="shared" si="6"/>
        <v>02200045</v>
      </c>
      <c r="J119" s="288">
        <f>'Manual Manpower Database'!AJ113</f>
        <v>2928.125</v>
      </c>
      <c r="K119" s="288">
        <f>'Manual Manpower Database'!AK113</f>
        <v>300</v>
      </c>
      <c r="L119" s="288">
        <f>'Manual Manpower Database'!AL113</f>
        <v>0</v>
      </c>
      <c r="M119" s="288">
        <f>'Manual Manpower Database'!AM113</f>
        <v>150</v>
      </c>
      <c r="N119" s="288">
        <f>'Manual Manpower Database'!AN113</f>
        <v>122.00520833333333</v>
      </c>
      <c r="O119" s="288">
        <f>'Manual Manpower Database'!AO113</f>
        <v>0</v>
      </c>
      <c r="P119" s="288">
        <f>'Manual Manpower Database'!AP113</f>
        <v>61.002604166666664</v>
      </c>
      <c r="Q119" s="288">
        <f>'Manual Manpower Database'!AQ113</f>
        <v>58.5625</v>
      </c>
      <c r="R119" s="288">
        <f>'Manual Manpower Database'!AR113</f>
        <v>125</v>
      </c>
      <c r="S119" s="288">
        <f>'Manual Manpower Database'!AS113</f>
        <v>41.666666666666664</v>
      </c>
      <c r="T119" s="288">
        <f>'Manual Manpower Database'!AT113</f>
        <v>54.166666666666664</v>
      </c>
      <c r="U119" s="288">
        <f>'Manual Manpower Database'!AU113</f>
        <v>208.33333333333334</v>
      </c>
      <c r="V119" s="288">
        <f>'Manual Manpower Database'!AV113</f>
        <v>0</v>
      </c>
      <c r="W119" s="288">
        <f>'Manual Manpower Database'!AW113</f>
        <v>8.3333333333333339</v>
      </c>
      <c r="X119" s="288">
        <f>'Manual Manpower Database'!AX113</f>
        <v>55.555555555555557</v>
      </c>
      <c r="Y119" s="288">
        <f t="shared" si="4"/>
        <v>4112.7508680555557</v>
      </c>
    </row>
    <row r="120" spans="2:25" x14ac:dyDescent="0.25">
      <c r="B120" s="2" t="s">
        <v>217</v>
      </c>
      <c r="C120" s="1" t="s">
        <v>1179</v>
      </c>
      <c r="D120" s="2" t="s">
        <v>310</v>
      </c>
      <c r="E120" s="2" t="s">
        <v>1008</v>
      </c>
      <c r="F120" s="1" t="s">
        <v>802</v>
      </c>
      <c r="G120" s="2" t="s">
        <v>1194</v>
      </c>
      <c r="H120" s="1" t="str">
        <f t="shared" si="6"/>
        <v>02300035</v>
      </c>
      <c r="J120" s="288">
        <f>'Manual Manpower Database'!AJ114</f>
        <v>1225.7446808510638</v>
      </c>
      <c r="K120" s="288">
        <f>'Manual Manpower Database'!AK114</f>
        <v>0</v>
      </c>
      <c r="L120" s="288">
        <f>'Manual Manpower Database'!AL114</f>
        <v>0</v>
      </c>
      <c r="M120" s="288">
        <f>'Manual Manpower Database'!AM114</f>
        <v>200</v>
      </c>
      <c r="N120" s="288">
        <f>'Manual Manpower Database'!AN114</f>
        <v>51.072695035460988</v>
      </c>
      <c r="O120" s="288">
        <f>'Manual Manpower Database'!AO114</f>
        <v>0</v>
      </c>
      <c r="P120" s="288">
        <f>'Manual Manpower Database'!AP114</f>
        <v>25.536347517730494</v>
      </c>
      <c r="Q120" s="288">
        <f>'Manual Manpower Database'!AQ114</f>
        <v>24.514893617021276</v>
      </c>
      <c r="R120" s="288">
        <f>'Manual Manpower Database'!AR114</f>
        <v>125</v>
      </c>
      <c r="S120" s="288">
        <f>'Manual Manpower Database'!AS114</f>
        <v>41.666666666666664</v>
      </c>
      <c r="T120" s="288">
        <f>'Manual Manpower Database'!AT114</f>
        <v>54.166666666666664</v>
      </c>
      <c r="U120" s="288">
        <f>'Manual Manpower Database'!AU114</f>
        <v>208.33333333333334</v>
      </c>
      <c r="V120" s="288">
        <f>'Manual Manpower Database'!AV114</f>
        <v>0</v>
      </c>
      <c r="W120" s="288">
        <f>'Manual Manpower Database'!AW114</f>
        <v>8.3333333333333339</v>
      </c>
      <c r="X120" s="288">
        <f>'Manual Manpower Database'!AX114</f>
        <v>55.555555555555557</v>
      </c>
      <c r="Y120" s="288">
        <f t="shared" si="4"/>
        <v>2019.9241725768322</v>
      </c>
    </row>
    <row r="121" spans="2:25" x14ac:dyDescent="0.25">
      <c r="B121" s="2" t="s">
        <v>217</v>
      </c>
      <c r="C121" s="1" t="s">
        <v>1179</v>
      </c>
      <c r="D121" s="2" t="s">
        <v>316</v>
      </c>
      <c r="E121" s="2" t="s">
        <v>1175</v>
      </c>
      <c r="F121" s="1" t="s">
        <v>1081</v>
      </c>
      <c r="G121" s="2" t="s">
        <v>1197</v>
      </c>
      <c r="H121" s="1" t="str">
        <f t="shared" si="6"/>
        <v>02200050</v>
      </c>
      <c r="J121" s="288">
        <f>'Manual Manpower Database'!AJ115</f>
        <v>1312.5</v>
      </c>
      <c r="K121" s="288">
        <f>'Manual Manpower Database'!AK115</f>
        <v>0</v>
      </c>
      <c r="L121" s="288">
        <f>'Manual Manpower Database'!AL115</f>
        <v>0</v>
      </c>
      <c r="M121" s="288">
        <f>'Manual Manpower Database'!AM115</f>
        <v>200</v>
      </c>
      <c r="N121" s="288">
        <f>'Manual Manpower Database'!AN115</f>
        <v>54.6875</v>
      </c>
      <c r="O121" s="288">
        <f>'Manual Manpower Database'!AO115</f>
        <v>0</v>
      </c>
      <c r="P121" s="288">
        <f>'Manual Manpower Database'!AP115</f>
        <v>27.34375</v>
      </c>
      <c r="Q121" s="288">
        <f>'Manual Manpower Database'!AQ115</f>
        <v>26.25</v>
      </c>
      <c r="R121" s="288">
        <f>'Manual Manpower Database'!AR115</f>
        <v>125</v>
      </c>
      <c r="S121" s="288">
        <f>'Manual Manpower Database'!AS115</f>
        <v>41.666666666666664</v>
      </c>
      <c r="T121" s="288">
        <f>'Manual Manpower Database'!AT115</f>
        <v>54.166666666666664</v>
      </c>
      <c r="U121" s="288">
        <f>'Manual Manpower Database'!AU115</f>
        <v>208.33333333333334</v>
      </c>
      <c r="V121" s="288">
        <f>'Manual Manpower Database'!AV115</f>
        <v>0</v>
      </c>
      <c r="W121" s="288">
        <f>'Manual Manpower Database'!AW115</f>
        <v>8.3333333333333339</v>
      </c>
      <c r="X121" s="288">
        <f>'Manual Manpower Database'!AX115</f>
        <v>55.555555555555557</v>
      </c>
      <c r="Y121" s="288">
        <f t="shared" si="4"/>
        <v>2113.8368055555561</v>
      </c>
    </row>
    <row r="122" spans="2:25" x14ac:dyDescent="0.25">
      <c r="B122" s="2" t="s">
        <v>402</v>
      </c>
      <c r="C122" s="1" t="s">
        <v>1184</v>
      </c>
      <c r="D122" s="2" t="s">
        <v>1170</v>
      </c>
      <c r="E122" s="2" t="s">
        <v>1171</v>
      </c>
      <c r="F122" s="1" t="s">
        <v>1082</v>
      </c>
      <c r="G122" s="2" t="s">
        <v>1192</v>
      </c>
      <c r="H122" s="1" t="str">
        <f t="shared" si="6"/>
        <v>01800025</v>
      </c>
      <c r="J122" s="288">
        <f>'Manual Manpower Database'!AJ116</f>
        <v>1198.75</v>
      </c>
      <c r="K122" s="288">
        <f>'Manual Manpower Database'!AK116</f>
        <v>0</v>
      </c>
      <c r="L122" s="288">
        <f>'Manual Manpower Database'!AL116</f>
        <v>0</v>
      </c>
      <c r="M122" s="288">
        <f>'Manual Manpower Database'!AM116</f>
        <v>150</v>
      </c>
      <c r="N122" s="288">
        <f>'Manual Manpower Database'!AN116</f>
        <v>49.947916666666664</v>
      </c>
      <c r="O122" s="288">
        <f>'Manual Manpower Database'!AO116</f>
        <v>0</v>
      </c>
      <c r="P122" s="288">
        <f>'Manual Manpower Database'!AP116</f>
        <v>24.973958333333332</v>
      </c>
      <c r="Q122" s="288">
        <f>'Manual Manpower Database'!AQ116</f>
        <v>23.975000000000001</v>
      </c>
      <c r="R122" s="288">
        <f>'Manual Manpower Database'!AR116</f>
        <v>125</v>
      </c>
      <c r="S122" s="288">
        <f>'Manual Manpower Database'!AS116</f>
        <v>41.666666666666664</v>
      </c>
      <c r="T122" s="288">
        <f>'Manual Manpower Database'!AT116</f>
        <v>54.166666666666664</v>
      </c>
      <c r="U122" s="288">
        <f>'Manual Manpower Database'!AU116</f>
        <v>208.33333333333334</v>
      </c>
      <c r="V122" s="288">
        <f>'Manual Manpower Database'!AV116</f>
        <v>0</v>
      </c>
      <c r="W122" s="288">
        <f>'Manual Manpower Database'!AW116</f>
        <v>8.3333333333333339</v>
      </c>
      <c r="X122" s="288">
        <f>'Manual Manpower Database'!AX116</f>
        <v>55.555555555555557</v>
      </c>
      <c r="Y122" s="288">
        <f t="shared" si="4"/>
        <v>1940.7024305555556</v>
      </c>
    </row>
    <row r="123" spans="2:25" x14ac:dyDescent="0.25">
      <c r="B123" s="2" t="s">
        <v>217</v>
      </c>
      <c r="C123" s="1" t="s">
        <v>1179</v>
      </c>
      <c r="D123" s="2" t="s">
        <v>310</v>
      </c>
      <c r="E123" s="2" t="s">
        <v>1008</v>
      </c>
      <c r="F123" s="1" t="s">
        <v>1083</v>
      </c>
      <c r="G123" s="2" t="s">
        <v>1195</v>
      </c>
      <c r="H123" s="1" t="str">
        <f t="shared" si="6"/>
        <v>02300040</v>
      </c>
      <c r="J123" s="288">
        <f>'Manual Manpower Database'!AJ117</f>
        <v>1755.2631578947369</v>
      </c>
      <c r="K123" s="288">
        <f>'Manual Manpower Database'!AK117</f>
        <v>0</v>
      </c>
      <c r="L123" s="288">
        <f>'Manual Manpower Database'!AL117</f>
        <v>0</v>
      </c>
      <c r="M123" s="288">
        <f>'Manual Manpower Database'!AM117</f>
        <v>200</v>
      </c>
      <c r="N123" s="288">
        <f>'Manual Manpower Database'!AN117</f>
        <v>73.135964912280699</v>
      </c>
      <c r="O123" s="288">
        <f>'Manual Manpower Database'!AO117</f>
        <v>0</v>
      </c>
      <c r="P123" s="288">
        <f>'Manual Manpower Database'!AP117</f>
        <v>36.567982456140349</v>
      </c>
      <c r="Q123" s="288">
        <f>'Manual Manpower Database'!AQ117</f>
        <v>35.10526315789474</v>
      </c>
      <c r="R123" s="288">
        <f>'Manual Manpower Database'!AR117</f>
        <v>125</v>
      </c>
      <c r="S123" s="288">
        <f>'Manual Manpower Database'!AS117</f>
        <v>41.666666666666664</v>
      </c>
      <c r="T123" s="288">
        <f>'Manual Manpower Database'!AT117</f>
        <v>54.166666666666664</v>
      </c>
      <c r="U123" s="288">
        <f>'Manual Manpower Database'!AU117</f>
        <v>208.33333333333334</v>
      </c>
      <c r="V123" s="288">
        <f>'Manual Manpower Database'!AV117</f>
        <v>0</v>
      </c>
      <c r="W123" s="288">
        <f>'Manual Manpower Database'!AW117</f>
        <v>8.3333333333333339</v>
      </c>
      <c r="X123" s="288">
        <f>'Manual Manpower Database'!AX117</f>
        <v>55.555555555555557</v>
      </c>
      <c r="Y123" s="288">
        <f t="shared" si="4"/>
        <v>2593.1279239766081</v>
      </c>
    </row>
    <row r="124" spans="2:25" x14ac:dyDescent="0.25">
      <c r="B124" s="2" t="s">
        <v>217</v>
      </c>
      <c r="C124" s="1" t="s">
        <v>1179</v>
      </c>
      <c r="D124" s="2" t="s">
        <v>310</v>
      </c>
      <c r="E124" s="2" t="s">
        <v>1008</v>
      </c>
      <c r="F124" s="1" t="s">
        <v>1084</v>
      </c>
      <c r="G124" s="2" t="s">
        <v>1196</v>
      </c>
      <c r="H124" s="1" t="str">
        <f t="shared" si="6"/>
        <v>02300045</v>
      </c>
      <c r="J124" s="288">
        <f>'Manual Manpower Database'!AJ118</f>
        <v>2800</v>
      </c>
      <c r="K124" s="288">
        <f>'Manual Manpower Database'!AK118</f>
        <v>0</v>
      </c>
      <c r="L124" s="288">
        <f>'Manual Manpower Database'!AL118</f>
        <v>0</v>
      </c>
      <c r="M124" s="288">
        <f>'Manual Manpower Database'!AM118</f>
        <v>0</v>
      </c>
      <c r="N124" s="288">
        <f>'Manual Manpower Database'!AN118</f>
        <v>116.66666666666667</v>
      </c>
      <c r="O124" s="288">
        <f>'Manual Manpower Database'!AO118</f>
        <v>0</v>
      </c>
      <c r="P124" s="288">
        <f>'Manual Manpower Database'!AP118</f>
        <v>58.333333333333336</v>
      </c>
      <c r="Q124" s="288">
        <f>'Manual Manpower Database'!AQ118</f>
        <v>56</v>
      </c>
      <c r="R124" s="288">
        <f>'Manual Manpower Database'!AR118</f>
        <v>125</v>
      </c>
      <c r="S124" s="288">
        <f>'Manual Manpower Database'!AS118</f>
        <v>41.666666666666664</v>
      </c>
      <c r="T124" s="288">
        <f>'Manual Manpower Database'!AT118</f>
        <v>54.166666666666664</v>
      </c>
      <c r="U124" s="288">
        <f>'Manual Manpower Database'!AU118</f>
        <v>208.33333333333334</v>
      </c>
      <c r="V124" s="288">
        <f>'Manual Manpower Database'!AV118</f>
        <v>0</v>
      </c>
      <c r="W124" s="288">
        <f>'Manual Manpower Database'!AW118</f>
        <v>8.3333333333333339</v>
      </c>
      <c r="X124" s="288">
        <f>'Manual Manpower Database'!AX118</f>
        <v>55.555555555555557</v>
      </c>
      <c r="Y124" s="288">
        <f t="shared" si="4"/>
        <v>3524.0555555555557</v>
      </c>
    </row>
    <row r="125" spans="2:25" x14ac:dyDescent="0.25">
      <c r="B125" s="2" t="s">
        <v>402</v>
      </c>
      <c r="C125" s="1" t="s">
        <v>1184</v>
      </c>
      <c r="D125" s="2" t="s">
        <v>1168</v>
      </c>
      <c r="E125" s="2" t="s">
        <v>1169</v>
      </c>
      <c r="F125" s="1" t="s">
        <v>1085</v>
      </c>
      <c r="G125" s="2" t="s">
        <v>1198</v>
      </c>
      <c r="H125" s="1" t="str">
        <f t="shared" si="6"/>
        <v>01700060</v>
      </c>
      <c r="J125" s="288">
        <f>'Manual Manpower Database'!AJ119</f>
        <v>1153.5714285714287</v>
      </c>
      <c r="K125" s="288">
        <f>'Manual Manpower Database'!AK119</f>
        <v>0</v>
      </c>
      <c r="L125" s="288">
        <f>'Manual Manpower Database'!AL119</f>
        <v>0</v>
      </c>
      <c r="M125" s="288">
        <f>'Manual Manpower Database'!AM119</f>
        <v>150</v>
      </c>
      <c r="N125" s="288">
        <f>'Manual Manpower Database'!AN119</f>
        <v>48.065476190476197</v>
      </c>
      <c r="O125" s="288">
        <f>'Manual Manpower Database'!AO119</f>
        <v>0</v>
      </c>
      <c r="P125" s="288">
        <f>'Manual Manpower Database'!AP119</f>
        <v>24.032738095238098</v>
      </c>
      <c r="Q125" s="288">
        <f>'Manual Manpower Database'!AQ119</f>
        <v>23.071428571428573</v>
      </c>
      <c r="R125" s="288">
        <f>'Manual Manpower Database'!AR119</f>
        <v>125</v>
      </c>
      <c r="S125" s="288">
        <f>'Manual Manpower Database'!AS119</f>
        <v>41.666666666666664</v>
      </c>
      <c r="T125" s="288">
        <f>'Manual Manpower Database'!AT119</f>
        <v>54.166666666666664</v>
      </c>
      <c r="U125" s="288">
        <f>'Manual Manpower Database'!AU119</f>
        <v>208.33333333333334</v>
      </c>
      <c r="V125" s="288">
        <f>'Manual Manpower Database'!AV119</f>
        <v>0</v>
      </c>
      <c r="W125" s="288">
        <f>'Manual Manpower Database'!AW119</f>
        <v>8.3333333333333339</v>
      </c>
      <c r="X125" s="288">
        <f>'Manual Manpower Database'!AX119</f>
        <v>55.555555555555557</v>
      </c>
      <c r="Y125" s="288">
        <f t="shared" si="4"/>
        <v>1891.7966269841272</v>
      </c>
    </row>
    <row r="126" spans="2:25" x14ac:dyDescent="0.25">
      <c r="B126" s="2" t="s">
        <v>217</v>
      </c>
      <c r="C126" s="1" t="s">
        <v>1179</v>
      </c>
      <c r="D126" s="2" t="s">
        <v>310</v>
      </c>
      <c r="E126" s="2" t="s">
        <v>1008</v>
      </c>
      <c r="F126" s="1" t="s">
        <v>804</v>
      </c>
      <c r="G126" s="2" t="s">
        <v>1197</v>
      </c>
      <c r="H126" s="1" t="str">
        <f t="shared" si="6"/>
        <v>02300050</v>
      </c>
      <c r="J126" s="288">
        <f>'Manual Manpower Database'!AJ120</f>
        <v>1200</v>
      </c>
      <c r="K126" s="288">
        <f>'Manual Manpower Database'!AK120</f>
        <v>0</v>
      </c>
      <c r="L126" s="288">
        <f>'Manual Manpower Database'!AL120</f>
        <v>0</v>
      </c>
      <c r="M126" s="288">
        <f>'Manual Manpower Database'!AM120</f>
        <v>200</v>
      </c>
      <c r="N126" s="288">
        <f>'Manual Manpower Database'!AN120</f>
        <v>50</v>
      </c>
      <c r="O126" s="288">
        <f>'Manual Manpower Database'!AO120</f>
        <v>0</v>
      </c>
      <c r="P126" s="288">
        <f>'Manual Manpower Database'!AP120</f>
        <v>25</v>
      </c>
      <c r="Q126" s="288">
        <f>'Manual Manpower Database'!AQ120</f>
        <v>24</v>
      </c>
      <c r="R126" s="288">
        <f>'Manual Manpower Database'!AR120</f>
        <v>125</v>
      </c>
      <c r="S126" s="288">
        <f>'Manual Manpower Database'!AS120</f>
        <v>41.666666666666664</v>
      </c>
      <c r="T126" s="288">
        <f>'Manual Manpower Database'!AT120</f>
        <v>54.166666666666664</v>
      </c>
      <c r="U126" s="288">
        <f>'Manual Manpower Database'!AU120</f>
        <v>208.33333333333334</v>
      </c>
      <c r="V126" s="288">
        <f>'Manual Manpower Database'!AV120</f>
        <v>0</v>
      </c>
      <c r="W126" s="288">
        <f>'Manual Manpower Database'!AW120</f>
        <v>8.3333333333333339</v>
      </c>
      <c r="X126" s="288">
        <f>'Manual Manpower Database'!AX120</f>
        <v>55.555555555555557</v>
      </c>
      <c r="Y126" s="288">
        <f t="shared" si="4"/>
        <v>1992.0555555555557</v>
      </c>
    </row>
    <row r="127" spans="2:25" x14ac:dyDescent="0.25">
      <c r="B127" s="2" t="s">
        <v>217</v>
      </c>
      <c r="C127" s="1" t="s">
        <v>1179</v>
      </c>
      <c r="D127" s="2" t="s">
        <v>310</v>
      </c>
      <c r="E127" s="2" t="s">
        <v>1008</v>
      </c>
      <c r="F127" s="1" t="s">
        <v>805</v>
      </c>
      <c r="G127" s="2" t="s">
        <v>1199</v>
      </c>
      <c r="H127" s="1" t="str">
        <f t="shared" si="6"/>
        <v>02300055</v>
      </c>
      <c r="J127" s="288">
        <f>'Manual Manpower Database'!AJ121</f>
        <v>1195.1658986175116</v>
      </c>
      <c r="K127" s="288">
        <f>'Manual Manpower Database'!AK121</f>
        <v>0</v>
      </c>
      <c r="L127" s="288">
        <f>'Manual Manpower Database'!AL121</f>
        <v>0</v>
      </c>
      <c r="M127" s="288">
        <f>'Manual Manpower Database'!AM121</f>
        <v>250</v>
      </c>
      <c r="N127" s="288">
        <f>'Manual Manpower Database'!AN121</f>
        <v>49.798579109062985</v>
      </c>
      <c r="O127" s="288">
        <f>'Manual Manpower Database'!AO121</f>
        <v>0</v>
      </c>
      <c r="P127" s="288">
        <f>'Manual Manpower Database'!AP121</f>
        <v>24.899289554531492</v>
      </c>
      <c r="Q127" s="288">
        <f>'Manual Manpower Database'!AQ121</f>
        <v>23.903317972350234</v>
      </c>
      <c r="R127" s="288">
        <f>'Manual Manpower Database'!AR121</f>
        <v>125</v>
      </c>
      <c r="S127" s="288">
        <f>'Manual Manpower Database'!AS121</f>
        <v>41.666666666666664</v>
      </c>
      <c r="T127" s="288">
        <f>'Manual Manpower Database'!AT121</f>
        <v>54.166666666666664</v>
      </c>
      <c r="U127" s="288">
        <f>'Manual Manpower Database'!AU121</f>
        <v>208.33333333333334</v>
      </c>
      <c r="V127" s="288">
        <f>'Manual Manpower Database'!AV121</f>
        <v>0</v>
      </c>
      <c r="W127" s="288">
        <f>'Manual Manpower Database'!AW121</f>
        <v>8.3333333333333339</v>
      </c>
      <c r="X127" s="288">
        <f>'Manual Manpower Database'!AX121</f>
        <v>55.555555555555557</v>
      </c>
      <c r="Y127" s="288">
        <f t="shared" si="4"/>
        <v>2036.8226408090118</v>
      </c>
    </row>
    <row r="128" spans="2:25" x14ac:dyDescent="0.25">
      <c r="B128" s="2" t="s">
        <v>217</v>
      </c>
      <c r="C128" s="1" t="s">
        <v>1179</v>
      </c>
      <c r="D128" s="2" t="s">
        <v>310</v>
      </c>
      <c r="E128" s="2" t="s">
        <v>1008</v>
      </c>
      <c r="F128" s="1" t="s">
        <v>1086</v>
      </c>
      <c r="G128" s="2" t="s">
        <v>1198</v>
      </c>
      <c r="H128" s="1" t="str">
        <f t="shared" si="6"/>
        <v>02300060</v>
      </c>
      <c r="J128" s="288">
        <f>'Manual Manpower Database'!AJ122</f>
        <v>1300</v>
      </c>
      <c r="K128" s="288">
        <f>'Manual Manpower Database'!AK122</f>
        <v>0</v>
      </c>
      <c r="L128" s="288">
        <f>'Manual Manpower Database'!AL122</f>
        <v>0</v>
      </c>
      <c r="M128" s="288">
        <f>'Manual Manpower Database'!AM122</f>
        <v>150</v>
      </c>
      <c r="N128" s="288">
        <f>'Manual Manpower Database'!AN122</f>
        <v>54.166666666666664</v>
      </c>
      <c r="O128" s="288">
        <f>'Manual Manpower Database'!AO122</f>
        <v>0</v>
      </c>
      <c r="P128" s="288">
        <f>'Manual Manpower Database'!AP122</f>
        <v>27.083333333333332</v>
      </c>
      <c r="Q128" s="288">
        <f>'Manual Manpower Database'!AQ122</f>
        <v>26</v>
      </c>
      <c r="R128" s="288">
        <f>'Manual Manpower Database'!AR122</f>
        <v>125</v>
      </c>
      <c r="S128" s="288">
        <f>'Manual Manpower Database'!AS122</f>
        <v>41.666666666666664</v>
      </c>
      <c r="T128" s="288">
        <f>'Manual Manpower Database'!AT122</f>
        <v>54.166666666666664</v>
      </c>
      <c r="U128" s="288">
        <f>'Manual Manpower Database'!AU122</f>
        <v>208.33333333333334</v>
      </c>
      <c r="V128" s="288">
        <f>'Manual Manpower Database'!AV122</f>
        <v>0</v>
      </c>
      <c r="W128" s="288">
        <f>'Manual Manpower Database'!AW122</f>
        <v>8.3333333333333339</v>
      </c>
      <c r="X128" s="288">
        <f>'Manual Manpower Database'!AX122</f>
        <v>55.555555555555557</v>
      </c>
      <c r="Y128" s="288">
        <f t="shared" si="4"/>
        <v>2050.3055555555557</v>
      </c>
    </row>
    <row r="129" spans="2:25" x14ac:dyDescent="0.25">
      <c r="B129" s="2" t="s">
        <v>217</v>
      </c>
      <c r="C129" s="1" t="s">
        <v>1179</v>
      </c>
      <c r="D129" s="2" t="s">
        <v>310</v>
      </c>
      <c r="E129" s="2" t="s">
        <v>1008</v>
      </c>
      <c r="F129" s="1" t="s">
        <v>1087</v>
      </c>
      <c r="G129" s="2" t="s">
        <v>1200</v>
      </c>
      <c r="H129" s="1" t="str">
        <f t="shared" si="6"/>
        <v>02300065</v>
      </c>
      <c r="J129" s="288">
        <f>'Manual Manpower Database'!AJ123</f>
        <v>1775</v>
      </c>
      <c r="K129" s="288">
        <f>'Manual Manpower Database'!AK123</f>
        <v>0</v>
      </c>
      <c r="L129" s="288">
        <f>'Manual Manpower Database'!AL123</f>
        <v>0</v>
      </c>
      <c r="M129" s="288">
        <f>'Manual Manpower Database'!AM123</f>
        <v>150</v>
      </c>
      <c r="N129" s="288">
        <f>'Manual Manpower Database'!AN123</f>
        <v>73.958333333333329</v>
      </c>
      <c r="O129" s="288">
        <f>'Manual Manpower Database'!AO123</f>
        <v>0</v>
      </c>
      <c r="P129" s="288">
        <f>'Manual Manpower Database'!AP123</f>
        <v>36.979166666666664</v>
      </c>
      <c r="Q129" s="288">
        <f>'Manual Manpower Database'!AQ123</f>
        <v>35.5</v>
      </c>
      <c r="R129" s="288">
        <f>'Manual Manpower Database'!AR123</f>
        <v>125</v>
      </c>
      <c r="S129" s="288">
        <f>'Manual Manpower Database'!AS123</f>
        <v>41.666666666666664</v>
      </c>
      <c r="T129" s="288">
        <f>'Manual Manpower Database'!AT123</f>
        <v>54.166666666666664</v>
      </c>
      <c r="U129" s="288">
        <f>'Manual Manpower Database'!AU123</f>
        <v>208.33333333333334</v>
      </c>
      <c r="V129" s="288">
        <f>'Manual Manpower Database'!AV123</f>
        <v>0</v>
      </c>
      <c r="W129" s="288">
        <f>'Manual Manpower Database'!AW123</f>
        <v>8.3333333333333339</v>
      </c>
      <c r="X129" s="288">
        <f>'Manual Manpower Database'!AX123</f>
        <v>55.555555555555557</v>
      </c>
      <c r="Y129" s="288">
        <f t="shared" si="4"/>
        <v>2564.4930555555557</v>
      </c>
    </row>
    <row r="130" spans="2:25" x14ac:dyDescent="0.25">
      <c r="B130" s="2" t="s">
        <v>217</v>
      </c>
      <c r="C130" s="1" t="s">
        <v>1179</v>
      </c>
      <c r="D130" s="2" t="s">
        <v>683</v>
      </c>
      <c r="E130" s="2" t="s">
        <v>680</v>
      </c>
      <c r="F130" s="1" t="s">
        <v>1088</v>
      </c>
      <c r="G130" s="2" t="s">
        <v>1196</v>
      </c>
      <c r="H130" s="1" t="str">
        <f t="shared" si="6"/>
        <v>02900045</v>
      </c>
      <c r="J130" s="288">
        <f>'Manual Manpower Database'!AJ124</f>
        <v>2050</v>
      </c>
      <c r="K130" s="288">
        <f>'Manual Manpower Database'!AK124</f>
        <v>300</v>
      </c>
      <c r="L130" s="288">
        <f>'Manual Manpower Database'!AL124</f>
        <v>0</v>
      </c>
      <c r="M130" s="288">
        <f>'Manual Manpower Database'!AM124</f>
        <v>200</v>
      </c>
      <c r="N130" s="288">
        <f>'Manual Manpower Database'!AN124</f>
        <v>85.416666666666671</v>
      </c>
      <c r="O130" s="288">
        <f>'Manual Manpower Database'!AO124</f>
        <v>0</v>
      </c>
      <c r="P130" s="288">
        <f>'Manual Manpower Database'!AP124</f>
        <v>42.708333333333336</v>
      </c>
      <c r="Q130" s="288">
        <f>'Manual Manpower Database'!AQ124</f>
        <v>41</v>
      </c>
      <c r="R130" s="288">
        <f>'Manual Manpower Database'!AR124</f>
        <v>125</v>
      </c>
      <c r="S130" s="288">
        <f>'Manual Manpower Database'!AS124</f>
        <v>41.666666666666664</v>
      </c>
      <c r="T130" s="288">
        <f>'Manual Manpower Database'!AT124</f>
        <v>54.166666666666664</v>
      </c>
      <c r="U130" s="288">
        <f>'Manual Manpower Database'!AU124</f>
        <v>208.33333333333334</v>
      </c>
      <c r="V130" s="288">
        <f>'Manual Manpower Database'!AV124</f>
        <v>0</v>
      </c>
      <c r="W130" s="288">
        <f>'Manual Manpower Database'!AW124</f>
        <v>8.3333333333333339</v>
      </c>
      <c r="X130" s="288">
        <f>'Manual Manpower Database'!AX124</f>
        <v>55.555555555555557</v>
      </c>
      <c r="Y130" s="288">
        <f t="shared" si="4"/>
        <v>3212.1805555555557</v>
      </c>
    </row>
    <row r="131" spans="2:25" x14ac:dyDescent="0.25">
      <c r="B131" s="2" t="s">
        <v>218</v>
      </c>
      <c r="C131" s="1" t="s">
        <v>1186</v>
      </c>
      <c r="D131" s="2" t="s">
        <v>320</v>
      </c>
      <c r="E131" s="2" t="s">
        <v>1172</v>
      </c>
      <c r="F131" s="1" t="s">
        <v>1089</v>
      </c>
      <c r="G131" s="2" t="s">
        <v>1199</v>
      </c>
      <c r="H131" s="1" t="str">
        <f t="shared" si="6"/>
        <v>03300055</v>
      </c>
      <c r="J131" s="288">
        <f>'Manual Manpower Database'!AJ125</f>
        <v>1593.4782608695652</v>
      </c>
      <c r="K131" s="288">
        <f>'Manual Manpower Database'!AK125</f>
        <v>300</v>
      </c>
      <c r="L131" s="288">
        <f>'Manual Manpower Database'!AL125</f>
        <v>0</v>
      </c>
      <c r="M131" s="288">
        <f>'Manual Manpower Database'!AM125</f>
        <v>150</v>
      </c>
      <c r="N131" s="288">
        <f>'Manual Manpower Database'!AN125</f>
        <v>66.39492753623189</v>
      </c>
      <c r="O131" s="288">
        <f>'Manual Manpower Database'!AO125</f>
        <v>0</v>
      </c>
      <c r="P131" s="288">
        <f>'Manual Manpower Database'!AP125</f>
        <v>33.197463768115945</v>
      </c>
      <c r="Q131" s="288">
        <f>'Manual Manpower Database'!AQ125</f>
        <v>31.869565217391305</v>
      </c>
      <c r="R131" s="288">
        <f>'Manual Manpower Database'!AR125</f>
        <v>125</v>
      </c>
      <c r="S131" s="288">
        <f>'Manual Manpower Database'!AS125</f>
        <v>41.666666666666664</v>
      </c>
      <c r="T131" s="288">
        <f>'Manual Manpower Database'!AT125</f>
        <v>54.166666666666664</v>
      </c>
      <c r="U131" s="288">
        <f>'Manual Manpower Database'!AU125</f>
        <v>208.33333333333334</v>
      </c>
      <c r="V131" s="288">
        <f>'Manual Manpower Database'!AV125</f>
        <v>0</v>
      </c>
      <c r="W131" s="288">
        <f>'Manual Manpower Database'!AW125</f>
        <v>8.3333333333333339</v>
      </c>
      <c r="X131" s="288">
        <f>'Manual Manpower Database'!AX125</f>
        <v>55.555555555555557</v>
      </c>
      <c r="Y131" s="288">
        <f t="shared" si="4"/>
        <v>2667.9957729468601</v>
      </c>
    </row>
    <row r="132" spans="2:25" x14ac:dyDescent="0.25">
      <c r="B132" s="2" t="s">
        <v>217</v>
      </c>
      <c r="C132" s="1" t="s">
        <v>1179</v>
      </c>
      <c r="D132" s="2" t="s">
        <v>310</v>
      </c>
      <c r="E132" s="2" t="s">
        <v>1008</v>
      </c>
      <c r="F132" s="1" t="s">
        <v>818</v>
      </c>
      <c r="G132" s="2" t="s">
        <v>1201</v>
      </c>
      <c r="H132" s="1" t="str">
        <f t="shared" si="6"/>
        <v>02300070</v>
      </c>
      <c r="J132" s="288">
        <f>'Manual Manpower Database'!AJ126</f>
        <v>1452.5</v>
      </c>
      <c r="K132" s="288">
        <f>'Manual Manpower Database'!AK126</f>
        <v>0</v>
      </c>
      <c r="L132" s="288">
        <f>'Manual Manpower Database'!AL126</f>
        <v>0</v>
      </c>
      <c r="M132" s="288">
        <f>'Manual Manpower Database'!AM126</f>
        <v>150</v>
      </c>
      <c r="N132" s="288">
        <f>'Manual Manpower Database'!AN126</f>
        <v>60.520833333333336</v>
      </c>
      <c r="O132" s="288">
        <f>'Manual Manpower Database'!AO126</f>
        <v>0</v>
      </c>
      <c r="P132" s="288">
        <f>'Manual Manpower Database'!AP126</f>
        <v>30.260416666666668</v>
      </c>
      <c r="Q132" s="288">
        <f>'Manual Manpower Database'!AQ126</f>
        <v>29.05</v>
      </c>
      <c r="R132" s="288">
        <f>'Manual Manpower Database'!AR126</f>
        <v>125</v>
      </c>
      <c r="S132" s="288">
        <f>'Manual Manpower Database'!AS126</f>
        <v>41.666666666666664</v>
      </c>
      <c r="T132" s="288">
        <f>'Manual Manpower Database'!AT126</f>
        <v>54.166666666666664</v>
      </c>
      <c r="U132" s="288">
        <f>'Manual Manpower Database'!AU126</f>
        <v>208.33333333333334</v>
      </c>
      <c r="V132" s="288">
        <f>'Manual Manpower Database'!AV126</f>
        <v>0</v>
      </c>
      <c r="W132" s="288">
        <f>'Manual Manpower Database'!AW126</f>
        <v>8.3333333333333339</v>
      </c>
      <c r="X132" s="288">
        <f>'Manual Manpower Database'!AX126</f>
        <v>55.555555555555557</v>
      </c>
      <c r="Y132" s="288">
        <f t="shared" si="4"/>
        <v>2215.3868055555558</v>
      </c>
    </row>
    <row r="133" spans="2:25" x14ac:dyDescent="0.25">
      <c r="B133" s="2" t="s">
        <v>217</v>
      </c>
      <c r="C133" s="1" t="s">
        <v>1179</v>
      </c>
      <c r="D133" s="2" t="s">
        <v>310</v>
      </c>
      <c r="E133" s="2" t="s">
        <v>1008</v>
      </c>
      <c r="F133" s="1" t="s">
        <v>809</v>
      </c>
      <c r="G133" s="2" t="s">
        <v>1202</v>
      </c>
      <c r="H133" s="1" t="str">
        <f t="shared" ref="H133:H140" si="7">D133&amp;G133</f>
        <v>02300075</v>
      </c>
      <c r="J133" s="288">
        <f>'Manual Manpower Database'!AJ127</f>
        <v>743.20909090909095</v>
      </c>
      <c r="K133" s="288">
        <f>'Manual Manpower Database'!AK127</f>
        <v>0</v>
      </c>
      <c r="L133" s="288">
        <f>'Manual Manpower Database'!AL127</f>
        <v>0</v>
      </c>
      <c r="M133" s="288">
        <f>'Manual Manpower Database'!AM127</f>
        <v>150</v>
      </c>
      <c r="N133" s="288">
        <f>'Manual Manpower Database'!AN127</f>
        <v>30.967045454545456</v>
      </c>
      <c r="O133" s="288">
        <f>'Manual Manpower Database'!AO127</f>
        <v>0</v>
      </c>
      <c r="P133" s="288">
        <f>'Manual Manpower Database'!AP127</f>
        <v>15.483522727272728</v>
      </c>
      <c r="Q133" s="288">
        <f>'Manual Manpower Database'!AQ127</f>
        <v>14.864181818181819</v>
      </c>
      <c r="R133" s="288">
        <f>'Manual Manpower Database'!AR127</f>
        <v>125</v>
      </c>
      <c r="S133" s="288">
        <f>'Manual Manpower Database'!AS127</f>
        <v>41.666666666666664</v>
      </c>
      <c r="T133" s="288">
        <f>'Manual Manpower Database'!AT127</f>
        <v>54.166666666666664</v>
      </c>
      <c r="U133" s="288">
        <f>'Manual Manpower Database'!AU127</f>
        <v>208.33333333333334</v>
      </c>
      <c r="V133" s="288">
        <f>'Manual Manpower Database'!AV127</f>
        <v>0</v>
      </c>
      <c r="W133" s="288">
        <f>'Manual Manpower Database'!AW127</f>
        <v>8.3333333333333339</v>
      </c>
      <c r="X133" s="288">
        <f>'Manual Manpower Database'!AX127</f>
        <v>55.555555555555557</v>
      </c>
      <c r="Y133" s="288">
        <f t="shared" si="4"/>
        <v>1447.5793964646466</v>
      </c>
    </row>
    <row r="134" spans="2:25" x14ac:dyDescent="0.25">
      <c r="B134" s="2" t="s">
        <v>217</v>
      </c>
      <c r="C134" s="1" t="s">
        <v>1179</v>
      </c>
      <c r="D134" s="2" t="s">
        <v>310</v>
      </c>
      <c r="E134" s="2" t="s">
        <v>1008</v>
      </c>
      <c r="F134" s="1" t="s">
        <v>1090</v>
      </c>
      <c r="G134" s="2" t="s">
        <v>1203</v>
      </c>
      <c r="H134" s="1" t="str">
        <f t="shared" si="7"/>
        <v>02300080</v>
      </c>
      <c r="J134" s="288">
        <f>'Manual Manpower Database'!AJ128</f>
        <v>1105</v>
      </c>
      <c r="K134" s="288">
        <f>'Manual Manpower Database'!AK128</f>
        <v>0</v>
      </c>
      <c r="L134" s="288">
        <f>'Manual Manpower Database'!AL128</f>
        <v>0</v>
      </c>
      <c r="M134" s="288">
        <f>'Manual Manpower Database'!AM128</f>
        <v>150</v>
      </c>
      <c r="N134" s="288">
        <f>'Manual Manpower Database'!AN128</f>
        <v>46.041666666666664</v>
      </c>
      <c r="O134" s="288">
        <f>'Manual Manpower Database'!AO128</f>
        <v>0</v>
      </c>
      <c r="P134" s="288">
        <f>'Manual Manpower Database'!AP128</f>
        <v>23.020833333333332</v>
      </c>
      <c r="Q134" s="288">
        <f>'Manual Manpower Database'!AQ128</f>
        <v>22.1</v>
      </c>
      <c r="R134" s="288">
        <f>'Manual Manpower Database'!AR128</f>
        <v>125</v>
      </c>
      <c r="S134" s="288">
        <f>'Manual Manpower Database'!AS128</f>
        <v>41.666666666666664</v>
      </c>
      <c r="T134" s="288">
        <f>'Manual Manpower Database'!AT128</f>
        <v>54.166666666666664</v>
      </c>
      <c r="U134" s="288">
        <f>'Manual Manpower Database'!AU128</f>
        <v>208.33333333333334</v>
      </c>
      <c r="V134" s="288">
        <f>'Manual Manpower Database'!AV128</f>
        <v>0</v>
      </c>
      <c r="W134" s="288">
        <f>'Manual Manpower Database'!AW128</f>
        <v>8.3333333333333339</v>
      </c>
      <c r="X134" s="288">
        <f>'Manual Manpower Database'!AX128</f>
        <v>55.555555555555557</v>
      </c>
      <c r="Y134" s="288">
        <f t="shared" si="4"/>
        <v>1839.2180555555556</v>
      </c>
    </row>
    <row r="135" spans="2:25" x14ac:dyDescent="0.25">
      <c r="B135" s="2" t="s">
        <v>402</v>
      </c>
      <c r="C135" s="1" t="s">
        <v>1184</v>
      </c>
      <c r="D135" s="2" t="s">
        <v>1168</v>
      </c>
      <c r="E135" s="2" t="s">
        <v>1169</v>
      </c>
      <c r="F135" s="1" t="s">
        <v>1091</v>
      </c>
      <c r="G135" s="2" t="s">
        <v>1218</v>
      </c>
      <c r="H135" s="1" t="str">
        <f t="shared" si="7"/>
        <v>01700063</v>
      </c>
      <c r="J135" s="288">
        <f>'Manual Manpower Database'!AJ129</f>
        <v>1571.1111111111111</v>
      </c>
      <c r="K135" s="288">
        <f>'Manual Manpower Database'!AK129</f>
        <v>0</v>
      </c>
      <c r="L135" s="288">
        <f>'Manual Manpower Database'!AL129</f>
        <v>0</v>
      </c>
      <c r="M135" s="288">
        <f>'Manual Manpower Database'!AM129</f>
        <v>150</v>
      </c>
      <c r="N135" s="288">
        <f>'Manual Manpower Database'!AN129</f>
        <v>65.462962962962962</v>
      </c>
      <c r="O135" s="288">
        <f>'Manual Manpower Database'!AO129</f>
        <v>0</v>
      </c>
      <c r="P135" s="288">
        <f>'Manual Manpower Database'!AP129</f>
        <v>32.731481481481481</v>
      </c>
      <c r="Q135" s="288">
        <f>'Manual Manpower Database'!AQ129</f>
        <v>31.422222222222221</v>
      </c>
      <c r="R135" s="288">
        <f>'Manual Manpower Database'!AR129</f>
        <v>125</v>
      </c>
      <c r="S135" s="288">
        <f>'Manual Manpower Database'!AS129</f>
        <v>41.666666666666664</v>
      </c>
      <c r="T135" s="288">
        <f>'Manual Manpower Database'!AT129</f>
        <v>54.166666666666664</v>
      </c>
      <c r="U135" s="288">
        <f>'Manual Manpower Database'!AU129</f>
        <v>208.33333333333334</v>
      </c>
      <c r="V135" s="288">
        <f>'Manual Manpower Database'!AV129</f>
        <v>0</v>
      </c>
      <c r="W135" s="288">
        <f>'Manual Manpower Database'!AW129</f>
        <v>8.3333333333333339</v>
      </c>
      <c r="X135" s="288">
        <f>'Manual Manpower Database'!AX129</f>
        <v>55.555555555555557</v>
      </c>
      <c r="Y135" s="288">
        <f t="shared" si="4"/>
        <v>2343.7833333333338</v>
      </c>
    </row>
    <row r="136" spans="2:25" x14ac:dyDescent="0.25">
      <c r="B136" s="2" t="s">
        <v>217</v>
      </c>
      <c r="C136" s="1" t="s">
        <v>1179</v>
      </c>
      <c r="D136" s="2" t="s">
        <v>683</v>
      </c>
      <c r="E136" s="2" t="s">
        <v>680</v>
      </c>
      <c r="F136" s="1" t="s">
        <v>1092</v>
      </c>
      <c r="G136" s="2" t="s">
        <v>1197</v>
      </c>
      <c r="H136" s="1" t="str">
        <f t="shared" si="7"/>
        <v>02900050</v>
      </c>
      <c r="J136" s="288">
        <f>'Manual Manpower Database'!AJ130</f>
        <v>906.07142857142856</v>
      </c>
      <c r="K136" s="288">
        <f>'Manual Manpower Database'!AK130</f>
        <v>300</v>
      </c>
      <c r="L136" s="288">
        <f>'Manual Manpower Database'!AL130</f>
        <v>0</v>
      </c>
      <c r="M136" s="288">
        <f>'Manual Manpower Database'!AM130</f>
        <v>250</v>
      </c>
      <c r="N136" s="288">
        <f>'Manual Manpower Database'!AN130</f>
        <v>37.75297619047619</v>
      </c>
      <c r="O136" s="288">
        <f>'Manual Manpower Database'!AO130</f>
        <v>0</v>
      </c>
      <c r="P136" s="288">
        <f>'Manual Manpower Database'!AP130</f>
        <v>18.876488095238095</v>
      </c>
      <c r="Q136" s="288">
        <f>'Manual Manpower Database'!AQ130</f>
        <v>18.12142857142857</v>
      </c>
      <c r="R136" s="288">
        <f>'Manual Manpower Database'!AR130</f>
        <v>125</v>
      </c>
      <c r="S136" s="288">
        <f>'Manual Manpower Database'!AS130</f>
        <v>41.666666666666664</v>
      </c>
      <c r="T136" s="288">
        <f>'Manual Manpower Database'!AT130</f>
        <v>54.166666666666664</v>
      </c>
      <c r="U136" s="288">
        <f>'Manual Manpower Database'!AU130</f>
        <v>208.33333333333334</v>
      </c>
      <c r="V136" s="288">
        <f>'Manual Manpower Database'!AV130</f>
        <v>0</v>
      </c>
      <c r="W136" s="288">
        <f>'Manual Manpower Database'!AW130</f>
        <v>8.3333333333333339</v>
      </c>
      <c r="X136" s="288">
        <f>'Manual Manpower Database'!AX130</f>
        <v>55.555555555555557</v>
      </c>
      <c r="Y136" s="288">
        <f t="shared" si="4"/>
        <v>2023.8778769841269</v>
      </c>
    </row>
    <row r="137" spans="2:25" x14ac:dyDescent="0.25">
      <c r="B137" s="2" t="s">
        <v>224</v>
      </c>
      <c r="C137" s="1" t="s">
        <v>9</v>
      </c>
      <c r="D137" s="2" t="s">
        <v>366</v>
      </c>
      <c r="E137" s="2" t="s">
        <v>367</v>
      </c>
      <c r="F137" s="1" t="s">
        <v>1093</v>
      </c>
      <c r="G137" s="2" t="s">
        <v>1191</v>
      </c>
      <c r="H137" s="1" t="str">
        <f t="shared" si="7"/>
        <v>09900020</v>
      </c>
      <c r="J137" s="288">
        <f>'Manual Manpower Database'!AJ131</f>
        <v>925.95</v>
      </c>
      <c r="K137" s="288">
        <f>'Manual Manpower Database'!AK131</f>
        <v>0</v>
      </c>
      <c r="L137" s="288">
        <f>'Manual Manpower Database'!AL131</f>
        <v>0</v>
      </c>
      <c r="M137" s="288">
        <f>'Manual Manpower Database'!AM131</f>
        <v>250</v>
      </c>
      <c r="N137" s="288">
        <f>'Manual Manpower Database'!AN131</f>
        <v>38.581250000000004</v>
      </c>
      <c r="O137" s="288">
        <f>'Manual Manpower Database'!AO131</f>
        <v>0</v>
      </c>
      <c r="P137" s="288">
        <f>'Manual Manpower Database'!AP131</f>
        <v>19.290625000000002</v>
      </c>
      <c r="Q137" s="288">
        <f>'Manual Manpower Database'!AQ131</f>
        <v>18.519000000000002</v>
      </c>
      <c r="R137" s="288">
        <f>'Manual Manpower Database'!AR131</f>
        <v>125</v>
      </c>
      <c r="S137" s="288">
        <f>'Manual Manpower Database'!AS131</f>
        <v>41.666666666666664</v>
      </c>
      <c r="T137" s="288">
        <f>'Manual Manpower Database'!AT131</f>
        <v>54.166666666666664</v>
      </c>
      <c r="U137" s="288">
        <f>'Manual Manpower Database'!AU131</f>
        <v>208.33333333333334</v>
      </c>
      <c r="V137" s="288">
        <f>'Manual Manpower Database'!AV131</f>
        <v>0</v>
      </c>
      <c r="W137" s="288">
        <f>'Manual Manpower Database'!AW131</f>
        <v>8.3333333333333339</v>
      </c>
      <c r="X137" s="288">
        <f>'Manual Manpower Database'!AX131</f>
        <v>55.555555555555557</v>
      </c>
      <c r="Y137" s="288">
        <f t="shared" si="4"/>
        <v>1745.3964305555558</v>
      </c>
    </row>
    <row r="138" spans="2:25" x14ac:dyDescent="0.25">
      <c r="B138" s="2" t="s">
        <v>224</v>
      </c>
      <c r="C138" s="1" t="s">
        <v>9</v>
      </c>
      <c r="D138" s="2" t="s">
        <v>366</v>
      </c>
      <c r="E138" s="2" t="s">
        <v>367</v>
      </c>
      <c r="F138" s="1" t="s">
        <v>817</v>
      </c>
      <c r="G138" s="2" t="s">
        <v>1192</v>
      </c>
      <c r="H138" s="1" t="str">
        <f t="shared" si="7"/>
        <v>09900025</v>
      </c>
      <c r="J138" s="288">
        <f>'Manual Manpower Database'!AJ132</f>
        <v>900</v>
      </c>
      <c r="K138" s="288">
        <f>'Manual Manpower Database'!AK132</f>
        <v>0</v>
      </c>
      <c r="L138" s="288">
        <f>'Manual Manpower Database'!AL132</f>
        <v>0</v>
      </c>
      <c r="M138" s="288">
        <f>'Manual Manpower Database'!AM132</f>
        <v>150</v>
      </c>
      <c r="N138" s="288">
        <f>'Manual Manpower Database'!AN132</f>
        <v>37.5</v>
      </c>
      <c r="O138" s="288">
        <f>'Manual Manpower Database'!AO132</f>
        <v>0</v>
      </c>
      <c r="P138" s="288">
        <f>'Manual Manpower Database'!AP132</f>
        <v>18.75</v>
      </c>
      <c r="Q138" s="288">
        <f>'Manual Manpower Database'!AQ132</f>
        <v>18</v>
      </c>
      <c r="R138" s="288">
        <f>'Manual Manpower Database'!AR132</f>
        <v>125</v>
      </c>
      <c r="S138" s="288">
        <f>'Manual Manpower Database'!AS132</f>
        <v>41.666666666666664</v>
      </c>
      <c r="T138" s="288">
        <f>'Manual Manpower Database'!AT132</f>
        <v>54.166666666666664</v>
      </c>
      <c r="U138" s="288">
        <f>'Manual Manpower Database'!AU132</f>
        <v>208.33333333333334</v>
      </c>
      <c r="V138" s="288">
        <f>'Manual Manpower Database'!AV132</f>
        <v>0</v>
      </c>
      <c r="W138" s="288">
        <f>'Manual Manpower Database'!AW132</f>
        <v>8.3333333333333339</v>
      </c>
      <c r="X138" s="288">
        <f>'Manual Manpower Database'!AX132</f>
        <v>55.555555555555557</v>
      </c>
      <c r="Y138" s="288">
        <f t="shared" si="4"/>
        <v>1617.3055555555557</v>
      </c>
    </row>
    <row r="139" spans="2:25" x14ac:dyDescent="0.25">
      <c r="B139" s="2" t="s">
        <v>278</v>
      </c>
      <c r="C139" s="1" t="s">
        <v>1187</v>
      </c>
      <c r="D139" s="2" t="s">
        <v>394</v>
      </c>
      <c r="E139" s="2" t="s">
        <v>399</v>
      </c>
      <c r="F139" s="1" t="s">
        <v>1094</v>
      </c>
      <c r="G139" s="2" t="s">
        <v>1190</v>
      </c>
      <c r="H139" s="1" t="str">
        <f t="shared" si="7"/>
        <v>15200015</v>
      </c>
      <c r="J139" s="288">
        <f>'Manual Manpower Database'!AJ133</f>
        <v>1035.3658536585365</v>
      </c>
      <c r="K139" s="288">
        <f>'Manual Manpower Database'!AK133</f>
        <v>0</v>
      </c>
      <c r="L139" s="288">
        <f>'Manual Manpower Database'!AL133</f>
        <v>0</v>
      </c>
      <c r="M139" s="288">
        <f>'Manual Manpower Database'!AM133</f>
        <v>150</v>
      </c>
      <c r="N139" s="288">
        <f>'Manual Manpower Database'!AN133</f>
        <v>43.140243902439018</v>
      </c>
      <c r="O139" s="288">
        <f>'Manual Manpower Database'!AO133</f>
        <v>0</v>
      </c>
      <c r="P139" s="288">
        <f>'Manual Manpower Database'!AP133</f>
        <v>21.570121951219509</v>
      </c>
      <c r="Q139" s="288">
        <f>'Manual Manpower Database'!AQ133</f>
        <v>20.707317073170731</v>
      </c>
      <c r="R139" s="288">
        <f>'Manual Manpower Database'!AR133</f>
        <v>125</v>
      </c>
      <c r="S139" s="288">
        <f>'Manual Manpower Database'!AS133</f>
        <v>41.666666666666664</v>
      </c>
      <c r="T139" s="288">
        <f>'Manual Manpower Database'!AT133</f>
        <v>54.166666666666664</v>
      </c>
      <c r="U139" s="288">
        <f>'Manual Manpower Database'!AU133</f>
        <v>208.33333333333334</v>
      </c>
      <c r="V139" s="288">
        <f>'Manual Manpower Database'!AV133</f>
        <v>0</v>
      </c>
      <c r="W139" s="288">
        <f>'Manual Manpower Database'!AW133</f>
        <v>8.3333333333333339</v>
      </c>
      <c r="X139" s="288">
        <f>'Manual Manpower Database'!AX133</f>
        <v>55.555555555555557</v>
      </c>
      <c r="Y139" s="288">
        <f t="shared" si="4"/>
        <v>1763.8390921409216</v>
      </c>
    </row>
    <row r="140" spans="2:25" x14ac:dyDescent="0.25">
      <c r="B140" s="2" t="s">
        <v>278</v>
      </c>
      <c r="C140" s="1" t="s">
        <v>1187</v>
      </c>
      <c r="D140" s="2" t="s">
        <v>393</v>
      </c>
      <c r="E140" s="2" t="s">
        <v>1182</v>
      </c>
      <c r="F140" s="1" t="s">
        <v>1095</v>
      </c>
      <c r="G140" s="2" t="s">
        <v>1190</v>
      </c>
      <c r="H140" s="1" t="str">
        <f t="shared" si="7"/>
        <v>15100015</v>
      </c>
      <c r="J140" s="288">
        <f>'Manual Manpower Database'!AJ134</f>
        <v>1149.4547413793102</v>
      </c>
      <c r="K140" s="288">
        <f>'Manual Manpower Database'!AK134</f>
        <v>300</v>
      </c>
      <c r="L140" s="288">
        <f>'Manual Manpower Database'!AL134</f>
        <v>0</v>
      </c>
      <c r="M140" s="288">
        <f>'Manual Manpower Database'!AM134</f>
        <v>250</v>
      </c>
      <c r="N140" s="288">
        <f>'Manual Manpower Database'!AN134</f>
        <v>47.893947557471257</v>
      </c>
      <c r="O140" s="288">
        <f>'Manual Manpower Database'!AO134</f>
        <v>0</v>
      </c>
      <c r="P140" s="288">
        <f>'Manual Manpower Database'!AP134</f>
        <v>23.946973778735629</v>
      </c>
      <c r="Q140" s="288">
        <f>'Manual Manpower Database'!AQ134</f>
        <v>22.989094827586204</v>
      </c>
      <c r="R140" s="288">
        <f>'Manual Manpower Database'!AR134</f>
        <v>125</v>
      </c>
      <c r="S140" s="288">
        <f>'Manual Manpower Database'!AS134</f>
        <v>41.666666666666664</v>
      </c>
      <c r="T140" s="288">
        <f>'Manual Manpower Database'!AT134</f>
        <v>54.166666666666664</v>
      </c>
      <c r="U140" s="288">
        <f>'Manual Manpower Database'!AU134</f>
        <v>208.33333333333334</v>
      </c>
      <c r="V140" s="288">
        <f>'Manual Manpower Database'!AV134</f>
        <v>0</v>
      </c>
      <c r="W140" s="288">
        <f>'Manual Manpower Database'!AW134</f>
        <v>8.3333333333333339</v>
      </c>
      <c r="X140" s="288">
        <f>'Manual Manpower Database'!AX134</f>
        <v>55.555555555555557</v>
      </c>
      <c r="Y140" s="288">
        <f t="shared" ref="Y140:Y170" si="8">SUM(J140:X140)</f>
        <v>2287.3403130986594</v>
      </c>
    </row>
    <row r="141" spans="2:25" x14ac:dyDescent="0.25">
      <c r="B141" s="2" t="s">
        <v>278</v>
      </c>
      <c r="C141" s="1" t="s">
        <v>1187</v>
      </c>
      <c r="D141" s="2" t="s">
        <v>393</v>
      </c>
      <c r="E141" s="2" t="s">
        <v>1182</v>
      </c>
      <c r="F141" s="1" t="s">
        <v>808</v>
      </c>
      <c r="G141" s="2" t="s">
        <v>1191</v>
      </c>
      <c r="H141" s="1" t="str">
        <f t="shared" ref="H141:H170" si="9">D141&amp;G141</f>
        <v>15100020</v>
      </c>
      <c r="J141" s="288">
        <f>'Manual Manpower Database'!AJ135</f>
        <v>1500</v>
      </c>
      <c r="K141" s="288">
        <f>'Manual Manpower Database'!AK135</f>
        <v>0</v>
      </c>
      <c r="L141" s="288">
        <f>'Manual Manpower Database'!AL135</f>
        <v>0</v>
      </c>
      <c r="M141" s="288">
        <f>'Manual Manpower Database'!AM135</f>
        <v>150</v>
      </c>
      <c r="N141" s="288">
        <f>'Manual Manpower Database'!AN135</f>
        <v>62.5</v>
      </c>
      <c r="O141" s="288">
        <f>'Manual Manpower Database'!AO135</f>
        <v>0</v>
      </c>
      <c r="P141" s="288">
        <f>'Manual Manpower Database'!AP135</f>
        <v>31.25</v>
      </c>
      <c r="Q141" s="288">
        <f>'Manual Manpower Database'!AQ135</f>
        <v>30</v>
      </c>
      <c r="R141" s="288">
        <f>'Manual Manpower Database'!AR135</f>
        <v>125</v>
      </c>
      <c r="S141" s="288">
        <f>'Manual Manpower Database'!AS135</f>
        <v>41.666666666666664</v>
      </c>
      <c r="T141" s="288">
        <f>'Manual Manpower Database'!AT135</f>
        <v>54.166666666666664</v>
      </c>
      <c r="U141" s="288">
        <f>'Manual Manpower Database'!AU135</f>
        <v>208.33333333333334</v>
      </c>
      <c r="V141" s="288">
        <f>'Manual Manpower Database'!AV135</f>
        <v>0</v>
      </c>
      <c r="W141" s="288">
        <f>'Manual Manpower Database'!AW135</f>
        <v>8.3333333333333339</v>
      </c>
      <c r="X141" s="288">
        <f>'Manual Manpower Database'!AX135</f>
        <v>55.555555555555557</v>
      </c>
      <c r="Y141" s="288">
        <f t="shared" si="8"/>
        <v>2266.8055555555561</v>
      </c>
    </row>
    <row r="142" spans="2:25" x14ac:dyDescent="0.25">
      <c r="B142" s="2" t="s">
        <v>402</v>
      </c>
      <c r="C142" s="1" t="s">
        <v>1184</v>
      </c>
      <c r="D142" s="2" t="s">
        <v>1168</v>
      </c>
      <c r="E142" s="2" t="s">
        <v>1169</v>
      </c>
      <c r="F142" s="1" t="s">
        <v>1096</v>
      </c>
      <c r="G142" s="2" t="s">
        <v>1219</v>
      </c>
      <c r="H142" s="1" t="str">
        <f t="shared" si="9"/>
        <v>01700066</v>
      </c>
      <c r="J142" s="288">
        <f>'Manual Manpower Database'!AJ136</f>
        <v>945.76923076923072</v>
      </c>
      <c r="K142" s="288">
        <f>'Manual Manpower Database'!AK136</f>
        <v>0</v>
      </c>
      <c r="L142" s="288">
        <f>'Manual Manpower Database'!AL136</f>
        <v>0</v>
      </c>
      <c r="M142" s="288">
        <f>'Manual Manpower Database'!AM136</f>
        <v>150</v>
      </c>
      <c r="N142" s="288">
        <f>'Manual Manpower Database'!AN136</f>
        <v>39.407051282051277</v>
      </c>
      <c r="O142" s="288">
        <f>'Manual Manpower Database'!AO136</f>
        <v>0</v>
      </c>
      <c r="P142" s="288">
        <f>'Manual Manpower Database'!AP136</f>
        <v>19.703525641025639</v>
      </c>
      <c r="Q142" s="288">
        <f>'Manual Manpower Database'!AQ136</f>
        <v>18.915384615384614</v>
      </c>
      <c r="R142" s="288">
        <f>'Manual Manpower Database'!AR136</f>
        <v>125</v>
      </c>
      <c r="S142" s="288">
        <f>'Manual Manpower Database'!AS136</f>
        <v>41.666666666666664</v>
      </c>
      <c r="T142" s="288">
        <f>'Manual Manpower Database'!AT136</f>
        <v>54.166666666666664</v>
      </c>
      <c r="U142" s="288">
        <f>'Manual Manpower Database'!AU136</f>
        <v>208.33333333333334</v>
      </c>
      <c r="V142" s="288">
        <f>'Manual Manpower Database'!AV136</f>
        <v>0</v>
      </c>
      <c r="W142" s="288">
        <f>'Manual Manpower Database'!AW136</f>
        <v>8.3333333333333339</v>
      </c>
      <c r="X142" s="288">
        <f>'Manual Manpower Database'!AX136</f>
        <v>55.555555555555557</v>
      </c>
      <c r="Y142" s="288">
        <f t="shared" si="8"/>
        <v>1666.850747863248</v>
      </c>
    </row>
    <row r="143" spans="2:25" x14ac:dyDescent="0.25">
      <c r="B143" s="2" t="s">
        <v>224</v>
      </c>
      <c r="C143" s="1" t="s">
        <v>9</v>
      </c>
      <c r="D143" s="2" t="s">
        <v>362</v>
      </c>
      <c r="E143" s="2" t="s">
        <v>363</v>
      </c>
      <c r="F143" s="1" t="s">
        <v>1098</v>
      </c>
      <c r="G143" s="2" t="s">
        <v>800</v>
      </c>
      <c r="H143" s="1" t="str">
        <f t="shared" si="9"/>
        <v>09700005</v>
      </c>
      <c r="J143" s="288">
        <f>'Manual Manpower Database'!AJ137</f>
        <v>800</v>
      </c>
      <c r="K143" s="288">
        <f>'Manual Manpower Database'!AK137</f>
        <v>0</v>
      </c>
      <c r="L143" s="288">
        <f>'Manual Manpower Database'!AL137</f>
        <v>0</v>
      </c>
      <c r="M143" s="288">
        <f>'Manual Manpower Database'!AM137</f>
        <v>150</v>
      </c>
      <c r="N143" s="288">
        <f>'Manual Manpower Database'!AN137</f>
        <v>33.333333333333336</v>
      </c>
      <c r="O143" s="288">
        <f>'Manual Manpower Database'!AO137</f>
        <v>0</v>
      </c>
      <c r="P143" s="288">
        <f>'Manual Manpower Database'!AP137</f>
        <v>16.666666666666668</v>
      </c>
      <c r="Q143" s="288">
        <f>'Manual Manpower Database'!AQ137</f>
        <v>16</v>
      </c>
      <c r="R143" s="288">
        <f>'Manual Manpower Database'!AR137</f>
        <v>125</v>
      </c>
      <c r="S143" s="288">
        <f>'Manual Manpower Database'!AS137</f>
        <v>41.666666666666664</v>
      </c>
      <c r="T143" s="288">
        <f>'Manual Manpower Database'!AT137</f>
        <v>54.166666666666664</v>
      </c>
      <c r="U143" s="288">
        <f>'Manual Manpower Database'!AU137</f>
        <v>208.33333333333334</v>
      </c>
      <c r="V143" s="288">
        <f>'Manual Manpower Database'!AV137</f>
        <v>0</v>
      </c>
      <c r="W143" s="288">
        <f>'Manual Manpower Database'!AW137</f>
        <v>8.3333333333333339</v>
      </c>
      <c r="X143" s="288">
        <f>'Manual Manpower Database'!AX137</f>
        <v>55.555555555555557</v>
      </c>
      <c r="Y143" s="288">
        <f t="shared" si="8"/>
        <v>1509.0555555555557</v>
      </c>
    </row>
    <row r="144" spans="2:25" x14ac:dyDescent="0.25">
      <c r="B144" s="2" t="s">
        <v>217</v>
      </c>
      <c r="C144" s="1" t="s">
        <v>1179</v>
      </c>
      <c r="D144" s="2" t="s">
        <v>316</v>
      </c>
      <c r="E144" s="2" t="s">
        <v>1175</v>
      </c>
      <c r="F144" s="1" t="s">
        <v>1100</v>
      </c>
      <c r="G144" s="2" t="s">
        <v>1199</v>
      </c>
      <c r="H144" s="1" t="str">
        <f t="shared" si="9"/>
        <v>02200055</v>
      </c>
      <c r="J144" s="288">
        <f>'Manual Manpower Database'!AJ138</f>
        <v>1000</v>
      </c>
      <c r="K144" s="288">
        <f>'Manual Manpower Database'!AK138</f>
        <v>0</v>
      </c>
      <c r="L144" s="288">
        <f>'Manual Manpower Database'!AL138</f>
        <v>0</v>
      </c>
      <c r="M144" s="288">
        <f>'Manual Manpower Database'!AM138</f>
        <v>150</v>
      </c>
      <c r="N144" s="288">
        <f>'Manual Manpower Database'!AN138</f>
        <v>41.666666666666664</v>
      </c>
      <c r="O144" s="288">
        <f>'Manual Manpower Database'!AO138</f>
        <v>0</v>
      </c>
      <c r="P144" s="288">
        <f>'Manual Manpower Database'!AP138</f>
        <v>20.833333333333332</v>
      </c>
      <c r="Q144" s="288">
        <f>'Manual Manpower Database'!AQ138</f>
        <v>20</v>
      </c>
      <c r="R144" s="288">
        <f>'Manual Manpower Database'!AR138</f>
        <v>125</v>
      </c>
      <c r="S144" s="288">
        <f>'Manual Manpower Database'!AS138</f>
        <v>41.666666666666664</v>
      </c>
      <c r="T144" s="288">
        <f>'Manual Manpower Database'!AT138</f>
        <v>54.166666666666664</v>
      </c>
      <c r="U144" s="288">
        <f>'Manual Manpower Database'!AU138</f>
        <v>208.33333333333334</v>
      </c>
      <c r="V144" s="288">
        <f>'Manual Manpower Database'!AV138</f>
        <v>0</v>
      </c>
      <c r="W144" s="288">
        <f>'Manual Manpower Database'!AW138</f>
        <v>8.3333333333333339</v>
      </c>
      <c r="X144" s="288">
        <f>'Manual Manpower Database'!AX138</f>
        <v>55.555555555555557</v>
      </c>
      <c r="Y144" s="288">
        <f t="shared" si="8"/>
        <v>1725.5555555555557</v>
      </c>
    </row>
    <row r="145" spans="2:25" x14ac:dyDescent="0.25">
      <c r="B145" s="2" t="s">
        <v>224</v>
      </c>
      <c r="C145" s="1" t="s">
        <v>9</v>
      </c>
      <c r="D145" s="2" t="s">
        <v>362</v>
      </c>
      <c r="E145" s="2" t="s">
        <v>363</v>
      </c>
      <c r="F145" s="1" t="s">
        <v>536</v>
      </c>
      <c r="G145" s="2" t="s">
        <v>1190</v>
      </c>
      <c r="H145" s="1" t="str">
        <f t="shared" si="9"/>
        <v>09700015</v>
      </c>
      <c r="J145" s="288">
        <v>927.59574468085111</v>
      </c>
      <c r="K145" s="288">
        <v>0</v>
      </c>
      <c r="L145" s="288">
        <v>0</v>
      </c>
      <c r="M145" s="288">
        <v>250</v>
      </c>
      <c r="N145" s="288">
        <v>38.649822695035461</v>
      </c>
      <c r="O145" s="288">
        <v>0</v>
      </c>
      <c r="P145" s="288">
        <v>19.32491134751773</v>
      </c>
      <c r="Q145" s="288">
        <v>18.551914893617024</v>
      </c>
      <c r="R145" s="288">
        <v>125</v>
      </c>
      <c r="S145" s="288">
        <v>41.666666666666664</v>
      </c>
      <c r="T145" s="288">
        <v>54.166666666666664</v>
      </c>
      <c r="U145" s="288">
        <v>208.33333333333334</v>
      </c>
      <c r="V145" s="288">
        <v>0</v>
      </c>
      <c r="W145" s="288">
        <v>8.3333333333333339</v>
      </c>
      <c r="X145" s="288">
        <v>55.555555555555557</v>
      </c>
      <c r="Y145" s="288">
        <v>1747.177949172577</v>
      </c>
    </row>
    <row r="146" spans="2:25" x14ac:dyDescent="0.25">
      <c r="B146" s="2" t="s">
        <v>224</v>
      </c>
      <c r="C146" s="1" t="s">
        <v>9</v>
      </c>
      <c r="D146" s="2" t="s">
        <v>362</v>
      </c>
      <c r="E146" s="2" t="s">
        <v>363</v>
      </c>
      <c r="F146" s="1" t="s">
        <v>1102</v>
      </c>
      <c r="G146" s="2" t="s">
        <v>1189</v>
      </c>
      <c r="H146" s="1" t="str">
        <f t="shared" si="9"/>
        <v>09700010</v>
      </c>
      <c r="J146" s="288">
        <f>'Manual Manpower Database'!AJ139</f>
        <v>3200</v>
      </c>
      <c r="K146" s="288">
        <f>'Manual Manpower Database'!AK139</f>
        <v>300</v>
      </c>
      <c r="L146" s="288">
        <f>'Manual Manpower Database'!AL139</f>
        <v>0</v>
      </c>
      <c r="M146" s="288">
        <f>'Manual Manpower Database'!AM139</f>
        <v>0</v>
      </c>
      <c r="N146" s="288">
        <f>'Manual Manpower Database'!AN139</f>
        <v>133.33333333333334</v>
      </c>
      <c r="O146" s="288">
        <f>'Manual Manpower Database'!AO139</f>
        <v>0</v>
      </c>
      <c r="P146" s="288">
        <f>'Manual Manpower Database'!AP139</f>
        <v>66.666666666666671</v>
      </c>
      <c r="Q146" s="288">
        <f>'Manual Manpower Database'!AQ139</f>
        <v>64</v>
      </c>
      <c r="R146" s="288">
        <f>'Manual Manpower Database'!AR139</f>
        <v>125</v>
      </c>
      <c r="S146" s="288">
        <f>'Manual Manpower Database'!AS139</f>
        <v>41.666666666666664</v>
      </c>
      <c r="T146" s="288">
        <f>'Manual Manpower Database'!AT139</f>
        <v>54.166666666666664</v>
      </c>
      <c r="U146" s="288">
        <f>'Manual Manpower Database'!AU139</f>
        <v>208.33333333333334</v>
      </c>
      <c r="V146" s="288">
        <f>'Manual Manpower Database'!AV139</f>
        <v>0</v>
      </c>
      <c r="W146" s="288">
        <f>'Manual Manpower Database'!AW139</f>
        <v>8.3333333333333339</v>
      </c>
      <c r="X146" s="288">
        <f>'Manual Manpower Database'!AX139</f>
        <v>55.555555555555557</v>
      </c>
      <c r="Y146" s="288">
        <f t="shared" si="8"/>
        <v>4257.0555555555547</v>
      </c>
    </row>
    <row r="147" spans="2:25" x14ac:dyDescent="0.25">
      <c r="B147" s="2" t="s">
        <v>402</v>
      </c>
      <c r="C147" s="1" t="s">
        <v>1184</v>
      </c>
      <c r="D147" s="2" t="s">
        <v>1166</v>
      </c>
      <c r="E147" s="2" t="s">
        <v>1167</v>
      </c>
      <c r="F147" s="1" t="s">
        <v>1103</v>
      </c>
      <c r="G147" s="2" t="s">
        <v>1218</v>
      </c>
      <c r="H147" s="1" t="str">
        <f t="shared" si="9"/>
        <v>01500063</v>
      </c>
      <c r="J147" s="288">
        <f>'Manual Manpower Database'!AJ140</f>
        <v>2935.9537572254335</v>
      </c>
      <c r="K147" s="288">
        <f>'Manual Manpower Database'!AK140</f>
        <v>500</v>
      </c>
      <c r="L147" s="288">
        <f>'Manual Manpower Database'!AL140</f>
        <v>733.98843930635837</v>
      </c>
      <c r="M147" s="288">
        <f>'Manual Manpower Database'!AM140</f>
        <v>200</v>
      </c>
      <c r="N147" s="288">
        <f>'Manual Manpower Database'!AN140</f>
        <v>122.33140655105973</v>
      </c>
      <c r="O147" s="288">
        <f>'Manual Manpower Database'!AO140</f>
        <v>0</v>
      </c>
      <c r="P147" s="288">
        <f>'Manual Manpower Database'!AP140</f>
        <v>61.165703275529864</v>
      </c>
      <c r="Q147" s="288">
        <f>'Manual Manpower Database'!AQ140</f>
        <v>73.398843930635834</v>
      </c>
      <c r="R147" s="288">
        <f>'Manual Manpower Database'!AR140</f>
        <v>0</v>
      </c>
      <c r="S147" s="288">
        <f>'Manual Manpower Database'!AS140</f>
        <v>41.666666666666664</v>
      </c>
      <c r="T147" s="288">
        <f>'Manual Manpower Database'!AT140</f>
        <v>54.166666666666664</v>
      </c>
      <c r="U147" s="288">
        <f>'Manual Manpower Database'!AU140</f>
        <v>208.33333333333334</v>
      </c>
      <c r="V147" s="288">
        <f>'Manual Manpower Database'!AV140</f>
        <v>0</v>
      </c>
      <c r="W147" s="288">
        <f>'Manual Manpower Database'!AW140</f>
        <v>8.3333333333333339</v>
      </c>
      <c r="X147" s="288">
        <f>'Manual Manpower Database'!AX140</f>
        <v>55.555555555555557</v>
      </c>
      <c r="Y147" s="288">
        <f t="shared" si="8"/>
        <v>4994.8937058445727</v>
      </c>
    </row>
    <row r="148" spans="2:25" x14ac:dyDescent="0.25">
      <c r="B148" s="2" t="s">
        <v>220</v>
      </c>
      <c r="C148" s="1" t="s">
        <v>1072</v>
      </c>
      <c r="D148" s="2" t="s">
        <v>328</v>
      </c>
      <c r="E148" s="2" t="s">
        <v>329</v>
      </c>
      <c r="F148" s="1" t="s">
        <v>1104</v>
      </c>
      <c r="G148" s="2" t="s">
        <v>1189</v>
      </c>
      <c r="H148" s="1" t="str">
        <f t="shared" si="9"/>
        <v>05500010</v>
      </c>
      <c r="J148" s="288">
        <f>'Manual Manpower Database'!AJ141</f>
        <v>1100</v>
      </c>
      <c r="K148" s="288">
        <f>'Manual Manpower Database'!AK141</f>
        <v>0</v>
      </c>
      <c r="L148" s="288">
        <f>'Manual Manpower Database'!AL141</f>
        <v>0</v>
      </c>
      <c r="M148" s="288">
        <f>'Manual Manpower Database'!AM141</f>
        <v>150</v>
      </c>
      <c r="N148" s="288">
        <f>'Manual Manpower Database'!AN141</f>
        <v>45.833333333333336</v>
      </c>
      <c r="O148" s="288">
        <f>'Manual Manpower Database'!AO141</f>
        <v>0</v>
      </c>
      <c r="P148" s="288">
        <f>'Manual Manpower Database'!AP141</f>
        <v>22.916666666666668</v>
      </c>
      <c r="Q148" s="288">
        <f>'Manual Manpower Database'!AQ141</f>
        <v>22</v>
      </c>
      <c r="R148" s="288">
        <f>'Manual Manpower Database'!AR141</f>
        <v>125</v>
      </c>
      <c r="S148" s="288">
        <f>'Manual Manpower Database'!AS141</f>
        <v>41.666666666666664</v>
      </c>
      <c r="T148" s="288">
        <f>'Manual Manpower Database'!AT141</f>
        <v>54.166666666666664</v>
      </c>
      <c r="U148" s="288">
        <f>'Manual Manpower Database'!AU141</f>
        <v>208.33333333333334</v>
      </c>
      <c r="V148" s="288">
        <f>'Manual Manpower Database'!AV141</f>
        <v>0</v>
      </c>
      <c r="W148" s="288">
        <f>'Manual Manpower Database'!AW141</f>
        <v>8.3333333333333339</v>
      </c>
      <c r="X148" s="288">
        <f>'Manual Manpower Database'!AX141</f>
        <v>55.555555555555557</v>
      </c>
      <c r="Y148" s="288">
        <f t="shared" si="8"/>
        <v>1833.8055555555557</v>
      </c>
    </row>
    <row r="149" spans="2:25" x14ac:dyDescent="0.25">
      <c r="B149" s="2" t="s">
        <v>218</v>
      </c>
      <c r="C149" s="1" t="s">
        <v>1186</v>
      </c>
      <c r="D149" s="2" t="s">
        <v>322</v>
      </c>
      <c r="E149" s="2" t="s">
        <v>323</v>
      </c>
      <c r="F149" s="1" t="s">
        <v>530</v>
      </c>
      <c r="G149" s="2" t="s">
        <v>1189</v>
      </c>
      <c r="H149" s="1" t="str">
        <f t="shared" si="9"/>
        <v>03400010</v>
      </c>
      <c r="J149" s="288">
        <v>1208.955223880597</v>
      </c>
      <c r="K149" s="288">
        <v>0</v>
      </c>
      <c r="L149" s="288">
        <v>0</v>
      </c>
      <c r="M149" s="288">
        <v>150</v>
      </c>
      <c r="N149" s="288">
        <v>50.373134328358212</v>
      </c>
      <c r="O149" s="288">
        <v>0</v>
      </c>
      <c r="P149" s="288">
        <v>25.186567164179106</v>
      </c>
      <c r="Q149" s="288">
        <v>24.17910447761194</v>
      </c>
      <c r="R149" s="288">
        <v>125</v>
      </c>
      <c r="S149" s="288">
        <v>41.666666666666664</v>
      </c>
      <c r="T149" s="288">
        <v>54.166666666666664</v>
      </c>
      <c r="U149" s="288">
        <v>208.33333333333334</v>
      </c>
      <c r="V149" s="288">
        <v>0</v>
      </c>
      <c r="W149" s="288">
        <v>8.3333333333333339</v>
      </c>
      <c r="X149" s="288">
        <v>55.555555555555557</v>
      </c>
      <c r="Y149" s="288">
        <v>1951.7495854063018</v>
      </c>
    </row>
    <row r="150" spans="2:25" x14ac:dyDescent="0.25">
      <c r="B150" s="2" t="s">
        <v>218</v>
      </c>
      <c r="C150" s="1" t="s">
        <v>1186</v>
      </c>
      <c r="D150" s="2" t="s">
        <v>320</v>
      </c>
      <c r="E150" s="2" t="s">
        <v>1172</v>
      </c>
      <c r="F150" s="1" t="s">
        <v>527</v>
      </c>
      <c r="G150" s="2" t="s">
        <v>1198</v>
      </c>
      <c r="H150" s="1" t="str">
        <f t="shared" si="9"/>
        <v>03300060</v>
      </c>
      <c r="J150" s="288">
        <f>'Manual Manpower Database'!AJ142</f>
        <v>897.91522157996144</v>
      </c>
      <c r="K150" s="288">
        <f>'Manual Manpower Database'!AK142</f>
        <v>0</v>
      </c>
      <c r="L150" s="288">
        <f>'Manual Manpower Database'!AL142</f>
        <v>0</v>
      </c>
      <c r="M150" s="288">
        <f>'Manual Manpower Database'!AM142</f>
        <v>250</v>
      </c>
      <c r="N150" s="288">
        <f>'Manual Manpower Database'!AN142</f>
        <v>37.413134232498393</v>
      </c>
      <c r="O150" s="288">
        <f>'Manual Manpower Database'!AO142</f>
        <v>0</v>
      </c>
      <c r="P150" s="288">
        <f>'Manual Manpower Database'!AP142</f>
        <v>18.706567116249197</v>
      </c>
      <c r="Q150" s="288">
        <f>'Manual Manpower Database'!AQ142</f>
        <v>17.958304431599228</v>
      </c>
      <c r="R150" s="288">
        <f>'Manual Manpower Database'!AR142</f>
        <v>125</v>
      </c>
      <c r="S150" s="288">
        <f>'Manual Manpower Database'!AS142</f>
        <v>41.666666666666664</v>
      </c>
      <c r="T150" s="288">
        <f>'Manual Manpower Database'!AT142</f>
        <v>54.166666666666664</v>
      </c>
      <c r="U150" s="288">
        <f>'Manual Manpower Database'!AU142</f>
        <v>208.33333333333334</v>
      </c>
      <c r="V150" s="288">
        <f>'Manual Manpower Database'!AV142</f>
        <v>0</v>
      </c>
      <c r="W150" s="288">
        <f>'Manual Manpower Database'!AW142</f>
        <v>8.3333333333333339</v>
      </c>
      <c r="X150" s="288">
        <f>'Manual Manpower Database'!AX142</f>
        <v>55.555555555555557</v>
      </c>
      <c r="Y150" s="288">
        <f t="shared" si="8"/>
        <v>1715.0487829158637</v>
      </c>
    </row>
    <row r="151" spans="2:25" x14ac:dyDescent="0.25">
      <c r="B151" s="2" t="s">
        <v>402</v>
      </c>
      <c r="C151" s="1" t="s">
        <v>1184</v>
      </c>
      <c r="D151" s="2" t="s">
        <v>1166</v>
      </c>
      <c r="E151" s="2" t="s">
        <v>1167</v>
      </c>
      <c r="F151" s="1" t="s">
        <v>1105</v>
      </c>
      <c r="G151" s="2" t="s">
        <v>1219</v>
      </c>
      <c r="H151" s="1" t="str">
        <f t="shared" si="9"/>
        <v>01500066</v>
      </c>
      <c r="J151" s="288">
        <f>'Manual Manpower Database'!AJ143</f>
        <v>1706.7454545454545</v>
      </c>
      <c r="K151" s="288">
        <f>'Manual Manpower Database'!AK143</f>
        <v>0</v>
      </c>
      <c r="L151" s="288">
        <f>'Manual Manpower Database'!AL143</f>
        <v>0</v>
      </c>
      <c r="M151" s="288">
        <f>'Manual Manpower Database'!AM143</f>
        <v>250</v>
      </c>
      <c r="N151" s="288">
        <f>'Manual Manpower Database'!AN143</f>
        <v>71.114393939393935</v>
      </c>
      <c r="O151" s="288">
        <f>'Manual Manpower Database'!AO143</f>
        <v>0</v>
      </c>
      <c r="P151" s="288">
        <f>'Manual Manpower Database'!AP143</f>
        <v>35.557196969696967</v>
      </c>
      <c r="Q151" s="288">
        <f>'Manual Manpower Database'!AQ143</f>
        <v>34.13490909090909</v>
      </c>
      <c r="R151" s="288">
        <f>'Manual Manpower Database'!AR143</f>
        <v>125</v>
      </c>
      <c r="S151" s="288">
        <f>'Manual Manpower Database'!AS143</f>
        <v>41.666666666666664</v>
      </c>
      <c r="T151" s="288">
        <f>'Manual Manpower Database'!AT143</f>
        <v>54.166666666666664</v>
      </c>
      <c r="U151" s="288">
        <f>'Manual Manpower Database'!AU143</f>
        <v>208.33333333333334</v>
      </c>
      <c r="V151" s="288">
        <f>'Manual Manpower Database'!AV143</f>
        <v>0</v>
      </c>
      <c r="W151" s="288">
        <f>'Manual Manpower Database'!AW143</f>
        <v>8.3333333333333339</v>
      </c>
      <c r="X151" s="288">
        <f>'Manual Manpower Database'!AX143</f>
        <v>55.555555555555557</v>
      </c>
      <c r="Y151" s="288">
        <f t="shared" si="8"/>
        <v>2590.6075101010101</v>
      </c>
    </row>
    <row r="152" spans="2:25" x14ac:dyDescent="0.25">
      <c r="B152" s="2" t="s">
        <v>402</v>
      </c>
      <c r="C152" s="1" t="s">
        <v>1184</v>
      </c>
      <c r="D152" s="2" t="s">
        <v>1166</v>
      </c>
      <c r="E152" s="2" t="s">
        <v>1167</v>
      </c>
      <c r="F152" s="1" t="s">
        <v>1106</v>
      </c>
      <c r="G152" s="2" t="s">
        <v>1220</v>
      </c>
      <c r="H152" s="1" t="str">
        <f t="shared" si="9"/>
        <v>01500069</v>
      </c>
      <c r="J152" s="288">
        <f>'Manual Manpower Database'!AJ144</f>
        <v>1800</v>
      </c>
      <c r="K152" s="288">
        <f>'Manual Manpower Database'!AK144</f>
        <v>0</v>
      </c>
      <c r="L152" s="288">
        <f>'Manual Manpower Database'!AL144</f>
        <v>0</v>
      </c>
      <c r="M152" s="288">
        <f>'Manual Manpower Database'!AM144</f>
        <v>150</v>
      </c>
      <c r="N152" s="288">
        <f>'Manual Manpower Database'!AN144</f>
        <v>75</v>
      </c>
      <c r="O152" s="288">
        <f>'Manual Manpower Database'!AO144</f>
        <v>0</v>
      </c>
      <c r="P152" s="288">
        <f>'Manual Manpower Database'!AP144</f>
        <v>37.5</v>
      </c>
      <c r="Q152" s="288">
        <f>'Manual Manpower Database'!AQ144</f>
        <v>36</v>
      </c>
      <c r="R152" s="288">
        <f>'Manual Manpower Database'!AR144</f>
        <v>125</v>
      </c>
      <c r="S152" s="288">
        <f>'Manual Manpower Database'!AS144</f>
        <v>41.666666666666664</v>
      </c>
      <c r="T152" s="288">
        <f>'Manual Manpower Database'!AT144</f>
        <v>54.166666666666664</v>
      </c>
      <c r="U152" s="288">
        <f>'Manual Manpower Database'!AU144</f>
        <v>208.33333333333334</v>
      </c>
      <c r="V152" s="288">
        <f>'Manual Manpower Database'!AV144</f>
        <v>0</v>
      </c>
      <c r="W152" s="288">
        <f>'Manual Manpower Database'!AW144</f>
        <v>8.3333333333333339</v>
      </c>
      <c r="X152" s="288">
        <f>'Manual Manpower Database'!AX144</f>
        <v>55.555555555555557</v>
      </c>
      <c r="Y152" s="288">
        <f t="shared" si="8"/>
        <v>2591.5555555555557</v>
      </c>
    </row>
    <row r="153" spans="2:25" x14ac:dyDescent="0.25">
      <c r="B153" s="2" t="s">
        <v>402</v>
      </c>
      <c r="C153" s="1" t="s">
        <v>1184</v>
      </c>
      <c r="D153" s="2" t="s">
        <v>1166</v>
      </c>
      <c r="E153" s="2" t="s">
        <v>1167</v>
      </c>
      <c r="F153" s="1" t="s">
        <v>1108</v>
      </c>
      <c r="G153" s="2" t="s">
        <v>1221</v>
      </c>
      <c r="H153" s="1" t="str">
        <f t="shared" si="9"/>
        <v>01500072</v>
      </c>
      <c r="J153" s="288">
        <f>'Manual Manpower Database'!AJ145</f>
        <v>842.5</v>
      </c>
      <c r="K153" s="288">
        <f>'Manual Manpower Database'!AK145</f>
        <v>300</v>
      </c>
      <c r="L153" s="288">
        <f>'Manual Manpower Database'!AL145</f>
        <v>0</v>
      </c>
      <c r="M153" s="288">
        <f>'Manual Manpower Database'!AM145</f>
        <v>200</v>
      </c>
      <c r="N153" s="288">
        <f>'Manual Manpower Database'!AN145</f>
        <v>35.104166666666664</v>
      </c>
      <c r="O153" s="288">
        <f>'Manual Manpower Database'!AO145</f>
        <v>0</v>
      </c>
      <c r="P153" s="288">
        <f>'Manual Manpower Database'!AP145</f>
        <v>17.552083333333332</v>
      </c>
      <c r="Q153" s="288">
        <f>'Manual Manpower Database'!AQ145</f>
        <v>16.850000000000001</v>
      </c>
      <c r="R153" s="288">
        <f>'Manual Manpower Database'!AR145</f>
        <v>125</v>
      </c>
      <c r="S153" s="288">
        <f>'Manual Manpower Database'!AS145</f>
        <v>41.666666666666664</v>
      </c>
      <c r="T153" s="288">
        <f>'Manual Manpower Database'!AT145</f>
        <v>54.166666666666664</v>
      </c>
      <c r="U153" s="288">
        <f>'Manual Manpower Database'!AU145</f>
        <v>208.33333333333334</v>
      </c>
      <c r="V153" s="288">
        <f>'Manual Manpower Database'!AV145</f>
        <v>0</v>
      </c>
      <c r="W153" s="288">
        <f>'Manual Manpower Database'!AW145</f>
        <v>8.3333333333333339</v>
      </c>
      <c r="X153" s="288">
        <f>'Manual Manpower Database'!AX145</f>
        <v>55.555555555555557</v>
      </c>
      <c r="Y153" s="288">
        <f t="shared" si="8"/>
        <v>1905.0618055555556</v>
      </c>
    </row>
    <row r="154" spans="2:25" x14ac:dyDescent="0.25">
      <c r="B154" s="2" t="s">
        <v>217</v>
      </c>
      <c r="C154" s="1" t="s">
        <v>1179</v>
      </c>
      <c r="D154" s="2" t="s">
        <v>316</v>
      </c>
      <c r="E154" s="2" t="s">
        <v>1175</v>
      </c>
      <c r="F154" s="1" t="s">
        <v>603</v>
      </c>
      <c r="G154" s="2" t="s">
        <v>1198</v>
      </c>
      <c r="H154" s="1" t="str">
        <f t="shared" si="9"/>
        <v>02200060</v>
      </c>
      <c r="J154" s="288">
        <v>2132.962962962963</v>
      </c>
      <c r="K154" s="288">
        <v>400</v>
      </c>
      <c r="L154" s="288">
        <v>0</v>
      </c>
      <c r="M154" s="288">
        <v>200</v>
      </c>
      <c r="N154" s="288">
        <v>88.873456790123456</v>
      </c>
      <c r="O154" s="288">
        <v>0</v>
      </c>
      <c r="P154" s="288">
        <v>44.436728395061728</v>
      </c>
      <c r="Q154" s="288">
        <v>42.659259259259265</v>
      </c>
      <c r="R154" s="288">
        <v>125</v>
      </c>
      <c r="S154" s="288">
        <v>41.666666666666664</v>
      </c>
      <c r="T154" s="288">
        <v>54.166666666666664</v>
      </c>
      <c r="U154" s="288">
        <v>208.33333333333334</v>
      </c>
      <c r="V154" s="288">
        <v>0</v>
      </c>
      <c r="W154" s="288">
        <v>8.3333333333333339</v>
      </c>
      <c r="X154" s="288">
        <v>55.555555555555557</v>
      </c>
      <c r="Y154" s="288">
        <v>3401.9879629629631</v>
      </c>
    </row>
    <row r="155" spans="2:25" x14ac:dyDescent="0.25">
      <c r="B155" s="2" t="s">
        <v>402</v>
      </c>
      <c r="C155" s="1" t="s">
        <v>1184</v>
      </c>
      <c r="D155" s="2" t="s">
        <v>1176</v>
      </c>
      <c r="E155" s="2" t="s">
        <v>1177</v>
      </c>
      <c r="F155" s="1" t="s">
        <v>555</v>
      </c>
      <c r="G155" s="2" t="s">
        <v>1196</v>
      </c>
      <c r="H155" s="1" t="str">
        <f t="shared" si="9"/>
        <v>15900045</v>
      </c>
      <c r="J155" s="288">
        <f>'Manual Manpower Database'!AJ146</f>
        <v>2132.962962962963</v>
      </c>
      <c r="K155" s="288">
        <f>'Manual Manpower Database'!AK146</f>
        <v>400</v>
      </c>
      <c r="L155" s="288">
        <f>'Manual Manpower Database'!AL146</f>
        <v>0</v>
      </c>
      <c r="M155" s="288">
        <f>'Manual Manpower Database'!AM146</f>
        <v>200</v>
      </c>
      <c r="N155" s="288">
        <f>'Manual Manpower Database'!AN146</f>
        <v>88.873456790123456</v>
      </c>
      <c r="O155" s="288">
        <f>'Manual Manpower Database'!AO146</f>
        <v>0</v>
      </c>
      <c r="P155" s="288">
        <f>'Manual Manpower Database'!AP146</f>
        <v>44.436728395061728</v>
      </c>
      <c r="Q155" s="288">
        <f>'Manual Manpower Database'!AQ146</f>
        <v>42.659259259259265</v>
      </c>
      <c r="R155" s="288">
        <f>'Manual Manpower Database'!AR146</f>
        <v>125</v>
      </c>
      <c r="S155" s="288">
        <f>'Manual Manpower Database'!AS146</f>
        <v>41.666666666666664</v>
      </c>
      <c r="T155" s="288">
        <f>'Manual Manpower Database'!AT146</f>
        <v>54.166666666666664</v>
      </c>
      <c r="U155" s="288">
        <f>'Manual Manpower Database'!AU146</f>
        <v>208.33333333333334</v>
      </c>
      <c r="V155" s="288">
        <f>'Manual Manpower Database'!AV146</f>
        <v>0</v>
      </c>
      <c r="W155" s="288">
        <f>'Manual Manpower Database'!AW146</f>
        <v>8.3333333333333339</v>
      </c>
      <c r="X155" s="288">
        <f>'Manual Manpower Database'!AX146</f>
        <v>55.555555555555557</v>
      </c>
      <c r="Y155" s="288">
        <f t="shared" si="8"/>
        <v>3401.9879629629631</v>
      </c>
    </row>
    <row r="156" spans="2:25" x14ac:dyDescent="0.25">
      <c r="B156" s="2" t="s">
        <v>278</v>
      </c>
      <c r="C156" s="1" t="s">
        <v>1187</v>
      </c>
      <c r="D156" s="2" t="s">
        <v>1176</v>
      </c>
      <c r="E156" s="2" t="s">
        <v>1177</v>
      </c>
      <c r="F156" s="1" t="s">
        <v>1109</v>
      </c>
      <c r="G156" s="2" t="s">
        <v>1197</v>
      </c>
      <c r="H156" s="1" t="str">
        <f t="shared" si="9"/>
        <v>15900050</v>
      </c>
      <c r="J156" s="288">
        <f>'Manual Manpower Database'!AJ147</f>
        <v>1256.25</v>
      </c>
      <c r="K156" s="288">
        <f>'Manual Manpower Database'!AK147</f>
        <v>0</v>
      </c>
      <c r="L156" s="288">
        <f>'Manual Manpower Database'!AL147</f>
        <v>0</v>
      </c>
      <c r="M156" s="288">
        <f>'Manual Manpower Database'!AM147</f>
        <v>250</v>
      </c>
      <c r="N156" s="288">
        <f>'Manual Manpower Database'!AN147</f>
        <v>52.34375</v>
      </c>
      <c r="O156" s="288">
        <f>'Manual Manpower Database'!AO147</f>
        <v>0</v>
      </c>
      <c r="P156" s="288">
        <f>'Manual Manpower Database'!AP147</f>
        <v>26.171875</v>
      </c>
      <c r="Q156" s="288">
        <f>'Manual Manpower Database'!AQ147</f>
        <v>25.125</v>
      </c>
      <c r="R156" s="288">
        <f>'Manual Manpower Database'!AR147</f>
        <v>125</v>
      </c>
      <c r="S156" s="288">
        <f>'Manual Manpower Database'!AS147</f>
        <v>41.666666666666664</v>
      </c>
      <c r="T156" s="288">
        <f>'Manual Manpower Database'!AT147</f>
        <v>54.166666666666664</v>
      </c>
      <c r="U156" s="288">
        <f>'Manual Manpower Database'!AU147</f>
        <v>208.33333333333334</v>
      </c>
      <c r="V156" s="288">
        <f>'Manual Manpower Database'!AV147</f>
        <v>0</v>
      </c>
      <c r="W156" s="288">
        <f>'Manual Manpower Database'!AW147</f>
        <v>8.3333333333333339</v>
      </c>
      <c r="X156" s="288">
        <f>'Manual Manpower Database'!AX147</f>
        <v>55.555555555555557</v>
      </c>
      <c r="Y156" s="288">
        <f t="shared" si="8"/>
        <v>2102.9461805555557</v>
      </c>
    </row>
    <row r="157" spans="2:25" x14ac:dyDescent="0.25">
      <c r="B157" s="2" t="s">
        <v>402</v>
      </c>
      <c r="C157" s="1" t="s">
        <v>1184</v>
      </c>
      <c r="D157" s="2" t="s">
        <v>1168</v>
      </c>
      <c r="E157" s="2" t="s">
        <v>1169</v>
      </c>
      <c r="F157" s="1" t="s">
        <v>553</v>
      </c>
      <c r="G157" s="2" t="s">
        <v>1225</v>
      </c>
      <c r="H157" s="1" t="str">
        <f t="shared" si="9"/>
        <v>01700084</v>
      </c>
      <c r="J157" s="288">
        <v>3869.6491228070176</v>
      </c>
      <c r="K157" s="288">
        <v>400</v>
      </c>
      <c r="L157" s="288">
        <v>967.41228070175441</v>
      </c>
      <c r="M157" s="288">
        <v>0</v>
      </c>
      <c r="N157" s="288">
        <v>322.47076023391816</v>
      </c>
      <c r="O157" s="288">
        <v>644.94152046783631</v>
      </c>
      <c r="P157" s="288">
        <v>161.23538011695908</v>
      </c>
      <c r="Q157" s="288">
        <v>96.741228070175438</v>
      </c>
      <c r="R157" s="288">
        <v>250</v>
      </c>
      <c r="S157" s="288">
        <v>41.666666666666664</v>
      </c>
      <c r="T157" s="288">
        <v>54.166666666666664</v>
      </c>
      <c r="U157" s="288">
        <v>208.33333333333334</v>
      </c>
      <c r="V157" s="288">
        <v>118.23927875243665</v>
      </c>
      <c r="W157" s="288">
        <v>8.3333333333333339</v>
      </c>
      <c r="X157" s="288">
        <v>55.555555555555557</v>
      </c>
      <c r="Y157" s="288">
        <v>7198.745126705654</v>
      </c>
    </row>
    <row r="158" spans="2:25" x14ac:dyDescent="0.25">
      <c r="B158" s="2" t="s">
        <v>402</v>
      </c>
      <c r="C158" s="1" t="s">
        <v>1184</v>
      </c>
      <c r="D158" s="2" t="s">
        <v>1170</v>
      </c>
      <c r="E158" s="2" t="s">
        <v>1171</v>
      </c>
      <c r="F158" s="1" t="s">
        <v>1110</v>
      </c>
      <c r="G158" s="2" t="s">
        <v>1193</v>
      </c>
      <c r="H158" s="1" t="str">
        <f t="shared" si="9"/>
        <v>01800030</v>
      </c>
      <c r="J158" s="288">
        <f>'Manual Manpower Database'!AJ148</f>
        <v>3566.6666666666665</v>
      </c>
      <c r="K158" s="288">
        <f>'Manual Manpower Database'!AK148</f>
        <v>300</v>
      </c>
      <c r="L158" s="288">
        <f>'Manual Manpower Database'!AL148</f>
        <v>0</v>
      </c>
      <c r="M158" s="288">
        <f>'Manual Manpower Database'!AM148</f>
        <v>0</v>
      </c>
      <c r="N158" s="288">
        <f>'Manual Manpower Database'!AN148</f>
        <v>148.61111111111111</v>
      </c>
      <c r="O158" s="288">
        <f>'Manual Manpower Database'!AO148</f>
        <v>0</v>
      </c>
      <c r="P158" s="288">
        <f>'Manual Manpower Database'!AP148</f>
        <v>74.305555555555557</v>
      </c>
      <c r="Q158" s="288">
        <f>'Manual Manpower Database'!AQ148</f>
        <v>71.333333333333329</v>
      </c>
      <c r="R158" s="288">
        <f>'Manual Manpower Database'!AR148</f>
        <v>125</v>
      </c>
      <c r="S158" s="288">
        <f>'Manual Manpower Database'!AS148</f>
        <v>41.666666666666664</v>
      </c>
      <c r="T158" s="288">
        <f>'Manual Manpower Database'!AT148</f>
        <v>54.166666666666664</v>
      </c>
      <c r="U158" s="288">
        <f>'Manual Manpower Database'!AU148</f>
        <v>208.33333333333334</v>
      </c>
      <c r="V158" s="288">
        <f>'Manual Manpower Database'!AV148</f>
        <v>0</v>
      </c>
      <c r="W158" s="288">
        <f>'Manual Manpower Database'!AW148</f>
        <v>8.3333333333333339</v>
      </c>
      <c r="X158" s="288">
        <f>'Manual Manpower Database'!AX148</f>
        <v>55.555555555555557</v>
      </c>
      <c r="Y158" s="288">
        <f t="shared" si="8"/>
        <v>4653.9722222222226</v>
      </c>
    </row>
    <row r="159" spans="2:25" x14ac:dyDescent="0.25">
      <c r="B159" s="2" t="s">
        <v>402</v>
      </c>
      <c r="C159" s="1" t="s">
        <v>1184</v>
      </c>
      <c r="D159" s="2" t="s">
        <v>1162</v>
      </c>
      <c r="E159" s="2" t="s">
        <v>1165</v>
      </c>
      <c r="F159" s="1" t="s">
        <v>1111</v>
      </c>
      <c r="G159" s="2" t="s">
        <v>1189</v>
      </c>
      <c r="H159" s="1" t="str">
        <f t="shared" si="9"/>
        <v>01400010</v>
      </c>
      <c r="J159" s="288">
        <f>'Manual Manpower Database'!AJ149</f>
        <v>2948.5714285714284</v>
      </c>
      <c r="K159" s="288">
        <f>'Manual Manpower Database'!AK149</f>
        <v>400</v>
      </c>
      <c r="L159" s="288">
        <f>'Manual Manpower Database'!AL149</f>
        <v>737.14285714285722</v>
      </c>
      <c r="M159" s="288">
        <f>'Manual Manpower Database'!AM149</f>
        <v>150</v>
      </c>
      <c r="N159" s="288">
        <f>'Manual Manpower Database'!AN149</f>
        <v>122.85714285714285</v>
      </c>
      <c r="O159" s="288">
        <f>'Manual Manpower Database'!AO149</f>
        <v>0</v>
      </c>
      <c r="P159" s="288">
        <f>'Manual Manpower Database'!AP149</f>
        <v>61.428571428571423</v>
      </c>
      <c r="Q159" s="288">
        <f>'Manual Manpower Database'!AQ149</f>
        <v>73.714285714285722</v>
      </c>
      <c r="R159" s="288">
        <f>'Manual Manpower Database'!AR149</f>
        <v>125</v>
      </c>
      <c r="S159" s="288">
        <f>'Manual Manpower Database'!AS149</f>
        <v>41.666666666666664</v>
      </c>
      <c r="T159" s="288">
        <f>'Manual Manpower Database'!AT149</f>
        <v>54.166666666666664</v>
      </c>
      <c r="U159" s="288">
        <f>'Manual Manpower Database'!AU149</f>
        <v>208.33333333333334</v>
      </c>
      <c r="V159" s="288">
        <f>'Manual Manpower Database'!AV149</f>
        <v>0</v>
      </c>
      <c r="W159" s="288">
        <f>'Manual Manpower Database'!AW149</f>
        <v>8.3333333333333339</v>
      </c>
      <c r="X159" s="288">
        <f>'Manual Manpower Database'!AX149</f>
        <v>55.555555555555557</v>
      </c>
      <c r="Y159" s="288">
        <f t="shared" si="8"/>
        <v>4986.7698412698419</v>
      </c>
    </row>
    <row r="160" spans="2:25" x14ac:dyDescent="0.25">
      <c r="B160" s="2" t="s">
        <v>402</v>
      </c>
      <c r="C160" s="1" t="s">
        <v>1184</v>
      </c>
      <c r="D160" s="2" t="s">
        <v>1170</v>
      </c>
      <c r="E160" s="2" t="s">
        <v>1171</v>
      </c>
      <c r="F160" s="1" t="s">
        <v>1112</v>
      </c>
      <c r="G160" s="2" t="s">
        <v>1194</v>
      </c>
      <c r="H160" s="1" t="str">
        <f t="shared" si="9"/>
        <v>01800035</v>
      </c>
      <c r="J160" s="288">
        <f>'Manual Manpower Database'!AJ150</f>
        <v>1740</v>
      </c>
      <c r="K160" s="288">
        <f>'Manual Manpower Database'!AK150</f>
        <v>300</v>
      </c>
      <c r="L160" s="288">
        <f>'Manual Manpower Database'!AL150</f>
        <v>0</v>
      </c>
      <c r="M160" s="288">
        <f>'Manual Manpower Database'!AM150</f>
        <v>150</v>
      </c>
      <c r="N160" s="288">
        <f>'Manual Manpower Database'!AN150</f>
        <v>72.5</v>
      </c>
      <c r="O160" s="288">
        <f>'Manual Manpower Database'!AO150</f>
        <v>0</v>
      </c>
      <c r="P160" s="288">
        <f>'Manual Manpower Database'!AP150</f>
        <v>36.25</v>
      </c>
      <c r="Q160" s="288">
        <f>'Manual Manpower Database'!AQ150</f>
        <v>34.800000000000004</v>
      </c>
      <c r="R160" s="288">
        <f>'Manual Manpower Database'!AR150</f>
        <v>125</v>
      </c>
      <c r="S160" s="288">
        <f>'Manual Manpower Database'!AS150</f>
        <v>41.666666666666664</v>
      </c>
      <c r="T160" s="288">
        <f>'Manual Manpower Database'!AT150</f>
        <v>54.166666666666664</v>
      </c>
      <c r="U160" s="288">
        <f>'Manual Manpower Database'!AU150</f>
        <v>208.33333333333334</v>
      </c>
      <c r="V160" s="288">
        <f>'Manual Manpower Database'!AV150</f>
        <v>0</v>
      </c>
      <c r="W160" s="288">
        <f>'Manual Manpower Database'!AW150</f>
        <v>8.3333333333333339</v>
      </c>
      <c r="X160" s="288">
        <f>'Manual Manpower Database'!AX150</f>
        <v>55.555555555555557</v>
      </c>
      <c r="Y160" s="288">
        <f t="shared" si="8"/>
        <v>2826.6055555555558</v>
      </c>
    </row>
    <row r="161" spans="2:25" x14ac:dyDescent="0.25">
      <c r="B161" s="2" t="s">
        <v>402</v>
      </c>
      <c r="C161" s="1" t="s">
        <v>1184</v>
      </c>
      <c r="D161" s="2" t="s">
        <v>1162</v>
      </c>
      <c r="E161" s="2" t="s">
        <v>1165</v>
      </c>
      <c r="F161" s="1" t="s">
        <v>1113</v>
      </c>
      <c r="G161" s="2" t="s">
        <v>1190</v>
      </c>
      <c r="H161" s="1" t="str">
        <f t="shared" si="9"/>
        <v>01400015</v>
      </c>
      <c r="J161" s="288">
        <f>'Manual Manpower Database'!AJ151</f>
        <v>1500</v>
      </c>
      <c r="K161" s="288">
        <f>'Manual Manpower Database'!AK151</f>
        <v>0</v>
      </c>
      <c r="L161" s="288">
        <f>'Manual Manpower Database'!AL151</f>
        <v>0</v>
      </c>
      <c r="M161" s="288">
        <f>'Manual Manpower Database'!AM151</f>
        <v>150</v>
      </c>
      <c r="N161" s="288">
        <f>'Manual Manpower Database'!AN151</f>
        <v>62.5</v>
      </c>
      <c r="O161" s="288">
        <f>'Manual Manpower Database'!AO151</f>
        <v>0</v>
      </c>
      <c r="P161" s="288">
        <f>'Manual Manpower Database'!AP151</f>
        <v>31.25</v>
      </c>
      <c r="Q161" s="288">
        <f>'Manual Manpower Database'!AQ151</f>
        <v>30</v>
      </c>
      <c r="R161" s="288">
        <f>'Manual Manpower Database'!AR151</f>
        <v>125</v>
      </c>
      <c r="S161" s="288">
        <f>'Manual Manpower Database'!AS151</f>
        <v>41.666666666666664</v>
      </c>
      <c r="T161" s="288">
        <f>'Manual Manpower Database'!AT151</f>
        <v>54.166666666666664</v>
      </c>
      <c r="U161" s="288">
        <f>'Manual Manpower Database'!AU151</f>
        <v>208.33333333333334</v>
      </c>
      <c r="V161" s="288">
        <f>'Manual Manpower Database'!AV151</f>
        <v>0</v>
      </c>
      <c r="W161" s="288">
        <f>'Manual Manpower Database'!AW151</f>
        <v>8.3333333333333339</v>
      </c>
      <c r="X161" s="288">
        <f>'Manual Manpower Database'!AX151</f>
        <v>55.555555555555557</v>
      </c>
      <c r="Y161" s="288">
        <f t="shared" si="8"/>
        <v>2266.8055555555561</v>
      </c>
    </row>
    <row r="162" spans="2:25" x14ac:dyDescent="0.25">
      <c r="B162" s="2" t="s">
        <v>217</v>
      </c>
      <c r="C162" s="1" t="s">
        <v>1179</v>
      </c>
      <c r="D162" s="2" t="s">
        <v>313</v>
      </c>
      <c r="E162" s="2" t="s">
        <v>314</v>
      </c>
      <c r="F162" s="1" t="s">
        <v>1114</v>
      </c>
      <c r="G162" s="2" t="s">
        <v>1191</v>
      </c>
      <c r="H162" s="1" t="str">
        <f t="shared" si="9"/>
        <v>02100020</v>
      </c>
      <c r="J162" s="288">
        <f>'Manual Manpower Database'!AJ152</f>
        <v>388.33333333333331</v>
      </c>
      <c r="K162" s="288">
        <f>'Manual Manpower Database'!AK152</f>
        <v>0</v>
      </c>
      <c r="L162" s="288">
        <f>'Manual Manpower Database'!AL152</f>
        <v>0</v>
      </c>
      <c r="M162" s="288">
        <f>'Manual Manpower Database'!AM152</f>
        <v>150</v>
      </c>
      <c r="N162" s="288">
        <f>'Manual Manpower Database'!AN152</f>
        <v>16.180555555555554</v>
      </c>
      <c r="O162" s="288">
        <f>'Manual Manpower Database'!AO152</f>
        <v>0</v>
      </c>
      <c r="P162" s="288">
        <f>'Manual Manpower Database'!AP152</f>
        <v>8.0902777777777768</v>
      </c>
      <c r="Q162" s="288">
        <f>'Manual Manpower Database'!AQ152</f>
        <v>7.7666666666666666</v>
      </c>
      <c r="R162" s="288">
        <f>'Manual Manpower Database'!AR152</f>
        <v>125</v>
      </c>
      <c r="S162" s="288">
        <f>'Manual Manpower Database'!AS152</f>
        <v>41.666666666666664</v>
      </c>
      <c r="T162" s="288">
        <f>'Manual Manpower Database'!AT152</f>
        <v>54.166666666666664</v>
      </c>
      <c r="U162" s="288">
        <f>'Manual Manpower Database'!AU152</f>
        <v>208.33333333333334</v>
      </c>
      <c r="V162" s="288">
        <f>'Manual Manpower Database'!AV152</f>
        <v>0</v>
      </c>
      <c r="W162" s="288">
        <f>'Manual Manpower Database'!AW152</f>
        <v>8.3333333333333339</v>
      </c>
      <c r="X162" s="288">
        <f>'Manual Manpower Database'!AX152</f>
        <v>55.555555555555557</v>
      </c>
      <c r="Y162" s="288">
        <f t="shared" si="8"/>
        <v>1063.4263888888888</v>
      </c>
    </row>
    <row r="163" spans="2:25" x14ac:dyDescent="0.25">
      <c r="B163" s="2" t="s">
        <v>402</v>
      </c>
      <c r="C163" s="1" t="s">
        <v>1184</v>
      </c>
      <c r="D163" s="2" t="s">
        <v>1168</v>
      </c>
      <c r="E163" s="2" t="s">
        <v>1169</v>
      </c>
      <c r="F163" s="1" t="s">
        <v>1116</v>
      </c>
      <c r="G163" s="2" t="s">
        <v>1220</v>
      </c>
      <c r="H163" s="1" t="str">
        <f t="shared" si="9"/>
        <v>01700069</v>
      </c>
      <c r="J163" s="288">
        <f>'Manual Manpower Database'!AJ153</f>
        <v>1375</v>
      </c>
      <c r="K163" s="288">
        <f>'Manual Manpower Database'!AK153</f>
        <v>0</v>
      </c>
      <c r="L163" s="288">
        <f>'Manual Manpower Database'!AL153</f>
        <v>0</v>
      </c>
      <c r="M163" s="288">
        <f>'Manual Manpower Database'!AM153</f>
        <v>150</v>
      </c>
      <c r="N163" s="288">
        <f>'Manual Manpower Database'!AN153</f>
        <v>57.291666666666664</v>
      </c>
      <c r="O163" s="288">
        <f>'Manual Manpower Database'!AO153</f>
        <v>0</v>
      </c>
      <c r="P163" s="288">
        <f>'Manual Manpower Database'!AP153</f>
        <v>28.645833333333332</v>
      </c>
      <c r="Q163" s="288">
        <f>'Manual Manpower Database'!AQ153</f>
        <v>27.5</v>
      </c>
      <c r="R163" s="288">
        <f>'Manual Manpower Database'!AR153</f>
        <v>125</v>
      </c>
      <c r="S163" s="288">
        <f>'Manual Manpower Database'!AS153</f>
        <v>41.666666666666664</v>
      </c>
      <c r="T163" s="288">
        <f>'Manual Manpower Database'!AT153</f>
        <v>54.166666666666664</v>
      </c>
      <c r="U163" s="288">
        <f>'Manual Manpower Database'!AU153</f>
        <v>208.33333333333334</v>
      </c>
      <c r="V163" s="288">
        <f>'Manual Manpower Database'!AV153</f>
        <v>0</v>
      </c>
      <c r="W163" s="288">
        <f>'Manual Manpower Database'!AW153</f>
        <v>8.3333333333333339</v>
      </c>
      <c r="X163" s="288">
        <f>'Manual Manpower Database'!AX153</f>
        <v>55.555555555555557</v>
      </c>
      <c r="Y163" s="288">
        <f t="shared" si="8"/>
        <v>2131.4930555555561</v>
      </c>
    </row>
    <row r="164" spans="2:25" x14ac:dyDescent="0.25">
      <c r="B164" s="2" t="s">
        <v>402</v>
      </c>
      <c r="C164" s="1" t="s">
        <v>1184</v>
      </c>
      <c r="D164" s="2" t="s">
        <v>1168</v>
      </c>
      <c r="E164" s="2" t="s">
        <v>1169</v>
      </c>
      <c r="F164" s="1" t="s">
        <v>1117</v>
      </c>
      <c r="G164" s="2" t="s">
        <v>1221</v>
      </c>
      <c r="H164" s="1" t="str">
        <f t="shared" si="9"/>
        <v>01700072</v>
      </c>
      <c r="J164" s="288">
        <f>'Manual Manpower Database'!AJ154</f>
        <v>1350</v>
      </c>
      <c r="K164" s="288">
        <f>'Manual Manpower Database'!AK154</f>
        <v>0</v>
      </c>
      <c r="L164" s="288">
        <f>'Manual Manpower Database'!AL154</f>
        <v>0</v>
      </c>
      <c r="M164" s="288">
        <f>'Manual Manpower Database'!AM154</f>
        <v>150</v>
      </c>
      <c r="N164" s="288">
        <f>'Manual Manpower Database'!AN154</f>
        <v>56.25</v>
      </c>
      <c r="O164" s="288">
        <f>'Manual Manpower Database'!AO154</f>
        <v>0</v>
      </c>
      <c r="P164" s="288">
        <f>'Manual Manpower Database'!AP154</f>
        <v>28.125</v>
      </c>
      <c r="Q164" s="288">
        <f>'Manual Manpower Database'!AQ154</f>
        <v>27</v>
      </c>
      <c r="R164" s="288">
        <f>'Manual Manpower Database'!AR154</f>
        <v>125</v>
      </c>
      <c r="S164" s="288">
        <f>'Manual Manpower Database'!AS154</f>
        <v>41.666666666666664</v>
      </c>
      <c r="T164" s="288">
        <f>'Manual Manpower Database'!AT154</f>
        <v>54.166666666666664</v>
      </c>
      <c r="U164" s="288">
        <f>'Manual Manpower Database'!AU154</f>
        <v>208.33333333333334</v>
      </c>
      <c r="V164" s="288">
        <f>'Manual Manpower Database'!AV154</f>
        <v>0</v>
      </c>
      <c r="W164" s="288">
        <f>'Manual Manpower Database'!AW154</f>
        <v>8.3333333333333339</v>
      </c>
      <c r="X164" s="288">
        <f>'Manual Manpower Database'!AX154</f>
        <v>55.555555555555557</v>
      </c>
      <c r="Y164" s="288">
        <f t="shared" si="8"/>
        <v>2104.4305555555557</v>
      </c>
    </row>
    <row r="165" spans="2:25" x14ac:dyDescent="0.25">
      <c r="B165" s="2" t="s">
        <v>402</v>
      </c>
      <c r="C165" s="1" t="s">
        <v>1184</v>
      </c>
      <c r="D165" s="2" t="s">
        <v>1168</v>
      </c>
      <c r="E165" s="2" t="s">
        <v>1169</v>
      </c>
      <c r="F165" s="1" t="s">
        <v>1118</v>
      </c>
      <c r="G165" s="2" t="s">
        <v>1202</v>
      </c>
      <c r="H165" s="1" t="str">
        <f t="shared" si="9"/>
        <v>01700075</v>
      </c>
      <c r="J165" s="288">
        <f>'Manual Manpower Database'!AJ155</f>
        <v>1233.3333333333333</v>
      </c>
      <c r="K165" s="288">
        <f>'Manual Manpower Database'!AK155</f>
        <v>200</v>
      </c>
      <c r="L165" s="288">
        <f>'Manual Manpower Database'!AL155</f>
        <v>0</v>
      </c>
      <c r="M165" s="288">
        <f>'Manual Manpower Database'!AM155</f>
        <v>150</v>
      </c>
      <c r="N165" s="288">
        <f>'Manual Manpower Database'!AN155</f>
        <v>51.388888888888886</v>
      </c>
      <c r="O165" s="288">
        <f>'Manual Manpower Database'!AO155</f>
        <v>0</v>
      </c>
      <c r="P165" s="288">
        <f>'Manual Manpower Database'!AP155</f>
        <v>25.694444444444443</v>
      </c>
      <c r="Q165" s="288">
        <f>'Manual Manpower Database'!AQ155</f>
        <v>24.666666666666664</v>
      </c>
      <c r="R165" s="288">
        <f>'Manual Manpower Database'!AR155</f>
        <v>125</v>
      </c>
      <c r="S165" s="288">
        <f>'Manual Manpower Database'!AS155</f>
        <v>41.666666666666664</v>
      </c>
      <c r="T165" s="288">
        <f>'Manual Manpower Database'!AT155</f>
        <v>54.166666666666664</v>
      </c>
      <c r="U165" s="288">
        <f>'Manual Manpower Database'!AU155</f>
        <v>208.33333333333334</v>
      </c>
      <c r="V165" s="288">
        <f>'Manual Manpower Database'!AV155</f>
        <v>0</v>
      </c>
      <c r="W165" s="288">
        <f>'Manual Manpower Database'!AW155</f>
        <v>8.3333333333333339</v>
      </c>
      <c r="X165" s="288">
        <f>'Manual Manpower Database'!AX155</f>
        <v>55.555555555555557</v>
      </c>
      <c r="Y165" s="288">
        <f t="shared" si="8"/>
        <v>2178.1388888888891</v>
      </c>
    </row>
    <row r="166" spans="2:25" x14ac:dyDescent="0.25">
      <c r="B166" s="2" t="s">
        <v>402</v>
      </c>
      <c r="C166" s="1" t="s">
        <v>1184</v>
      </c>
      <c r="D166" s="2" t="s">
        <v>1168</v>
      </c>
      <c r="E166" s="2" t="s">
        <v>1169</v>
      </c>
      <c r="F166" s="1" t="s">
        <v>1119</v>
      </c>
      <c r="G166" s="2" t="s">
        <v>1222</v>
      </c>
      <c r="H166" s="1" t="str">
        <f t="shared" si="9"/>
        <v>01700078</v>
      </c>
      <c r="J166" s="288">
        <f>'Manual Manpower Database'!AJ156</f>
        <v>3049.0384615384614</v>
      </c>
      <c r="K166" s="288">
        <f>'Manual Manpower Database'!AK156</f>
        <v>400</v>
      </c>
      <c r="L166" s="288">
        <f>'Manual Manpower Database'!AL156</f>
        <v>0</v>
      </c>
      <c r="M166" s="288">
        <f>'Manual Manpower Database'!AM156</f>
        <v>0</v>
      </c>
      <c r="N166" s="288">
        <f>'Manual Manpower Database'!AN156</f>
        <v>127.04326923076923</v>
      </c>
      <c r="O166" s="288">
        <f>'Manual Manpower Database'!AO156</f>
        <v>0</v>
      </c>
      <c r="P166" s="288">
        <f>'Manual Manpower Database'!AP156</f>
        <v>63.521634615384613</v>
      </c>
      <c r="Q166" s="288">
        <f>'Manual Manpower Database'!AQ156</f>
        <v>60.980769230769226</v>
      </c>
      <c r="R166" s="288">
        <f>'Manual Manpower Database'!AR156</f>
        <v>125</v>
      </c>
      <c r="S166" s="288">
        <f>'Manual Manpower Database'!AS156</f>
        <v>41.666666666666664</v>
      </c>
      <c r="T166" s="288">
        <f>'Manual Manpower Database'!AT156</f>
        <v>54.166666666666664</v>
      </c>
      <c r="U166" s="288">
        <f>'Manual Manpower Database'!AU156</f>
        <v>208.33333333333334</v>
      </c>
      <c r="V166" s="288">
        <f>'Manual Manpower Database'!AV156</f>
        <v>0</v>
      </c>
      <c r="W166" s="288">
        <f>'Manual Manpower Database'!AW156</f>
        <v>8.3333333333333339</v>
      </c>
      <c r="X166" s="288">
        <f>'Manual Manpower Database'!AX156</f>
        <v>55.555555555555557</v>
      </c>
      <c r="Y166" s="288">
        <f t="shared" si="8"/>
        <v>4193.6396901709395</v>
      </c>
    </row>
    <row r="167" spans="2:25" x14ac:dyDescent="0.25">
      <c r="B167" s="2" t="s">
        <v>224</v>
      </c>
      <c r="C167" s="1" t="s">
        <v>9</v>
      </c>
      <c r="D167" s="2" t="s">
        <v>358</v>
      </c>
      <c r="E167" s="2" t="s">
        <v>361</v>
      </c>
      <c r="F167" s="1" t="s">
        <v>543</v>
      </c>
      <c r="G167" s="2" t="s">
        <v>800</v>
      </c>
      <c r="H167" s="1" t="str">
        <f t="shared" si="9"/>
        <v>09600005</v>
      </c>
      <c r="J167" s="288">
        <f>'Manual Manpower Database'!AJ157</f>
        <v>1033.0553633217994</v>
      </c>
      <c r="K167" s="288">
        <f>'Manual Manpower Database'!AK157</f>
        <v>0</v>
      </c>
      <c r="L167" s="288">
        <f>'Manual Manpower Database'!AL157</f>
        <v>0</v>
      </c>
      <c r="M167" s="288">
        <f>'Manual Manpower Database'!AM157</f>
        <v>200</v>
      </c>
      <c r="N167" s="288">
        <f>'Manual Manpower Database'!AN157</f>
        <v>43.043973471741644</v>
      </c>
      <c r="O167" s="288">
        <f>'Manual Manpower Database'!AO157</f>
        <v>0</v>
      </c>
      <c r="P167" s="288">
        <f>'Manual Manpower Database'!AP157</f>
        <v>21.521986735870822</v>
      </c>
      <c r="Q167" s="288">
        <f>'Manual Manpower Database'!AQ157</f>
        <v>20.661107266435987</v>
      </c>
      <c r="R167" s="288">
        <f>'Manual Manpower Database'!AR157</f>
        <v>125</v>
      </c>
      <c r="S167" s="288">
        <f>'Manual Manpower Database'!AS157</f>
        <v>41.666666666666664</v>
      </c>
      <c r="T167" s="288">
        <f>'Manual Manpower Database'!AT157</f>
        <v>54.166666666666664</v>
      </c>
      <c r="U167" s="288">
        <f>'Manual Manpower Database'!AU157</f>
        <v>208.33333333333334</v>
      </c>
      <c r="V167" s="288">
        <f>'Manual Manpower Database'!AV157</f>
        <v>0</v>
      </c>
      <c r="W167" s="288">
        <f>'Manual Manpower Database'!AW157</f>
        <v>8.3333333333333339</v>
      </c>
      <c r="X167" s="288">
        <f>'Manual Manpower Database'!AX157</f>
        <v>55.555555555555557</v>
      </c>
      <c r="Y167" s="288">
        <f t="shared" si="8"/>
        <v>1811.3379863514033</v>
      </c>
    </row>
    <row r="168" spans="2:25" x14ac:dyDescent="0.25">
      <c r="B168" s="2" t="s">
        <v>402</v>
      </c>
      <c r="C168" s="1" t="s">
        <v>1184</v>
      </c>
      <c r="D168" s="2" t="s">
        <v>1166</v>
      </c>
      <c r="E168" s="2" t="s">
        <v>1167</v>
      </c>
      <c r="F168" s="1" t="s">
        <v>1121</v>
      </c>
      <c r="G168" s="2" t="s">
        <v>1202</v>
      </c>
      <c r="H168" s="1" t="str">
        <f t="shared" si="9"/>
        <v>01500075</v>
      </c>
      <c r="J168" s="288">
        <f>'Manual Manpower Database'!AJ158</f>
        <v>867.56060606060601</v>
      </c>
      <c r="K168" s="288">
        <f>'Manual Manpower Database'!AK158</f>
        <v>0</v>
      </c>
      <c r="L168" s="288">
        <f>'Manual Manpower Database'!AL158</f>
        <v>0</v>
      </c>
      <c r="M168" s="288">
        <f>'Manual Manpower Database'!AM158</f>
        <v>200</v>
      </c>
      <c r="N168" s="288">
        <f>'Manual Manpower Database'!AN158</f>
        <v>36.148358585858581</v>
      </c>
      <c r="O168" s="288">
        <f>'Manual Manpower Database'!AO158</f>
        <v>0</v>
      </c>
      <c r="P168" s="288">
        <f>'Manual Manpower Database'!AP158</f>
        <v>18.074179292929291</v>
      </c>
      <c r="Q168" s="288">
        <f>'Manual Manpower Database'!AQ158</f>
        <v>17.351212121212122</v>
      </c>
      <c r="R168" s="288">
        <f>'Manual Manpower Database'!AR158</f>
        <v>125</v>
      </c>
      <c r="S168" s="288">
        <f>'Manual Manpower Database'!AS158</f>
        <v>41.666666666666664</v>
      </c>
      <c r="T168" s="288">
        <f>'Manual Manpower Database'!AT158</f>
        <v>54.166666666666664</v>
      </c>
      <c r="U168" s="288">
        <f>'Manual Manpower Database'!AU158</f>
        <v>208.33333333333334</v>
      </c>
      <c r="V168" s="288">
        <f>'Manual Manpower Database'!AV158</f>
        <v>0</v>
      </c>
      <c r="W168" s="288">
        <f>'Manual Manpower Database'!AW158</f>
        <v>8.3333333333333339</v>
      </c>
      <c r="X168" s="288">
        <f>'Manual Manpower Database'!AX158</f>
        <v>55.555555555555557</v>
      </c>
      <c r="Y168" s="288">
        <f t="shared" si="8"/>
        <v>1632.1899116161617</v>
      </c>
    </row>
    <row r="169" spans="2:25" x14ac:dyDescent="0.25">
      <c r="B169" s="2" t="s">
        <v>402</v>
      </c>
      <c r="C169" s="1" t="s">
        <v>1184</v>
      </c>
      <c r="D169" s="2" t="s">
        <v>1170</v>
      </c>
      <c r="E169" s="2" t="s">
        <v>1171</v>
      </c>
      <c r="F169" s="1" t="s">
        <v>1122</v>
      </c>
      <c r="G169" s="2" t="s">
        <v>1195</v>
      </c>
      <c r="H169" s="1" t="str">
        <f t="shared" si="9"/>
        <v>01800040</v>
      </c>
      <c r="J169" s="288">
        <f>'Manual Manpower Database'!AJ159</f>
        <v>625</v>
      </c>
      <c r="K169" s="288">
        <f>'Manual Manpower Database'!AK159</f>
        <v>0</v>
      </c>
      <c r="L169" s="288">
        <f>'Manual Manpower Database'!AL159</f>
        <v>0</v>
      </c>
      <c r="M169" s="288">
        <f>'Manual Manpower Database'!AM159</f>
        <v>200</v>
      </c>
      <c r="N169" s="288">
        <f>'Manual Manpower Database'!AN159</f>
        <v>26.041666666666668</v>
      </c>
      <c r="O169" s="288">
        <f>'Manual Manpower Database'!AO159</f>
        <v>0</v>
      </c>
      <c r="P169" s="288">
        <f>'Manual Manpower Database'!AP159</f>
        <v>13.020833333333334</v>
      </c>
      <c r="Q169" s="288">
        <f>'Manual Manpower Database'!AQ159</f>
        <v>12.5</v>
      </c>
      <c r="R169" s="288">
        <f>'Manual Manpower Database'!AR159</f>
        <v>125</v>
      </c>
      <c r="S169" s="288">
        <f>'Manual Manpower Database'!AS159</f>
        <v>41.666666666666664</v>
      </c>
      <c r="T169" s="288">
        <f>'Manual Manpower Database'!AT159</f>
        <v>54.166666666666664</v>
      </c>
      <c r="U169" s="288">
        <f>'Manual Manpower Database'!AU159</f>
        <v>208.33333333333334</v>
      </c>
      <c r="V169" s="288">
        <f>'Manual Manpower Database'!AV159</f>
        <v>0</v>
      </c>
      <c r="W169" s="288">
        <f>'Manual Manpower Database'!AW159</f>
        <v>8.3333333333333339</v>
      </c>
      <c r="X169" s="288">
        <f>'Manual Manpower Database'!AX159</f>
        <v>55.555555555555557</v>
      </c>
      <c r="Y169" s="288">
        <f t="shared" si="8"/>
        <v>1369.6180555555557</v>
      </c>
    </row>
    <row r="170" spans="2:25" x14ac:dyDescent="0.25">
      <c r="B170" s="2" t="s">
        <v>402</v>
      </c>
      <c r="C170" s="1" t="s">
        <v>1184</v>
      </c>
      <c r="D170" s="2" t="s">
        <v>1168</v>
      </c>
      <c r="E170" s="2" t="s">
        <v>1169</v>
      </c>
      <c r="F170" s="1" t="s">
        <v>551</v>
      </c>
      <c r="G170" s="2" t="s">
        <v>1223</v>
      </c>
      <c r="H170" s="1" t="str">
        <f t="shared" si="9"/>
        <v>01700081</v>
      </c>
      <c r="J170" s="288">
        <f>'Manual Manpower Database'!AJ160</f>
        <v>1116.53125</v>
      </c>
      <c r="K170" s="288">
        <f>'Manual Manpower Database'!AK160</f>
        <v>300</v>
      </c>
      <c r="L170" s="288">
        <f>'Manual Manpower Database'!AL160</f>
        <v>279.1328125</v>
      </c>
      <c r="M170" s="288">
        <f>'Manual Manpower Database'!AM160</f>
        <v>250</v>
      </c>
      <c r="N170" s="288">
        <f>'Manual Manpower Database'!AN160</f>
        <v>46.522135416666664</v>
      </c>
      <c r="O170" s="288">
        <f>'Manual Manpower Database'!AO160</f>
        <v>0</v>
      </c>
      <c r="P170" s="288">
        <f>'Manual Manpower Database'!AP160</f>
        <v>23.261067708333332</v>
      </c>
      <c r="Q170" s="288">
        <f>'Manual Manpower Database'!AQ160</f>
        <v>27.913281250000001</v>
      </c>
      <c r="R170" s="288">
        <f>'Manual Manpower Database'!AR160</f>
        <v>125</v>
      </c>
      <c r="S170" s="288">
        <f>'Manual Manpower Database'!AS160</f>
        <v>41.666666666666664</v>
      </c>
      <c r="T170" s="288">
        <f>'Manual Manpower Database'!AT160</f>
        <v>54.166666666666664</v>
      </c>
      <c r="U170" s="288">
        <f>'Manual Manpower Database'!AU160</f>
        <v>208.33333333333334</v>
      </c>
      <c r="V170" s="288">
        <f>'Manual Manpower Database'!AV160</f>
        <v>0</v>
      </c>
      <c r="W170" s="288">
        <f>'Manual Manpower Database'!AW160</f>
        <v>8.3333333333333339</v>
      </c>
      <c r="X170" s="288">
        <f>'Manual Manpower Database'!AX160</f>
        <v>55.555555555555557</v>
      </c>
      <c r="Y170" s="288">
        <f t="shared" si="8"/>
        <v>2536.4161024305558</v>
      </c>
    </row>
  </sheetData>
  <autoFilter ref="A4:Y170" xr:uid="{00000000-0009-0000-0000-000005000000}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V146"/>
  <sheetViews>
    <sheetView zoomScale="60" zoomScaleNormal="60" workbookViewId="0">
      <selection activeCell="D16" sqref="D16"/>
    </sheetView>
  </sheetViews>
  <sheetFormatPr defaultRowHeight="15" outlineLevelCol="1" x14ac:dyDescent="0.25"/>
  <cols>
    <col min="2" max="2" width="16.85546875" customWidth="1"/>
    <col min="3" max="3" width="14.5703125" customWidth="1"/>
    <col min="4" max="4" width="94.28515625" bestFit="1" customWidth="1"/>
    <col min="5" max="5" width="30.140625" customWidth="1"/>
    <col min="6" max="6" width="8.5703125" customWidth="1"/>
    <col min="7" max="45" width="17.85546875" customWidth="1" outlineLevel="1"/>
    <col min="46" max="48" width="20.7109375" customWidth="1"/>
    <col min="49" max="49" width="15.42578125" bestFit="1" customWidth="1"/>
    <col min="50" max="51" width="11.28515625" customWidth="1"/>
    <col min="52" max="52" width="17" bestFit="1" customWidth="1"/>
    <col min="53" max="53" width="10.7109375" customWidth="1"/>
    <col min="54" max="54" width="11.28515625" customWidth="1"/>
    <col min="55" max="55" width="14.85546875" customWidth="1"/>
    <col min="57" max="57" width="16.5703125" customWidth="1"/>
  </cols>
  <sheetData>
    <row r="1" spans="2:48" x14ac:dyDescent="0.25">
      <c r="D1" s="25"/>
      <c r="E1" s="25"/>
      <c r="G1">
        <v>30</v>
      </c>
      <c r="H1">
        <f>26</f>
        <v>26</v>
      </c>
    </row>
    <row r="2" spans="2:48" ht="40.5" customHeight="1" thickBot="1" x14ac:dyDescent="0.55000000000000004">
      <c r="B2" s="26" t="s">
        <v>520</v>
      </c>
      <c r="C2" s="26"/>
      <c r="D2" s="25"/>
      <c r="E2" s="25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</row>
    <row r="3" spans="2:48" s="28" customFormat="1" ht="71.25" customHeight="1" thickTop="1" thickBot="1" x14ac:dyDescent="0.3">
      <c r="B3" s="173" t="s">
        <v>905</v>
      </c>
      <c r="C3" s="279" t="s">
        <v>15</v>
      </c>
      <c r="D3" s="174" t="s">
        <v>521</v>
      </c>
      <c r="E3" s="174" t="s">
        <v>522</v>
      </c>
      <c r="F3" s="175" t="s">
        <v>511</v>
      </c>
      <c r="G3" s="176" t="s">
        <v>523</v>
      </c>
      <c r="H3" s="177" t="s">
        <v>524</v>
      </c>
      <c r="I3" s="178" t="s">
        <v>525</v>
      </c>
      <c r="J3" s="178" t="s">
        <v>526</v>
      </c>
      <c r="K3" s="178" t="s">
        <v>527</v>
      </c>
      <c r="L3" s="178" t="s">
        <v>528</v>
      </c>
      <c r="M3" s="178" t="s">
        <v>529</v>
      </c>
      <c r="N3" s="178" t="s">
        <v>530</v>
      </c>
      <c r="O3" s="178" t="s">
        <v>531</v>
      </c>
      <c r="P3" s="178" t="s">
        <v>532</v>
      </c>
      <c r="Q3" s="178" t="s">
        <v>533</v>
      </c>
      <c r="R3" s="178" t="s">
        <v>534</v>
      </c>
      <c r="S3" s="178" t="s">
        <v>535</v>
      </c>
      <c r="T3" s="178" t="s">
        <v>536</v>
      </c>
      <c r="U3" s="178" t="s">
        <v>537</v>
      </c>
      <c r="V3" s="178" t="s">
        <v>538</v>
      </c>
      <c r="W3" s="178" t="s">
        <v>539</v>
      </c>
      <c r="X3" s="178" t="s">
        <v>540</v>
      </c>
      <c r="Y3" s="178" t="s">
        <v>541</v>
      </c>
      <c r="Z3" s="178" t="s">
        <v>542</v>
      </c>
      <c r="AA3" s="178" t="s">
        <v>543</v>
      </c>
      <c r="AB3" s="178" t="s">
        <v>544</v>
      </c>
      <c r="AC3" s="178" t="s">
        <v>545</v>
      </c>
      <c r="AD3" s="178" t="s">
        <v>546</v>
      </c>
      <c r="AE3" s="178" t="s">
        <v>547</v>
      </c>
      <c r="AF3" s="178" t="s">
        <v>548</v>
      </c>
      <c r="AG3" s="178" t="s">
        <v>549</v>
      </c>
      <c r="AH3" s="178" t="s">
        <v>550</v>
      </c>
      <c r="AI3" s="178" t="s">
        <v>551</v>
      </c>
      <c r="AJ3" s="178" t="s">
        <v>552</v>
      </c>
      <c r="AK3" s="178" t="s">
        <v>553</v>
      </c>
      <c r="AL3" s="178" t="s">
        <v>554</v>
      </c>
      <c r="AM3" s="178" t="s">
        <v>555</v>
      </c>
      <c r="AN3" s="178" t="s">
        <v>556</v>
      </c>
      <c r="AO3" s="178" t="s">
        <v>557</v>
      </c>
      <c r="AP3" s="178" t="s">
        <v>558</v>
      </c>
      <c r="AQ3" s="178" t="s">
        <v>559</v>
      </c>
      <c r="AR3" s="178" t="s">
        <v>560</v>
      </c>
      <c r="AS3" s="179" t="s">
        <v>561</v>
      </c>
      <c r="AT3" s="180" t="s">
        <v>562</v>
      </c>
      <c r="AU3" s="181" t="s">
        <v>563</v>
      </c>
      <c r="AV3" s="182" t="s">
        <v>564</v>
      </c>
    </row>
    <row r="4" spans="2:48" ht="24.75" customHeight="1" x14ac:dyDescent="0.35">
      <c r="B4" s="29" t="str">
        <f>VLOOKUP(D4,'Activity List CSI'!$B$4:$D$146,2,0)</f>
        <v>0201</v>
      </c>
      <c r="C4" s="233" t="str">
        <f>VLOOKUP(D4,'Activity List CSI'!$B$4:$D$146,3,0)</f>
        <v>02300-01</v>
      </c>
      <c r="D4" s="37" t="s">
        <v>18</v>
      </c>
      <c r="E4" s="37" t="s">
        <v>599</v>
      </c>
      <c r="F4" s="30" t="s">
        <v>515</v>
      </c>
      <c r="G4" s="31"/>
      <c r="H4" s="32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>
        <v>1</v>
      </c>
      <c r="AL4" s="33">
        <v>1</v>
      </c>
      <c r="AM4" s="33"/>
      <c r="AN4" s="33"/>
      <c r="AO4" s="33"/>
      <c r="AP4" s="33"/>
      <c r="AQ4" s="33"/>
      <c r="AR4" s="33"/>
      <c r="AS4" s="30"/>
      <c r="AT4" s="34">
        <v>308</v>
      </c>
      <c r="AU4" s="35">
        <f t="shared" ref="AU4:AU38" si="0">SUM(G4:AS4)*8</f>
        <v>16</v>
      </c>
      <c r="AV4" s="36">
        <f t="shared" ref="AV4:AV83" si="1">(AU4/AT4)</f>
        <v>5.1948051948051951E-2</v>
      </c>
    </row>
    <row r="5" spans="2:48" ht="24.75" customHeight="1" x14ac:dyDescent="0.35">
      <c r="B5" s="29" t="str">
        <f>VLOOKUP(D5,'Activity List CSI'!$B$4:$D$146,2,0)</f>
        <v>0202</v>
      </c>
      <c r="C5" s="233" t="str">
        <f>VLOOKUP(D5,'Activity List CSI'!$B$4:$D$146,3,0)</f>
        <v>02300-02</v>
      </c>
      <c r="D5" s="37" t="s">
        <v>19</v>
      </c>
      <c r="E5" s="37" t="s">
        <v>599</v>
      </c>
      <c r="F5" s="30" t="s">
        <v>515</v>
      </c>
      <c r="G5" s="31"/>
      <c r="H5" s="32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>
        <v>1</v>
      </c>
      <c r="AL5" s="33">
        <v>1</v>
      </c>
      <c r="AM5" s="33"/>
      <c r="AN5" s="33"/>
      <c r="AO5" s="33"/>
      <c r="AP5" s="33"/>
      <c r="AQ5" s="33"/>
      <c r="AR5" s="33"/>
      <c r="AS5" s="30"/>
      <c r="AT5" s="34">
        <v>158</v>
      </c>
      <c r="AU5" s="35">
        <f t="shared" si="0"/>
        <v>16</v>
      </c>
      <c r="AV5" s="36">
        <f t="shared" si="1"/>
        <v>0.10126582278481013</v>
      </c>
    </row>
    <row r="6" spans="2:48" ht="24.75" customHeight="1" x14ac:dyDescent="0.35">
      <c r="B6" s="29" t="str">
        <f>VLOOKUP(D6,'Activity List CSI'!$B$4:$D$146,2,0)</f>
        <v>0203</v>
      </c>
      <c r="C6" s="233" t="str">
        <f>VLOOKUP(D6,'Activity List CSI'!$B$4:$D$146,3,0)</f>
        <v>02300-03</v>
      </c>
      <c r="D6" s="37" t="s">
        <v>20</v>
      </c>
      <c r="E6" s="37" t="s">
        <v>599</v>
      </c>
      <c r="F6" s="30" t="s">
        <v>515</v>
      </c>
      <c r="G6" s="31"/>
      <c r="H6" s="32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>
        <v>1</v>
      </c>
      <c r="AL6" s="33">
        <v>1</v>
      </c>
      <c r="AM6" s="33"/>
      <c r="AN6" s="33"/>
      <c r="AO6" s="33"/>
      <c r="AP6" s="33"/>
      <c r="AQ6" s="33"/>
      <c r="AR6" s="33"/>
      <c r="AS6" s="30"/>
      <c r="AT6" s="34">
        <v>25</v>
      </c>
      <c r="AU6" s="35">
        <f t="shared" si="0"/>
        <v>16</v>
      </c>
      <c r="AV6" s="36">
        <f t="shared" si="1"/>
        <v>0.64</v>
      </c>
    </row>
    <row r="7" spans="2:48" ht="24.75" customHeight="1" x14ac:dyDescent="0.35">
      <c r="B7" s="29" t="str">
        <f>VLOOKUP(D7,'Activity List CSI'!$B$4:$D$146,2,0)</f>
        <v>0204</v>
      </c>
      <c r="C7" s="233" t="str">
        <f>VLOOKUP(D7,'Activity List CSI'!$B$4:$D$146,3,0)</f>
        <v>02300-04</v>
      </c>
      <c r="D7" s="37" t="s">
        <v>21</v>
      </c>
      <c r="E7" s="37" t="s">
        <v>599</v>
      </c>
      <c r="F7" s="30" t="s">
        <v>515</v>
      </c>
      <c r="G7" s="31"/>
      <c r="H7" s="32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>
        <v>1</v>
      </c>
      <c r="AL7" s="33">
        <v>1</v>
      </c>
      <c r="AM7" s="33"/>
      <c r="AN7" s="33"/>
      <c r="AO7" s="33"/>
      <c r="AP7" s="33"/>
      <c r="AQ7" s="33"/>
      <c r="AR7" s="33"/>
      <c r="AS7" s="30"/>
      <c r="AT7" s="34">
        <v>308</v>
      </c>
      <c r="AU7" s="35">
        <f t="shared" ref="AU7:AU9" si="2">SUM(G7:AS7)*8</f>
        <v>16</v>
      </c>
      <c r="AV7" s="36">
        <f t="shared" ref="AV7:AV9" si="3">(AU7/AT7)</f>
        <v>5.1948051948051951E-2</v>
      </c>
    </row>
    <row r="8" spans="2:48" ht="24.75" customHeight="1" x14ac:dyDescent="0.35">
      <c r="B8" s="29" t="str">
        <f>VLOOKUP(D8,'Activity List CSI'!$B$4:$D$146,2,0)</f>
        <v>0205</v>
      </c>
      <c r="C8" s="233" t="str">
        <f>VLOOKUP(D8,'Activity List CSI'!$B$4:$D$146,3,0)</f>
        <v>02300-05</v>
      </c>
      <c r="D8" s="37" t="s">
        <v>22</v>
      </c>
      <c r="E8" s="37" t="s">
        <v>599</v>
      </c>
      <c r="F8" s="30" t="s">
        <v>515</v>
      </c>
      <c r="G8" s="31"/>
      <c r="H8" s="32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>
        <v>1</v>
      </c>
      <c r="AL8" s="33">
        <v>1</v>
      </c>
      <c r="AM8" s="33"/>
      <c r="AN8" s="33"/>
      <c r="AO8" s="33"/>
      <c r="AP8" s="33"/>
      <c r="AQ8" s="33"/>
      <c r="AR8" s="33"/>
      <c r="AS8" s="30"/>
      <c r="AT8" s="34">
        <v>158</v>
      </c>
      <c r="AU8" s="35">
        <f t="shared" si="2"/>
        <v>16</v>
      </c>
      <c r="AV8" s="36">
        <f t="shared" si="3"/>
        <v>0.10126582278481013</v>
      </c>
    </row>
    <row r="9" spans="2:48" ht="24.75" customHeight="1" x14ac:dyDescent="0.35">
      <c r="B9" s="29" t="str">
        <f>VLOOKUP(D9,'Activity List CSI'!$B$4:$D$146,2,0)</f>
        <v>0206</v>
      </c>
      <c r="C9" s="233" t="str">
        <f>VLOOKUP(D9,'Activity List CSI'!$B$4:$D$146,3,0)</f>
        <v>02300-06</v>
      </c>
      <c r="D9" s="37" t="s">
        <v>23</v>
      </c>
      <c r="E9" s="37" t="s">
        <v>599</v>
      </c>
      <c r="F9" s="30" t="s">
        <v>515</v>
      </c>
      <c r="G9" s="31"/>
      <c r="H9" s="32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>
        <v>1</v>
      </c>
      <c r="AL9" s="33">
        <v>1</v>
      </c>
      <c r="AM9" s="33"/>
      <c r="AN9" s="33"/>
      <c r="AO9" s="33"/>
      <c r="AP9" s="33"/>
      <c r="AQ9" s="33"/>
      <c r="AR9" s="33"/>
      <c r="AS9" s="30"/>
      <c r="AT9" s="34">
        <v>25</v>
      </c>
      <c r="AU9" s="35">
        <f t="shared" si="2"/>
        <v>16</v>
      </c>
      <c r="AV9" s="36">
        <f t="shared" si="3"/>
        <v>0.64</v>
      </c>
    </row>
    <row r="10" spans="2:48" ht="24.75" customHeight="1" x14ac:dyDescent="0.35">
      <c r="B10" s="29" t="str">
        <f>VLOOKUP(D10,'Activity List CSI'!$B$4:$D$146,2,0)</f>
        <v>0204</v>
      </c>
      <c r="C10" s="233" t="str">
        <f>VLOOKUP(D10,'Activity List CSI'!$B$4:$D$146,3,0)</f>
        <v>02300-04</v>
      </c>
      <c r="D10" s="37" t="s">
        <v>21</v>
      </c>
      <c r="E10" s="37" t="s">
        <v>584</v>
      </c>
      <c r="F10" s="30" t="s">
        <v>565</v>
      </c>
      <c r="G10" s="31"/>
      <c r="H10" s="32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0">
        <v>4</v>
      </c>
      <c r="AT10" s="34">
        <f>128*8</f>
        <v>1024</v>
      </c>
      <c r="AU10" s="35">
        <f>SUM(G10:AS10)*8</f>
        <v>32</v>
      </c>
      <c r="AV10" s="36">
        <f>(AU10/AT10)</f>
        <v>3.125E-2</v>
      </c>
    </row>
    <row r="11" spans="2:48" ht="24.75" customHeight="1" x14ac:dyDescent="0.35">
      <c r="B11" s="29" t="str">
        <f>VLOOKUP(D11,'Activity List CSI'!$B$4:$D$146,2,0)</f>
        <v>0205</v>
      </c>
      <c r="C11" s="233" t="str">
        <f>VLOOKUP(D11,'Activity List CSI'!$B$4:$D$146,3,0)</f>
        <v>02300-05</v>
      </c>
      <c r="D11" s="37" t="s">
        <v>22</v>
      </c>
      <c r="E11" s="37" t="s">
        <v>584</v>
      </c>
      <c r="F11" s="30" t="s">
        <v>515</v>
      </c>
      <c r="G11" s="31"/>
      <c r="H11" s="32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0">
        <v>4</v>
      </c>
      <c r="AT11" s="34">
        <f>1024</f>
        <v>1024</v>
      </c>
      <c r="AU11" s="35">
        <f>SUM(G11:AS11)*8</f>
        <v>32</v>
      </c>
      <c r="AV11" s="36">
        <f>(AU11/AT11)</f>
        <v>3.125E-2</v>
      </c>
    </row>
    <row r="12" spans="2:48" ht="24.75" customHeight="1" x14ac:dyDescent="0.35">
      <c r="B12" s="29" t="str">
        <f>VLOOKUP(D12,'Activity List CSI'!$B$4:$D$146,2,0)</f>
        <v>0206</v>
      </c>
      <c r="C12" s="233" t="str">
        <f>VLOOKUP(D12,'Activity List CSI'!$B$4:$D$146,3,0)</f>
        <v>02300-06</v>
      </c>
      <c r="D12" s="37" t="s">
        <v>23</v>
      </c>
      <c r="E12" s="37" t="s">
        <v>584</v>
      </c>
      <c r="F12" s="30" t="s">
        <v>515</v>
      </c>
      <c r="G12" s="31"/>
      <c r="H12" s="32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0">
        <v>4</v>
      </c>
      <c r="AT12" s="34">
        <f>128/2*8</f>
        <v>512</v>
      </c>
      <c r="AU12" s="35">
        <f>SUM(G12:AS12)*8</f>
        <v>32</v>
      </c>
      <c r="AV12" s="36">
        <f>(AU12/AT12)</f>
        <v>6.25E-2</v>
      </c>
    </row>
    <row r="13" spans="2:48" ht="24.75" customHeight="1" x14ac:dyDescent="0.35">
      <c r="B13" s="29" t="str">
        <f>VLOOKUP(D13,'Activity List CSI'!$B$4:$D$146,2,0)</f>
        <v>0207</v>
      </c>
      <c r="C13" s="233" t="str">
        <f>VLOOKUP(D13,'Activity List CSI'!$B$4:$D$146,3,0)</f>
        <v>02100-01</v>
      </c>
      <c r="D13" s="37" t="s">
        <v>24</v>
      </c>
      <c r="E13" s="37" t="s">
        <v>582</v>
      </c>
      <c r="F13" s="30" t="s">
        <v>565</v>
      </c>
      <c r="G13" s="31"/>
      <c r="H13" s="32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>
        <v>1</v>
      </c>
      <c r="AN13" s="33"/>
      <c r="AO13" s="33"/>
      <c r="AP13" s="33"/>
      <c r="AQ13" s="33"/>
      <c r="AR13" s="33"/>
      <c r="AS13" s="30">
        <v>2</v>
      </c>
      <c r="AT13" s="34">
        <v>900</v>
      </c>
      <c r="AU13" s="35">
        <f t="shared" si="0"/>
        <v>24</v>
      </c>
      <c r="AV13" s="36">
        <f t="shared" si="1"/>
        <v>2.6666666666666668E-2</v>
      </c>
    </row>
    <row r="14" spans="2:48" ht="24.75" customHeight="1" x14ac:dyDescent="0.35">
      <c r="B14" s="29" t="str">
        <f>VLOOKUP(D14,'Activity List CSI'!$B$4:$D$146,2,0)</f>
        <v>0208</v>
      </c>
      <c r="C14" s="233" t="str">
        <f>VLOOKUP(D14,'Activity List CSI'!$B$4:$D$146,3,0)</f>
        <v>02300-07</v>
      </c>
      <c r="D14" s="37" t="s">
        <v>25</v>
      </c>
      <c r="E14" s="37" t="s">
        <v>595</v>
      </c>
      <c r="F14" s="30" t="s">
        <v>567</v>
      </c>
      <c r="G14" s="31"/>
      <c r="H14" s="32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>
        <v>9</v>
      </c>
      <c r="AO14" s="33"/>
      <c r="AP14" s="33"/>
      <c r="AQ14" s="33"/>
      <c r="AR14" s="33"/>
      <c r="AS14" s="30"/>
      <c r="AT14" s="34">
        <v>10</v>
      </c>
      <c r="AU14" s="35">
        <f t="shared" si="0"/>
        <v>72</v>
      </c>
      <c r="AV14" s="36">
        <f t="shared" si="1"/>
        <v>7.2</v>
      </c>
    </row>
    <row r="15" spans="2:48" ht="24.75" customHeight="1" x14ac:dyDescent="0.35">
      <c r="B15" s="29" t="str">
        <f>VLOOKUP(D15,'Activity List CSI'!$B$4:$D$146,2,0)</f>
        <v>0209</v>
      </c>
      <c r="C15" s="233" t="str">
        <f>VLOOKUP(D15,'Activity List CSI'!$B$4:$D$146,3,0)</f>
        <v>02300-08</v>
      </c>
      <c r="D15" s="37" t="s">
        <v>26</v>
      </c>
      <c r="E15" s="37" t="s">
        <v>599</v>
      </c>
      <c r="F15" s="30" t="s">
        <v>515</v>
      </c>
      <c r="G15" s="31"/>
      <c r="H15" s="32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>
        <v>1</v>
      </c>
      <c r="AL15" s="33">
        <v>1</v>
      </c>
      <c r="AM15" s="33"/>
      <c r="AN15" s="33"/>
      <c r="AO15" s="33"/>
      <c r="AP15" s="33"/>
      <c r="AQ15" s="33"/>
      <c r="AR15" s="33"/>
      <c r="AS15" s="30"/>
      <c r="AT15" s="34">
        <v>1000</v>
      </c>
      <c r="AU15" s="35">
        <f t="shared" si="0"/>
        <v>16</v>
      </c>
      <c r="AV15" s="36">
        <f t="shared" si="1"/>
        <v>1.6E-2</v>
      </c>
    </row>
    <row r="16" spans="2:48" ht="24.75" customHeight="1" x14ac:dyDescent="0.35">
      <c r="B16" s="29" t="str">
        <f>VLOOKUP(D16,'Activity List CSI'!$B$4:$D$146,2,0)</f>
        <v>0209</v>
      </c>
      <c r="C16" s="233" t="str">
        <f>VLOOKUP(D16,'Activity List CSI'!$B$4:$D$146,3,0)</f>
        <v>02300-08</v>
      </c>
      <c r="D16" s="37" t="s">
        <v>26</v>
      </c>
      <c r="E16" s="37" t="s">
        <v>584</v>
      </c>
      <c r="F16" s="30" t="s">
        <v>515</v>
      </c>
      <c r="G16" s="31"/>
      <c r="H16" s="32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0">
        <v>6</v>
      </c>
      <c r="AT16" s="34">
        <v>500</v>
      </c>
      <c r="AU16" s="35">
        <f t="shared" si="0"/>
        <v>48</v>
      </c>
      <c r="AV16" s="36">
        <f t="shared" si="1"/>
        <v>9.6000000000000002E-2</v>
      </c>
    </row>
    <row r="17" spans="2:48" ht="24.75" customHeight="1" x14ac:dyDescent="0.35">
      <c r="B17" s="29" t="str">
        <f>VLOOKUP(D17,'Activity List CSI'!$B$4:$D$146,2,0)</f>
        <v>0210</v>
      </c>
      <c r="C17" s="233" t="str">
        <f>VLOOKUP(D17,'Activity List CSI'!$B$4:$D$146,3,0)</f>
        <v>02300-09</v>
      </c>
      <c r="D17" s="37" t="s">
        <v>27</v>
      </c>
      <c r="E17" s="37" t="s">
        <v>599</v>
      </c>
      <c r="F17" s="30" t="s">
        <v>515</v>
      </c>
      <c r="G17" s="31"/>
      <c r="H17" s="32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>
        <v>1</v>
      </c>
      <c r="AL17" s="33">
        <v>1</v>
      </c>
      <c r="AM17" s="33"/>
      <c r="AN17" s="33"/>
      <c r="AO17" s="33"/>
      <c r="AP17" s="33"/>
      <c r="AQ17" s="33"/>
      <c r="AR17" s="33"/>
      <c r="AS17" s="30"/>
      <c r="AT17" s="34">
        <v>1000</v>
      </c>
      <c r="AU17" s="35">
        <f t="shared" si="0"/>
        <v>16</v>
      </c>
      <c r="AV17" s="36">
        <f t="shared" si="1"/>
        <v>1.6E-2</v>
      </c>
    </row>
    <row r="18" spans="2:48" ht="24.75" customHeight="1" x14ac:dyDescent="0.35">
      <c r="B18" s="29" t="str">
        <f>VLOOKUP(D18,'Activity List CSI'!$B$4:$D$146,2,0)</f>
        <v>0210</v>
      </c>
      <c r="C18" s="233" t="str">
        <f>VLOOKUP(D18,'Activity List CSI'!$B$4:$D$146,3,0)</f>
        <v>02300-09</v>
      </c>
      <c r="D18" s="37" t="s">
        <v>27</v>
      </c>
      <c r="E18" s="37" t="s">
        <v>584</v>
      </c>
      <c r="F18" s="30" t="s">
        <v>515</v>
      </c>
      <c r="G18" s="31"/>
      <c r="H18" s="32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0">
        <v>6</v>
      </c>
      <c r="AT18" s="34">
        <v>500</v>
      </c>
      <c r="AU18" s="35">
        <f t="shared" si="0"/>
        <v>48</v>
      </c>
      <c r="AV18" s="36">
        <f t="shared" si="1"/>
        <v>9.6000000000000002E-2</v>
      </c>
    </row>
    <row r="19" spans="2:48" ht="24.75" customHeight="1" x14ac:dyDescent="0.35">
      <c r="B19" s="29" t="str">
        <f>VLOOKUP(D19,'Activity List CSI'!$B$4:$D$146,2,0)</f>
        <v>0211</v>
      </c>
      <c r="C19" s="233" t="str">
        <f>VLOOKUP(D19,'Activity List CSI'!$B$4:$D$146,3,0)</f>
        <v>02300-10</v>
      </c>
      <c r="D19" s="37" t="s">
        <v>28</v>
      </c>
      <c r="E19" s="37" t="s">
        <v>599</v>
      </c>
      <c r="F19" s="30" t="s">
        <v>519</v>
      </c>
      <c r="G19" s="31"/>
      <c r="H19" s="32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>
        <v>1</v>
      </c>
      <c r="AL19" s="33">
        <v>1</v>
      </c>
      <c r="AM19" s="33"/>
      <c r="AN19" s="33"/>
      <c r="AO19" s="33"/>
      <c r="AP19" s="33"/>
      <c r="AQ19" s="33"/>
      <c r="AR19" s="33"/>
      <c r="AS19" s="30"/>
      <c r="AT19" s="34">
        <v>500</v>
      </c>
      <c r="AU19" s="35">
        <f t="shared" si="0"/>
        <v>16</v>
      </c>
      <c r="AV19" s="36">
        <f t="shared" si="1"/>
        <v>3.2000000000000001E-2</v>
      </c>
    </row>
    <row r="20" spans="2:48" ht="24.75" customHeight="1" x14ac:dyDescent="0.35">
      <c r="B20" s="29" t="str">
        <f>VLOOKUP(D20,'Activity List CSI'!$B$4:$D$146,2,0)</f>
        <v>0211</v>
      </c>
      <c r="C20" s="233" t="str">
        <f>VLOOKUP(D20,'Activity List CSI'!$B$4:$D$146,3,0)</f>
        <v>02300-10</v>
      </c>
      <c r="D20" s="37" t="s">
        <v>28</v>
      </c>
      <c r="E20" s="37" t="s">
        <v>584</v>
      </c>
      <c r="F20" s="30" t="s">
        <v>519</v>
      </c>
      <c r="G20" s="31"/>
      <c r="H20" s="32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0">
        <v>4</v>
      </c>
      <c r="AT20" s="34">
        <v>500</v>
      </c>
      <c r="AU20" s="35">
        <f t="shared" si="0"/>
        <v>32</v>
      </c>
      <c r="AV20" s="36">
        <f t="shared" si="1"/>
        <v>6.4000000000000001E-2</v>
      </c>
    </row>
    <row r="21" spans="2:48" ht="24.75" customHeight="1" x14ac:dyDescent="0.35">
      <c r="B21" s="29" t="str">
        <f>VLOOKUP(D21,'Activity List CSI'!$B$4:$D$146,2,0)</f>
        <v>0211</v>
      </c>
      <c r="C21" s="233" t="str">
        <f>VLOOKUP(D21,'Activity List CSI'!$B$4:$D$146,3,0)</f>
        <v>02300-10</v>
      </c>
      <c r="D21" s="37" t="s">
        <v>28</v>
      </c>
      <c r="E21" s="37" t="s">
        <v>584</v>
      </c>
      <c r="F21" s="30" t="s">
        <v>519</v>
      </c>
      <c r="G21" s="31"/>
      <c r="H21" s="32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0">
        <v>3</v>
      </c>
      <c r="AT21" s="34">
        <v>500</v>
      </c>
      <c r="AU21" s="35">
        <f t="shared" si="0"/>
        <v>24</v>
      </c>
      <c r="AV21" s="36">
        <f t="shared" si="1"/>
        <v>4.8000000000000001E-2</v>
      </c>
    </row>
    <row r="22" spans="2:48" ht="24.75" customHeight="1" x14ac:dyDescent="0.35">
      <c r="B22" s="29" t="str">
        <f>VLOOKUP(D22,'Activity List CSI'!$B$4:$D$146,2,0)</f>
        <v>0212</v>
      </c>
      <c r="C22" s="233" t="str">
        <f>VLOOKUP(D22,'Activity List CSI'!$B$4:$D$146,3,0)</f>
        <v>02300-11</v>
      </c>
      <c r="D22" s="37" t="s">
        <v>29</v>
      </c>
      <c r="E22" s="37" t="s">
        <v>599</v>
      </c>
      <c r="F22" s="30" t="s">
        <v>519</v>
      </c>
      <c r="G22" s="31"/>
      <c r="H22" s="32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>
        <v>1</v>
      </c>
      <c r="AL22" s="33">
        <v>1</v>
      </c>
      <c r="AM22" s="33"/>
      <c r="AN22" s="33"/>
      <c r="AO22" s="33"/>
      <c r="AP22" s="33"/>
      <c r="AQ22" s="33"/>
      <c r="AR22" s="33"/>
      <c r="AS22" s="30"/>
      <c r="AT22" s="34">
        <v>500</v>
      </c>
      <c r="AU22" s="35">
        <f t="shared" si="0"/>
        <v>16</v>
      </c>
      <c r="AV22" s="36">
        <f t="shared" si="1"/>
        <v>3.2000000000000001E-2</v>
      </c>
    </row>
    <row r="23" spans="2:48" ht="24.75" customHeight="1" x14ac:dyDescent="0.35">
      <c r="B23" s="29" t="str">
        <f>VLOOKUP(D23,'Activity List CSI'!$B$4:$D$146,2,0)</f>
        <v>0212</v>
      </c>
      <c r="C23" s="233" t="str">
        <f>VLOOKUP(D23,'Activity List CSI'!$B$4:$D$146,3,0)</f>
        <v>02300-11</v>
      </c>
      <c r="D23" s="37" t="s">
        <v>29</v>
      </c>
      <c r="E23" s="37" t="s">
        <v>584</v>
      </c>
      <c r="F23" s="30" t="s">
        <v>519</v>
      </c>
      <c r="G23" s="31"/>
      <c r="H23" s="32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0">
        <v>4</v>
      </c>
      <c r="AT23" s="34">
        <v>500</v>
      </c>
      <c r="AU23" s="35">
        <f t="shared" si="0"/>
        <v>32</v>
      </c>
      <c r="AV23" s="36">
        <f t="shared" si="1"/>
        <v>6.4000000000000001E-2</v>
      </c>
    </row>
    <row r="24" spans="2:48" ht="24.75" customHeight="1" x14ac:dyDescent="0.35">
      <c r="B24" s="29" t="str">
        <f>VLOOKUP(D24,'Activity List CSI'!$B$4:$D$146,2,0)</f>
        <v>0212</v>
      </c>
      <c r="C24" s="233" t="str">
        <f>VLOOKUP(D24,'Activity List CSI'!$B$4:$D$146,3,0)</f>
        <v>02300-11</v>
      </c>
      <c r="D24" s="37" t="s">
        <v>29</v>
      </c>
      <c r="E24" s="37" t="s">
        <v>584</v>
      </c>
      <c r="F24" s="30" t="s">
        <v>519</v>
      </c>
      <c r="G24" s="31"/>
      <c r="H24" s="32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0">
        <v>3</v>
      </c>
      <c r="AT24" s="34">
        <v>500</v>
      </c>
      <c r="AU24" s="35">
        <f t="shared" si="0"/>
        <v>24</v>
      </c>
      <c r="AV24" s="36">
        <f t="shared" si="1"/>
        <v>4.8000000000000001E-2</v>
      </c>
    </row>
    <row r="25" spans="2:48" ht="24.75" customHeight="1" x14ac:dyDescent="0.35">
      <c r="B25" s="29" t="str">
        <f>VLOOKUP(D25,'Activity List CSI'!$B$4:$D$146,2,0)</f>
        <v>0213</v>
      </c>
      <c r="C25" s="233" t="str">
        <f>VLOOKUP(D25,'Activity List CSI'!$B$4:$D$146,3,0)</f>
        <v>02300-12</v>
      </c>
      <c r="D25" s="37" t="s">
        <v>30</v>
      </c>
      <c r="E25" s="37" t="s">
        <v>599</v>
      </c>
      <c r="F25" s="30" t="s">
        <v>515</v>
      </c>
      <c r="G25" s="31"/>
      <c r="H25" s="32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>
        <v>1</v>
      </c>
      <c r="AL25" s="33">
        <v>1</v>
      </c>
      <c r="AM25" s="33"/>
      <c r="AN25" s="33"/>
      <c r="AO25" s="33"/>
      <c r="AP25" s="33"/>
      <c r="AQ25" s="33"/>
      <c r="AR25" s="33"/>
      <c r="AS25" s="30"/>
      <c r="AT25" s="34">
        <v>400</v>
      </c>
      <c r="AU25" s="35">
        <f t="shared" si="0"/>
        <v>16</v>
      </c>
      <c r="AV25" s="36">
        <f t="shared" si="1"/>
        <v>0.04</v>
      </c>
    </row>
    <row r="26" spans="2:48" ht="24.75" customHeight="1" x14ac:dyDescent="0.35">
      <c r="B26" s="29" t="str">
        <f>VLOOKUP(D26,'Activity List CSI'!$B$4:$D$146,2,0)</f>
        <v>0213</v>
      </c>
      <c r="C26" s="233" t="str">
        <f>VLOOKUP(D26,'Activity List CSI'!$B$4:$D$146,3,0)</f>
        <v>02300-12</v>
      </c>
      <c r="D26" s="37" t="s">
        <v>30</v>
      </c>
      <c r="E26" s="37" t="s">
        <v>584</v>
      </c>
      <c r="F26" s="30" t="s">
        <v>515</v>
      </c>
      <c r="G26" s="31"/>
      <c r="H26" s="32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0">
        <v>4</v>
      </c>
      <c r="AT26" s="34">
        <v>400</v>
      </c>
      <c r="AU26" s="35">
        <f t="shared" si="0"/>
        <v>32</v>
      </c>
      <c r="AV26" s="36">
        <f t="shared" si="1"/>
        <v>0.08</v>
      </c>
    </row>
    <row r="27" spans="2:48" ht="24.75" customHeight="1" x14ac:dyDescent="0.35">
      <c r="B27" s="29" t="str">
        <f>VLOOKUP(D27,'Activity List CSI'!$B$4:$D$146,2,0)</f>
        <v>0213</v>
      </c>
      <c r="C27" s="233" t="str">
        <f>VLOOKUP(D27,'Activity List CSI'!$B$4:$D$146,3,0)</f>
        <v>02300-12</v>
      </c>
      <c r="D27" s="37" t="s">
        <v>30</v>
      </c>
      <c r="E27" s="37" t="s">
        <v>584</v>
      </c>
      <c r="F27" s="30" t="s">
        <v>515</v>
      </c>
      <c r="G27" s="31"/>
      <c r="H27" s="32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0">
        <v>3</v>
      </c>
      <c r="AT27" s="34">
        <v>500</v>
      </c>
      <c r="AU27" s="35">
        <f t="shared" si="0"/>
        <v>24</v>
      </c>
      <c r="AV27" s="36">
        <f t="shared" si="1"/>
        <v>4.8000000000000001E-2</v>
      </c>
    </row>
    <row r="28" spans="2:48" ht="24.75" customHeight="1" x14ac:dyDescent="0.35">
      <c r="B28" s="29" t="str">
        <f>VLOOKUP(D28,'Activity List CSI'!$B$4:$D$146,2,0)</f>
        <v>0214</v>
      </c>
      <c r="C28" s="233" t="str">
        <f>VLOOKUP(D28,'Activity List CSI'!$B$4:$D$146,3,0)</f>
        <v>02300-13</v>
      </c>
      <c r="D28" s="37" t="s">
        <v>31</v>
      </c>
      <c r="E28" s="37" t="s">
        <v>599</v>
      </c>
      <c r="F28" s="30" t="s">
        <v>515</v>
      </c>
      <c r="G28" s="31"/>
      <c r="H28" s="32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>
        <v>1</v>
      </c>
      <c r="AL28" s="33">
        <v>1</v>
      </c>
      <c r="AM28" s="33"/>
      <c r="AN28" s="33"/>
      <c r="AO28" s="33"/>
      <c r="AP28" s="33"/>
      <c r="AQ28" s="33"/>
      <c r="AR28" s="33"/>
      <c r="AS28" s="30"/>
      <c r="AT28" s="34">
        <v>400</v>
      </c>
      <c r="AU28" s="35">
        <f t="shared" si="0"/>
        <v>16</v>
      </c>
      <c r="AV28" s="36">
        <f t="shared" si="1"/>
        <v>0.04</v>
      </c>
    </row>
    <row r="29" spans="2:48" ht="24.75" customHeight="1" x14ac:dyDescent="0.35">
      <c r="B29" s="29" t="str">
        <f>VLOOKUP(D29,'Activity List CSI'!$B$4:$D$146,2,0)</f>
        <v>0214</v>
      </c>
      <c r="C29" s="233" t="str">
        <f>VLOOKUP(D29,'Activity List CSI'!$B$4:$D$146,3,0)</f>
        <v>02300-13</v>
      </c>
      <c r="D29" s="37" t="s">
        <v>31</v>
      </c>
      <c r="E29" s="37" t="s">
        <v>584</v>
      </c>
      <c r="F29" s="30" t="s">
        <v>515</v>
      </c>
      <c r="G29" s="31"/>
      <c r="H29" s="32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0">
        <v>4</v>
      </c>
      <c r="AT29" s="34">
        <v>400</v>
      </c>
      <c r="AU29" s="35">
        <f t="shared" si="0"/>
        <v>32</v>
      </c>
      <c r="AV29" s="36">
        <f t="shared" si="1"/>
        <v>0.08</v>
      </c>
    </row>
    <row r="30" spans="2:48" ht="24.75" customHeight="1" x14ac:dyDescent="0.35">
      <c r="B30" s="29" t="str">
        <f>VLOOKUP(D30,'Activity List CSI'!$B$4:$D$146,2,0)</f>
        <v>0214</v>
      </c>
      <c r="C30" s="233" t="str">
        <f>VLOOKUP(D30,'Activity List CSI'!$B$4:$D$146,3,0)</f>
        <v>02300-13</v>
      </c>
      <c r="D30" s="37" t="s">
        <v>31</v>
      </c>
      <c r="E30" s="37" t="s">
        <v>584</v>
      </c>
      <c r="F30" s="30" t="s">
        <v>515</v>
      </c>
      <c r="G30" s="31"/>
      <c r="H30" s="32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0">
        <v>3</v>
      </c>
      <c r="AT30" s="34">
        <v>500</v>
      </c>
      <c r="AU30" s="35">
        <f t="shared" si="0"/>
        <v>24</v>
      </c>
      <c r="AV30" s="36">
        <f t="shared" si="1"/>
        <v>4.8000000000000001E-2</v>
      </c>
    </row>
    <row r="31" spans="2:48" ht="24.75" customHeight="1" x14ac:dyDescent="0.35">
      <c r="B31" s="29" t="str">
        <f>VLOOKUP(D31,'Activity List CSI'!$B$4:$D$146,2,0)</f>
        <v>0215</v>
      </c>
      <c r="C31" s="233" t="str">
        <f>VLOOKUP(D31,'Activity List CSI'!$B$4:$D$146,3,0)</f>
        <v>02300-14</v>
      </c>
      <c r="D31" s="37" t="s">
        <v>32</v>
      </c>
      <c r="E31" s="37" t="s">
        <v>599</v>
      </c>
      <c r="F31" s="30" t="s">
        <v>515</v>
      </c>
      <c r="G31" s="31"/>
      <c r="H31" s="32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>
        <v>1</v>
      </c>
      <c r="AL31" s="33">
        <v>1</v>
      </c>
      <c r="AM31" s="33"/>
      <c r="AN31" s="33"/>
      <c r="AO31" s="33"/>
      <c r="AP31" s="33"/>
      <c r="AQ31" s="33"/>
      <c r="AR31" s="33"/>
      <c r="AS31" s="30"/>
      <c r="AT31" s="34">
        <v>300</v>
      </c>
      <c r="AU31" s="35">
        <f t="shared" si="0"/>
        <v>16</v>
      </c>
      <c r="AV31" s="36">
        <f t="shared" si="1"/>
        <v>5.3333333333333337E-2</v>
      </c>
    </row>
    <row r="32" spans="2:48" ht="24.75" customHeight="1" x14ac:dyDescent="0.35">
      <c r="B32" s="29" t="str">
        <f>VLOOKUP(D32,'Activity List CSI'!$B$4:$D$146,2,0)</f>
        <v>0215</v>
      </c>
      <c r="C32" s="233" t="str">
        <f>VLOOKUP(D32,'Activity List CSI'!$B$4:$D$146,3,0)</f>
        <v>02300-14</v>
      </c>
      <c r="D32" s="37" t="s">
        <v>32</v>
      </c>
      <c r="E32" s="37" t="s">
        <v>584</v>
      </c>
      <c r="F32" s="30" t="s">
        <v>515</v>
      </c>
      <c r="G32" s="31"/>
      <c r="H32" s="32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0">
        <v>4</v>
      </c>
      <c r="AT32" s="34">
        <v>300</v>
      </c>
      <c r="AU32" s="35">
        <f t="shared" si="0"/>
        <v>32</v>
      </c>
      <c r="AV32" s="36">
        <f t="shared" si="1"/>
        <v>0.10666666666666667</v>
      </c>
    </row>
    <row r="33" spans="2:48" ht="24.75" customHeight="1" x14ac:dyDescent="0.35">
      <c r="B33" s="29" t="str">
        <f>VLOOKUP(D33,'Activity List CSI'!$B$4:$D$146,2,0)</f>
        <v>0215</v>
      </c>
      <c r="C33" s="233" t="str">
        <f>VLOOKUP(D33,'Activity List CSI'!$B$4:$D$146,3,0)</f>
        <v>02300-14</v>
      </c>
      <c r="D33" s="37" t="s">
        <v>32</v>
      </c>
      <c r="E33" s="37" t="s">
        <v>584</v>
      </c>
      <c r="F33" s="30" t="s">
        <v>515</v>
      </c>
      <c r="G33" s="31"/>
      <c r="H33" s="32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0">
        <v>6</v>
      </c>
      <c r="AT33" s="34">
        <v>300</v>
      </c>
      <c r="AU33" s="35">
        <f t="shared" si="0"/>
        <v>48</v>
      </c>
      <c r="AV33" s="36">
        <f t="shared" si="1"/>
        <v>0.16</v>
      </c>
    </row>
    <row r="34" spans="2:48" ht="24.75" customHeight="1" x14ac:dyDescent="0.35">
      <c r="B34" s="29" t="str">
        <f>VLOOKUP(D34,'Activity List CSI'!$B$4:$D$146,2,0)</f>
        <v>0217</v>
      </c>
      <c r="C34" s="233" t="str">
        <f>VLOOKUP(D34,'Activity List CSI'!$B$4:$D$146,3,0)</f>
        <v>02300-16</v>
      </c>
      <c r="D34" s="37" t="s">
        <v>34</v>
      </c>
      <c r="E34" s="37" t="s">
        <v>599</v>
      </c>
      <c r="F34" s="30" t="s">
        <v>513</v>
      </c>
      <c r="G34" s="31"/>
      <c r="H34" s="32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>
        <v>1</v>
      </c>
      <c r="AL34" s="33">
        <v>1</v>
      </c>
      <c r="AM34" s="33"/>
      <c r="AN34" s="33"/>
      <c r="AO34" s="33"/>
      <c r="AP34" s="33"/>
      <c r="AQ34" s="33"/>
      <c r="AR34" s="33"/>
      <c r="AS34" s="30"/>
      <c r="AT34" s="34">
        <v>700</v>
      </c>
      <c r="AU34" s="35">
        <f t="shared" si="0"/>
        <v>16</v>
      </c>
      <c r="AV34" s="36">
        <f t="shared" si="1"/>
        <v>2.2857142857142857E-2</v>
      </c>
    </row>
    <row r="35" spans="2:48" ht="24.75" customHeight="1" x14ac:dyDescent="0.35">
      <c r="B35" s="29" t="str">
        <f>VLOOKUP(D35,'Activity List CSI'!$B$4:$D$146,2,0)</f>
        <v>0217</v>
      </c>
      <c r="C35" s="233" t="str">
        <f>VLOOKUP(D35,'Activity List CSI'!$B$4:$D$146,3,0)</f>
        <v>02300-16</v>
      </c>
      <c r="D35" s="37" t="s">
        <v>34</v>
      </c>
      <c r="E35" s="37" t="s">
        <v>584</v>
      </c>
      <c r="F35" s="30" t="s">
        <v>513</v>
      </c>
      <c r="G35" s="31"/>
      <c r="H35" s="32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0">
        <v>4</v>
      </c>
      <c r="AT35" s="34">
        <v>1400</v>
      </c>
      <c r="AU35" s="35">
        <f t="shared" si="0"/>
        <v>32</v>
      </c>
      <c r="AV35" s="36">
        <f t="shared" si="1"/>
        <v>2.2857142857142857E-2</v>
      </c>
    </row>
    <row r="36" spans="2:48" ht="24.75" customHeight="1" x14ac:dyDescent="0.35">
      <c r="B36" s="29" t="str">
        <f>VLOOKUP(D36,'Activity List CSI'!$B$4:$D$146,2,0)</f>
        <v>0222</v>
      </c>
      <c r="C36" s="233" t="str">
        <f>VLOOKUP(D36,'Activity List CSI'!$B$4:$D$146,3,0)</f>
        <v>02100-02</v>
      </c>
      <c r="D36" s="37" t="s">
        <v>39</v>
      </c>
      <c r="E36" s="37" t="s">
        <v>584</v>
      </c>
      <c r="F36" s="30" t="s">
        <v>513</v>
      </c>
      <c r="G36" s="31"/>
      <c r="H36" s="32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0">
        <v>4</v>
      </c>
      <c r="AT36" s="34">
        <f>225*2</f>
        <v>450</v>
      </c>
      <c r="AU36" s="35">
        <f t="shared" si="0"/>
        <v>32</v>
      </c>
      <c r="AV36" s="36">
        <f t="shared" si="1"/>
        <v>7.1111111111111111E-2</v>
      </c>
    </row>
    <row r="37" spans="2:48" ht="24.75" customHeight="1" x14ac:dyDescent="0.35">
      <c r="B37" s="29" t="str">
        <f>VLOOKUP(D37,'Activity List CSI'!$B$4:$D$146,2,0)</f>
        <v>0223</v>
      </c>
      <c r="C37" s="233" t="str">
        <f>VLOOKUP(D37,'Activity List CSI'!$B$4:$D$146,3,0)</f>
        <v>02700-01</v>
      </c>
      <c r="D37" s="37" t="s">
        <v>407</v>
      </c>
      <c r="E37" s="37" t="s">
        <v>599</v>
      </c>
      <c r="F37" s="30" t="s">
        <v>513</v>
      </c>
      <c r="G37" s="31"/>
      <c r="H37" s="32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>
        <v>1</v>
      </c>
      <c r="AL37" s="33">
        <v>1</v>
      </c>
      <c r="AM37" s="33"/>
      <c r="AN37" s="33"/>
      <c r="AO37" s="33"/>
      <c r="AP37" s="33"/>
      <c r="AQ37" s="33"/>
      <c r="AR37" s="33"/>
      <c r="AS37" s="30"/>
      <c r="AT37" s="34">
        <v>700</v>
      </c>
      <c r="AU37" s="35">
        <f t="shared" si="0"/>
        <v>16</v>
      </c>
      <c r="AV37" s="36">
        <f t="shared" si="1"/>
        <v>2.2857142857142857E-2</v>
      </c>
    </row>
    <row r="38" spans="2:48" ht="24.75" customHeight="1" x14ac:dyDescent="0.35">
      <c r="B38" s="29" t="str">
        <f>VLOOKUP(D38,'Activity List CSI'!$B$4:$D$146,2,0)</f>
        <v>0223</v>
      </c>
      <c r="C38" s="233" t="str">
        <f>VLOOKUP(D38,'Activity List CSI'!$B$4:$D$146,3,0)</f>
        <v>02700-01</v>
      </c>
      <c r="D38" s="37" t="s">
        <v>407</v>
      </c>
      <c r="E38" s="37" t="s">
        <v>584</v>
      </c>
      <c r="F38" s="30" t="s">
        <v>513</v>
      </c>
      <c r="G38" s="31"/>
      <c r="H38" s="32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0">
        <v>4</v>
      </c>
      <c r="AT38" s="34">
        <v>700</v>
      </c>
      <c r="AU38" s="35">
        <f t="shared" si="0"/>
        <v>32</v>
      </c>
      <c r="AV38" s="36">
        <f t="shared" si="1"/>
        <v>4.5714285714285714E-2</v>
      </c>
    </row>
    <row r="39" spans="2:48" ht="24.75" customHeight="1" x14ac:dyDescent="0.35">
      <c r="B39" s="29" t="str">
        <f>VLOOKUP(D39,'Activity List CSI'!$B$4:$D$146,2,0)</f>
        <v>0224</v>
      </c>
      <c r="C39" s="233" t="str">
        <f>VLOOKUP(D39,'Activity List CSI'!$B$4:$D$146,3,0)</f>
        <v>02700-02</v>
      </c>
      <c r="D39" s="37" t="s">
        <v>40</v>
      </c>
      <c r="E39" s="37" t="s">
        <v>599</v>
      </c>
      <c r="F39" s="30" t="s">
        <v>513</v>
      </c>
      <c r="G39" s="31"/>
      <c r="H39" s="32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>
        <v>1</v>
      </c>
      <c r="AL39" s="33">
        <v>1</v>
      </c>
      <c r="AM39" s="33"/>
      <c r="AN39" s="33"/>
      <c r="AO39" s="33"/>
      <c r="AP39" s="33"/>
      <c r="AQ39" s="33"/>
      <c r="AR39" s="33"/>
      <c r="AS39" s="30"/>
      <c r="AT39" s="34">
        <v>700</v>
      </c>
      <c r="AU39" s="35">
        <f t="shared" ref="AU39:AU83" si="4">SUM(G39:AS39)*8</f>
        <v>16</v>
      </c>
      <c r="AV39" s="36">
        <f t="shared" si="1"/>
        <v>2.2857142857142857E-2</v>
      </c>
    </row>
    <row r="40" spans="2:48" ht="24.75" customHeight="1" x14ac:dyDescent="0.35">
      <c r="B40" s="29" t="str">
        <f>VLOOKUP(D40,'Activity List CSI'!$B$4:$D$146,2,0)</f>
        <v>0224</v>
      </c>
      <c r="C40" s="233" t="str">
        <f>VLOOKUP(D40,'Activity List CSI'!$B$4:$D$146,3,0)</f>
        <v>02700-02</v>
      </c>
      <c r="D40" s="37" t="s">
        <v>40</v>
      </c>
      <c r="E40" s="37" t="s">
        <v>584</v>
      </c>
      <c r="F40" s="30" t="s">
        <v>513</v>
      </c>
      <c r="G40" s="31"/>
      <c r="H40" s="32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0">
        <v>4</v>
      </c>
      <c r="AT40" s="34">
        <v>700</v>
      </c>
      <c r="AU40" s="35">
        <f t="shared" si="4"/>
        <v>32</v>
      </c>
      <c r="AV40" s="36">
        <f t="shared" si="1"/>
        <v>4.5714285714285714E-2</v>
      </c>
    </row>
    <row r="41" spans="2:48" ht="24.75" customHeight="1" x14ac:dyDescent="0.35">
      <c r="B41" s="29" t="str">
        <f>VLOOKUP(D41,'Activity List CSI'!$B$4:$D$146,2,0)</f>
        <v>0225</v>
      </c>
      <c r="C41" s="233" t="str">
        <f>VLOOKUP(D41,'Activity List CSI'!$B$4:$D$146,3,0)</f>
        <v>02700-03</v>
      </c>
      <c r="D41" s="37" t="s">
        <v>41</v>
      </c>
      <c r="E41" s="37" t="s">
        <v>599</v>
      </c>
      <c r="F41" s="30" t="s">
        <v>513</v>
      </c>
      <c r="G41" s="31"/>
      <c r="H41" s="32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>
        <v>1</v>
      </c>
      <c r="AL41" s="33">
        <v>1</v>
      </c>
      <c r="AM41" s="33"/>
      <c r="AN41" s="33"/>
      <c r="AO41" s="33"/>
      <c r="AP41" s="33"/>
      <c r="AQ41" s="33"/>
      <c r="AR41" s="33"/>
      <c r="AS41" s="30"/>
      <c r="AT41" s="34">
        <v>700</v>
      </c>
      <c r="AU41" s="35">
        <f t="shared" si="4"/>
        <v>16</v>
      </c>
      <c r="AV41" s="36">
        <f t="shared" si="1"/>
        <v>2.2857142857142857E-2</v>
      </c>
    </row>
    <row r="42" spans="2:48" ht="24.75" customHeight="1" x14ac:dyDescent="0.35">
      <c r="B42" s="29" t="str">
        <f>VLOOKUP(D42,'Activity List CSI'!$B$4:$D$146,2,0)</f>
        <v>0225</v>
      </c>
      <c r="C42" s="233" t="str">
        <f>VLOOKUP(D42,'Activity List CSI'!$B$4:$D$146,3,0)</f>
        <v>02700-03</v>
      </c>
      <c r="D42" s="37" t="s">
        <v>41</v>
      </c>
      <c r="E42" s="37" t="s">
        <v>584</v>
      </c>
      <c r="F42" s="30" t="s">
        <v>513</v>
      </c>
      <c r="G42" s="31"/>
      <c r="H42" s="32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0">
        <v>4</v>
      </c>
      <c r="AT42" s="34">
        <v>700</v>
      </c>
      <c r="AU42" s="35">
        <f t="shared" si="4"/>
        <v>32</v>
      </c>
      <c r="AV42" s="36">
        <f t="shared" si="1"/>
        <v>4.5714285714285714E-2</v>
      </c>
    </row>
    <row r="43" spans="2:48" ht="24.75" customHeight="1" x14ac:dyDescent="0.35">
      <c r="B43" s="29" t="str">
        <f>VLOOKUP(D43,'Activity List CSI'!$B$4:$D$146,2,0)</f>
        <v>0226</v>
      </c>
      <c r="C43" s="233" t="str">
        <f>VLOOKUP(D43,'Activity List CSI'!$B$4:$D$146,3,0)</f>
        <v>02700-04</v>
      </c>
      <c r="D43" s="37" t="s">
        <v>42</v>
      </c>
      <c r="E43" s="37" t="s">
        <v>599</v>
      </c>
      <c r="F43" s="30" t="s">
        <v>513</v>
      </c>
      <c r="G43" s="31"/>
      <c r="H43" s="32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>
        <v>1</v>
      </c>
      <c r="AL43" s="33">
        <v>1</v>
      </c>
      <c r="AM43" s="33"/>
      <c r="AN43" s="33"/>
      <c r="AO43" s="33"/>
      <c r="AP43" s="33"/>
      <c r="AQ43" s="33"/>
      <c r="AR43" s="33"/>
      <c r="AS43" s="30"/>
      <c r="AT43" s="34">
        <v>550</v>
      </c>
      <c r="AU43" s="35">
        <f t="shared" si="4"/>
        <v>16</v>
      </c>
      <c r="AV43" s="36">
        <f t="shared" si="1"/>
        <v>2.9090909090909091E-2</v>
      </c>
    </row>
    <row r="44" spans="2:48" ht="24.75" customHeight="1" x14ac:dyDescent="0.35">
      <c r="B44" s="29" t="str">
        <f>VLOOKUP(D44,'Activity List CSI'!$B$4:$D$146,2,0)</f>
        <v>0226</v>
      </c>
      <c r="C44" s="233" t="str">
        <f>VLOOKUP(D44,'Activity List CSI'!$B$4:$D$146,3,0)</f>
        <v>02700-04</v>
      </c>
      <c r="D44" s="37" t="s">
        <v>42</v>
      </c>
      <c r="E44" s="37" t="s">
        <v>584</v>
      </c>
      <c r="F44" s="30" t="s">
        <v>513</v>
      </c>
      <c r="G44" s="31"/>
      <c r="H44" s="32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0">
        <v>4</v>
      </c>
      <c r="AT44" s="34">
        <v>550</v>
      </c>
      <c r="AU44" s="35">
        <f t="shared" si="4"/>
        <v>32</v>
      </c>
      <c r="AV44" s="36">
        <f t="shared" si="1"/>
        <v>5.8181818181818182E-2</v>
      </c>
    </row>
    <row r="45" spans="2:48" ht="24.75" customHeight="1" x14ac:dyDescent="0.35">
      <c r="B45" s="29" t="str">
        <f>VLOOKUP(D45,'Activity List CSI'!$B$4:$D$146,2,0)</f>
        <v>0227</v>
      </c>
      <c r="C45" s="233" t="str">
        <f>VLOOKUP(D45,'Activity List CSI'!$B$4:$D$146,3,0)</f>
        <v>02700-05</v>
      </c>
      <c r="D45" s="37" t="s">
        <v>43</v>
      </c>
      <c r="E45" s="37" t="s">
        <v>599</v>
      </c>
      <c r="F45" s="30" t="s">
        <v>513</v>
      </c>
      <c r="G45" s="31"/>
      <c r="H45" s="32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>
        <v>1</v>
      </c>
      <c r="AL45" s="33">
        <v>1</v>
      </c>
      <c r="AM45" s="33"/>
      <c r="AN45" s="33"/>
      <c r="AO45" s="33"/>
      <c r="AP45" s="33"/>
      <c r="AQ45" s="33"/>
      <c r="AR45" s="33"/>
      <c r="AS45" s="30"/>
      <c r="AT45" s="34">
        <v>500</v>
      </c>
      <c r="AU45" s="35">
        <f t="shared" si="4"/>
        <v>16</v>
      </c>
      <c r="AV45" s="36">
        <f t="shared" si="1"/>
        <v>3.2000000000000001E-2</v>
      </c>
    </row>
    <row r="46" spans="2:48" ht="24.75" customHeight="1" x14ac:dyDescent="0.35">
      <c r="B46" s="29" t="str">
        <f>VLOOKUP(D46,'Activity List CSI'!$B$4:$D$146,2,0)</f>
        <v>0227</v>
      </c>
      <c r="C46" s="233" t="str">
        <f>VLOOKUP(D46,'Activity List CSI'!$B$4:$D$146,3,0)</f>
        <v>02700-05</v>
      </c>
      <c r="D46" s="37" t="s">
        <v>43</v>
      </c>
      <c r="E46" s="37" t="s">
        <v>584</v>
      </c>
      <c r="F46" s="30" t="s">
        <v>513</v>
      </c>
      <c r="G46" s="31"/>
      <c r="H46" s="32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0">
        <v>4</v>
      </c>
      <c r="AT46" s="34">
        <v>500</v>
      </c>
      <c r="AU46" s="35">
        <f t="shared" si="4"/>
        <v>32</v>
      </c>
      <c r="AV46" s="36">
        <f t="shared" si="1"/>
        <v>6.4000000000000001E-2</v>
      </c>
    </row>
    <row r="47" spans="2:48" ht="24.75" customHeight="1" x14ac:dyDescent="0.35">
      <c r="B47" s="29" t="str">
        <f>VLOOKUP(D47,'Activity List CSI'!$B$4:$D$146,2,0)</f>
        <v>0228</v>
      </c>
      <c r="C47" s="233" t="str">
        <f>VLOOKUP(D47,'Activity List CSI'!$B$4:$D$146,3,0)</f>
        <v>02700-06</v>
      </c>
      <c r="D47" s="37" t="s">
        <v>44</v>
      </c>
      <c r="E47" s="37" t="s">
        <v>584</v>
      </c>
      <c r="F47" s="30" t="s">
        <v>513</v>
      </c>
      <c r="G47" s="31"/>
      <c r="H47" s="32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0">
        <v>2</v>
      </c>
      <c r="AT47" s="34">
        <v>1000</v>
      </c>
      <c r="AU47" s="35">
        <f t="shared" si="4"/>
        <v>16</v>
      </c>
      <c r="AV47" s="36">
        <f t="shared" si="1"/>
        <v>1.6E-2</v>
      </c>
    </row>
    <row r="48" spans="2:48" ht="24.75" customHeight="1" x14ac:dyDescent="0.35">
      <c r="B48" s="29" t="str">
        <f>VLOOKUP(D48,'Activity List CSI'!$B$4:$D$146,2,0)</f>
        <v>0229</v>
      </c>
      <c r="C48" s="233" t="str">
        <f>VLOOKUP(D48,'Activity List CSI'!$B$4:$D$146,3,0)</f>
        <v>02700-07</v>
      </c>
      <c r="D48" s="37" t="s">
        <v>45</v>
      </c>
      <c r="E48" s="37" t="s">
        <v>599</v>
      </c>
      <c r="F48" s="30" t="s">
        <v>513</v>
      </c>
      <c r="G48" s="31"/>
      <c r="H48" s="32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>
        <v>1</v>
      </c>
      <c r="AL48" s="33">
        <v>1</v>
      </c>
      <c r="AM48" s="33"/>
      <c r="AN48" s="33"/>
      <c r="AO48" s="33"/>
      <c r="AP48" s="33"/>
      <c r="AQ48" s="33"/>
      <c r="AR48" s="33"/>
      <c r="AS48" s="30"/>
      <c r="AT48" s="34">
        <v>1000</v>
      </c>
      <c r="AU48" s="35">
        <f t="shared" si="4"/>
        <v>16</v>
      </c>
      <c r="AV48" s="36">
        <f t="shared" si="1"/>
        <v>1.6E-2</v>
      </c>
    </row>
    <row r="49" spans="2:48" ht="24.75" customHeight="1" x14ac:dyDescent="0.35">
      <c r="B49" s="29" t="str">
        <f>VLOOKUP(D49,'Activity List CSI'!$B$4:$D$146,2,0)</f>
        <v>0229</v>
      </c>
      <c r="C49" s="233" t="str">
        <f>VLOOKUP(D49,'Activity List CSI'!$B$4:$D$146,3,0)</f>
        <v>02700-07</v>
      </c>
      <c r="D49" s="37" t="s">
        <v>45</v>
      </c>
      <c r="E49" s="37" t="s">
        <v>580</v>
      </c>
      <c r="F49" s="30" t="s">
        <v>513</v>
      </c>
      <c r="G49" s="31"/>
      <c r="H49" s="32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>
        <v>1</v>
      </c>
      <c r="AP49" s="33">
        <v>5</v>
      </c>
      <c r="AQ49" s="33"/>
      <c r="AR49" s="33"/>
      <c r="AS49" s="30">
        <v>4</v>
      </c>
      <c r="AT49" s="34">
        <v>1000</v>
      </c>
      <c r="AU49" s="35">
        <f t="shared" si="4"/>
        <v>80</v>
      </c>
      <c r="AV49" s="36">
        <f t="shared" si="1"/>
        <v>0.08</v>
      </c>
    </row>
    <row r="50" spans="2:48" ht="24.75" customHeight="1" x14ac:dyDescent="0.35">
      <c r="B50" s="29" t="str">
        <f>VLOOKUP(D50,'Activity List CSI'!$B$4:$D$146,2,0)</f>
        <v>0230</v>
      </c>
      <c r="C50" s="233" t="str">
        <f>VLOOKUP(D50,'Activity List CSI'!$B$4:$D$146,3,0)</f>
        <v>02700-08</v>
      </c>
      <c r="D50" s="37" t="s">
        <v>46</v>
      </c>
      <c r="E50" s="37" t="s">
        <v>584</v>
      </c>
      <c r="F50" s="30" t="s">
        <v>513</v>
      </c>
      <c r="G50" s="31"/>
      <c r="H50" s="32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0">
        <v>2</v>
      </c>
      <c r="AT50" s="34">
        <v>1000</v>
      </c>
      <c r="AU50" s="35">
        <f t="shared" si="4"/>
        <v>16</v>
      </c>
      <c r="AV50" s="36">
        <f t="shared" si="1"/>
        <v>1.6E-2</v>
      </c>
    </row>
    <row r="51" spans="2:48" ht="24.75" customHeight="1" x14ac:dyDescent="0.35">
      <c r="B51" s="29" t="str">
        <f>VLOOKUP(D51,'Activity List CSI'!$B$4:$D$146,2,0)</f>
        <v>0231</v>
      </c>
      <c r="C51" s="233" t="str">
        <f>VLOOKUP(D51,'Activity List CSI'!$B$4:$D$146,3,0)</f>
        <v>02700-09</v>
      </c>
      <c r="D51" s="37" t="s">
        <v>47</v>
      </c>
      <c r="E51" s="37" t="s">
        <v>599</v>
      </c>
      <c r="F51" s="30" t="s">
        <v>513</v>
      </c>
      <c r="G51" s="31"/>
      <c r="H51" s="32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>
        <v>1</v>
      </c>
      <c r="AL51" s="33">
        <v>1</v>
      </c>
      <c r="AM51" s="33"/>
      <c r="AN51" s="33"/>
      <c r="AO51" s="33"/>
      <c r="AP51" s="33"/>
      <c r="AQ51" s="33"/>
      <c r="AR51" s="33"/>
      <c r="AS51" s="30"/>
      <c r="AT51" s="34">
        <v>1200</v>
      </c>
      <c r="AU51" s="35">
        <f t="shared" si="4"/>
        <v>16</v>
      </c>
      <c r="AV51" s="36">
        <f t="shared" si="1"/>
        <v>1.3333333333333334E-2</v>
      </c>
    </row>
    <row r="52" spans="2:48" ht="24.75" customHeight="1" x14ac:dyDescent="0.35">
      <c r="B52" s="29" t="str">
        <f>VLOOKUP(D52,'Activity List CSI'!$B$4:$D$146,2,0)</f>
        <v>0231</v>
      </c>
      <c r="C52" s="233" t="str">
        <f>VLOOKUP(D52,'Activity List CSI'!$B$4:$D$146,3,0)</f>
        <v>02700-09</v>
      </c>
      <c r="D52" s="37" t="s">
        <v>47</v>
      </c>
      <c r="E52" s="37" t="s">
        <v>580</v>
      </c>
      <c r="F52" s="30" t="s">
        <v>513</v>
      </c>
      <c r="G52" s="31"/>
      <c r="H52" s="32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>
        <v>1</v>
      </c>
      <c r="AP52" s="33">
        <v>5</v>
      </c>
      <c r="AQ52" s="33"/>
      <c r="AR52" s="33"/>
      <c r="AS52" s="30">
        <v>4</v>
      </c>
      <c r="AT52" s="34">
        <v>1200</v>
      </c>
      <c r="AU52" s="35">
        <f t="shared" si="4"/>
        <v>80</v>
      </c>
      <c r="AV52" s="36">
        <f t="shared" si="1"/>
        <v>6.6666666666666666E-2</v>
      </c>
    </row>
    <row r="53" spans="2:48" ht="24.75" customHeight="1" x14ac:dyDescent="0.35">
      <c r="B53" s="29" t="str">
        <f>VLOOKUP(D53,'Activity List CSI'!$B$4:$D$146,2,0)</f>
        <v>0232</v>
      </c>
      <c r="C53" s="233" t="str">
        <f>VLOOKUP(D53,'Activity List CSI'!$B$4:$D$146,3,0)</f>
        <v>09900-04</v>
      </c>
      <c r="D53" s="37" t="s">
        <v>48</v>
      </c>
      <c r="E53" s="37" t="s">
        <v>599</v>
      </c>
      <c r="F53" s="30" t="s">
        <v>519</v>
      </c>
      <c r="G53" s="31"/>
      <c r="H53" s="32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>
        <v>1</v>
      </c>
      <c r="AL53" s="33">
        <v>1</v>
      </c>
      <c r="AM53" s="33"/>
      <c r="AN53" s="33"/>
      <c r="AO53" s="33"/>
      <c r="AP53" s="33"/>
      <c r="AQ53" s="33"/>
      <c r="AR53" s="33"/>
      <c r="AS53" s="30"/>
      <c r="AT53" s="34">
        <v>1800</v>
      </c>
      <c r="AU53" s="35">
        <f t="shared" si="4"/>
        <v>16</v>
      </c>
      <c r="AV53" s="36">
        <f t="shared" si="1"/>
        <v>8.8888888888888889E-3</v>
      </c>
    </row>
    <row r="54" spans="2:48" ht="24.75" customHeight="1" x14ac:dyDescent="0.35">
      <c r="B54" s="29" t="str">
        <f>VLOOKUP(D54,'Activity List CSI'!$B$4:$D$146,2,0)</f>
        <v>0232</v>
      </c>
      <c r="C54" s="233" t="str">
        <f>VLOOKUP(D54,'Activity List CSI'!$B$4:$D$146,3,0)</f>
        <v>09900-04</v>
      </c>
      <c r="D54" s="37" t="s">
        <v>48</v>
      </c>
      <c r="E54" s="37" t="s">
        <v>584</v>
      </c>
      <c r="F54" s="30" t="s">
        <v>519</v>
      </c>
      <c r="G54" s="31"/>
      <c r="H54" s="32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0">
        <v>4</v>
      </c>
      <c r="AT54" s="34">
        <v>1800</v>
      </c>
      <c r="AU54" s="35">
        <f t="shared" si="4"/>
        <v>32</v>
      </c>
      <c r="AV54" s="36">
        <f t="shared" si="1"/>
        <v>1.7777777777777778E-2</v>
      </c>
    </row>
    <row r="55" spans="2:48" ht="24.75" customHeight="1" x14ac:dyDescent="0.35">
      <c r="B55" s="29" t="str">
        <f>VLOOKUP(D55,'Activity List CSI'!$B$4:$D$146,2,0)</f>
        <v>0233</v>
      </c>
      <c r="C55" s="233" t="str">
        <f>VLOOKUP(D55,'Activity List CSI'!$B$4:$D$146,3,0)</f>
        <v>02700-10</v>
      </c>
      <c r="D55" s="37" t="s">
        <v>49</v>
      </c>
      <c r="E55" s="37" t="s">
        <v>584</v>
      </c>
      <c r="F55" s="30" t="s">
        <v>519</v>
      </c>
      <c r="G55" s="31"/>
      <c r="H55" s="32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>
        <v>1</v>
      </c>
      <c r="AS55" s="30">
        <v>4</v>
      </c>
      <c r="AT55" s="34">
        <v>150</v>
      </c>
      <c r="AU55" s="35">
        <f t="shared" si="4"/>
        <v>40</v>
      </c>
      <c r="AV55" s="36">
        <f t="shared" si="1"/>
        <v>0.26666666666666666</v>
      </c>
    </row>
    <row r="56" spans="2:48" ht="24.75" customHeight="1" x14ac:dyDescent="0.35">
      <c r="B56" s="29" t="str">
        <f>VLOOKUP(D56,'Activity List CSI'!$B$4:$D$146,2,0)</f>
        <v>0234</v>
      </c>
      <c r="C56" s="233" t="str">
        <f>VLOOKUP(D56,'Activity List CSI'!$B$4:$D$146,3,0)</f>
        <v>10100-02</v>
      </c>
      <c r="D56" s="37" t="s">
        <v>50</v>
      </c>
      <c r="E56" s="37" t="s">
        <v>584</v>
      </c>
      <c r="F56" s="30" t="s">
        <v>568</v>
      </c>
      <c r="G56" s="31"/>
      <c r="H56" s="32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>
        <v>2</v>
      </c>
      <c r="AS56" s="30">
        <v>3</v>
      </c>
      <c r="AT56" s="34">
        <v>24</v>
      </c>
      <c r="AU56" s="35">
        <f t="shared" si="4"/>
        <v>40</v>
      </c>
      <c r="AV56" s="36">
        <f t="shared" si="1"/>
        <v>1.6666666666666667</v>
      </c>
    </row>
    <row r="57" spans="2:48" ht="24.75" customHeight="1" x14ac:dyDescent="0.35">
      <c r="B57" s="29" t="str">
        <f>VLOOKUP(D57,'Activity List CSI'!$B$4:$D$146,2,0)</f>
        <v>0235</v>
      </c>
      <c r="C57" s="233" t="str">
        <f>VLOOKUP(D57,'Activity List CSI'!$B$4:$D$146,3,0)</f>
        <v>05650-01</v>
      </c>
      <c r="D57" s="37" t="s">
        <v>51</v>
      </c>
      <c r="E57" s="37" t="s">
        <v>584</v>
      </c>
      <c r="F57" s="30" t="s">
        <v>519</v>
      </c>
      <c r="G57" s="31"/>
      <c r="H57" s="32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>
        <v>1</v>
      </c>
      <c r="AS57" s="30">
        <v>16</v>
      </c>
      <c r="AT57" s="34">
        <v>65</v>
      </c>
      <c r="AU57" s="35">
        <f t="shared" si="4"/>
        <v>136</v>
      </c>
      <c r="AV57" s="36">
        <f t="shared" si="1"/>
        <v>2.0923076923076924</v>
      </c>
    </row>
    <row r="58" spans="2:48" ht="24.75" customHeight="1" x14ac:dyDescent="0.35">
      <c r="B58" s="29" t="str">
        <f>VLOOKUP(D58,'Activity List CSI'!$B$4:$D$146,2,0)</f>
        <v>0237</v>
      </c>
      <c r="C58" s="233" t="str">
        <f>VLOOKUP(D58,'Activity List CSI'!$B$4:$D$146,3,0)</f>
        <v>02200-01</v>
      </c>
      <c r="D58" s="37" t="s">
        <v>1</v>
      </c>
      <c r="E58" s="37" t="s">
        <v>599</v>
      </c>
      <c r="F58" s="30" t="s">
        <v>513</v>
      </c>
      <c r="G58" s="31"/>
      <c r="H58" s="32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>
        <v>1</v>
      </c>
      <c r="AL58" s="33">
        <v>1</v>
      </c>
      <c r="AM58" s="33"/>
      <c r="AN58" s="33"/>
      <c r="AO58" s="33"/>
      <c r="AP58" s="33"/>
      <c r="AQ58" s="33"/>
      <c r="AR58" s="33"/>
      <c r="AS58" s="30"/>
      <c r="AT58" s="34">
        <v>2000</v>
      </c>
      <c r="AU58" s="35">
        <f t="shared" si="4"/>
        <v>16</v>
      </c>
      <c r="AV58" s="36">
        <f t="shared" si="1"/>
        <v>8.0000000000000002E-3</v>
      </c>
    </row>
    <row r="59" spans="2:48" ht="24.75" customHeight="1" x14ac:dyDescent="0.35">
      <c r="B59" s="29" t="str">
        <f>VLOOKUP(D59,'Activity List CSI'!$B$4:$D$146,2,0)</f>
        <v>0238</v>
      </c>
      <c r="C59" s="233" t="str">
        <f>VLOOKUP(D59,'Activity List CSI'!$B$4:$D$146,3,0)</f>
        <v>02200-02</v>
      </c>
      <c r="D59" s="37" t="s">
        <v>53</v>
      </c>
      <c r="E59" s="37" t="s">
        <v>599</v>
      </c>
      <c r="F59" s="30" t="s">
        <v>513</v>
      </c>
      <c r="G59" s="31"/>
      <c r="H59" s="32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>
        <v>1</v>
      </c>
      <c r="AL59" s="33">
        <v>1</v>
      </c>
      <c r="AM59" s="33"/>
      <c r="AN59" s="33"/>
      <c r="AO59" s="33"/>
      <c r="AP59" s="33"/>
      <c r="AQ59" s="33"/>
      <c r="AR59" s="33"/>
      <c r="AS59" s="30"/>
      <c r="AT59" s="34">
        <v>2000</v>
      </c>
      <c r="AU59" s="35">
        <f t="shared" ref="AU59" si="5">SUM(G59:AS59)*8</f>
        <v>16</v>
      </c>
      <c r="AV59" s="36">
        <f t="shared" ref="AV59" si="6">(AU59/AT59)</f>
        <v>8.0000000000000002E-3</v>
      </c>
    </row>
    <row r="60" spans="2:48" ht="24.75" customHeight="1" x14ac:dyDescent="0.35">
      <c r="B60" s="29" t="str">
        <f>VLOOKUP(D60,'Activity List CSI'!$B$4:$D$146,2,0)</f>
        <v>0245</v>
      </c>
      <c r="C60" s="233" t="str">
        <f>VLOOKUP(D60,'Activity List CSI'!$B$4:$D$146,3,0)</f>
        <v>02200-03</v>
      </c>
      <c r="D60" s="37" t="s">
        <v>64</v>
      </c>
      <c r="E60" s="37" t="s">
        <v>584</v>
      </c>
      <c r="F60" s="30" t="s">
        <v>515</v>
      </c>
      <c r="G60" s="31"/>
      <c r="H60" s="32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>
        <v>1</v>
      </c>
      <c r="AS60" s="30">
        <v>12</v>
      </c>
      <c r="AT60" s="34">
        <f>350*4</f>
        <v>1400</v>
      </c>
      <c r="AU60" s="35">
        <f t="shared" si="4"/>
        <v>104</v>
      </c>
      <c r="AV60" s="36">
        <f t="shared" si="1"/>
        <v>7.4285714285714288E-2</v>
      </c>
    </row>
    <row r="61" spans="2:48" ht="24.75" customHeight="1" x14ac:dyDescent="0.35">
      <c r="B61" s="29" t="str">
        <f>VLOOKUP(D61,'Activity List CSI'!$B$4:$D$146,2,0)</f>
        <v>0247</v>
      </c>
      <c r="C61" s="233" t="str">
        <f>VLOOKUP(D61,'Activity List CSI'!$B$4:$D$146,3,0)</f>
        <v>02200-04</v>
      </c>
      <c r="D61" s="37" t="s">
        <v>67</v>
      </c>
      <c r="E61" s="37" t="s">
        <v>584</v>
      </c>
      <c r="F61" s="30" t="s">
        <v>512</v>
      </c>
      <c r="G61" s="31"/>
      <c r="H61" s="32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>
        <v>1</v>
      </c>
      <c r="AS61" s="30">
        <f>4*8</f>
        <v>32</v>
      </c>
      <c r="AT61" s="34">
        <v>12</v>
      </c>
      <c r="AU61" s="35">
        <f t="shared" si="4"/>
        <v>264</v>
      </c>
      <c r="AV61" s="36">
        <f t="shared" si="1"/>
        <v>22</v>
      </c>
    </row>
    <row r="62" spans="2:48" ht="24.75" customHeight="1" x14ac:dyDescent="0.35">
      <c r="B62" s="29" t="str">
        <f>VLOOKUP(D62,'Activity List CSI'!$B$4:$D$146,2,0)</f>
        <v>0248</v>
      </c>
      <c r="C62" s="233" t="str">
        <f>VLOOKUP(D62,'Activity List CSI'!$B$4:$D$146,3,0)</f>
        <v>02200-05</v>
      </c>
      <c r="D62" s="37" t="s">
        <v>69</v>
      </c>
      <c r="E62" s="37" t="s">
        <v>599</v>
      </c>
      <c r="F62" s="30" t="s">
        <v>515</v>
      </c>
      <c r="G62" s="31"/>
      <c r="H62" s="32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>
        <v>1</v>
      </c>
      <c r="AL62" s="33">
        <v>1</v>
      </c>
      <c r="AM62" s="33"/>
      <c r="AN62" s="33"/>
      <c r="AO62" s="33"/>
      <c r="AP62" s="33"/>
      <c r="AQ62" s="33"/>
      <c r="AR62" s="33"/>
      <c r="AS62" s="30"/>
      <c r="AT62" s="34">
        <v>25</v>
      </c>
      <c r="AU62" s="35">
        <f t="shared" si="4"/>
        <v>16</v>
      </c>
      <c r="AV62" s="36">
        <f t="shared" si="1"/>
        <v>0.64</v>
      </c>
    </row>
    <row r="63" spans="2:48" ht="24.75" customHeight="1" x14ac:dyDescent="0.35">
      <c r="B63" s="29" t="str">
        <f>VLOOKUP(D63,'Activity List CSI'!$B$4:$D$146,2,0)</f>
        <v>0301</v>
      </c>
      <c r="C63" s="233" t="str">
        <f>VLOOKUP(D63,'Activity List CSI'!$B$4:$D$146,3,0)</f>
        <v>03300-01</v>
      </c>
      <c r="D63" s="37" t="s">
        <v>76</v>
      </c>
      <c r="E63" s="37" t="s">
        <v>581</v>
      </c>
      <c r="F63" s="30" t="s">
        <v>513</v>
      </c>
      <c r="G63" s="31">
        <v>1</v>
      </c>
      <c r="H63" s="32">
        <v>6</v>
      </c>
      <c r="I63" s="33">
        <v>6</v>
      </c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>
        <v>1</v>
      </c>
      <c r="AL63" s="33">
        <v>1</v>
      </c>
      <c r="AM63" s="33"/>
      <c r="AN63" s="33"/>
      <c r="AO63" s="33"/>
      <c r="AP63" s="33"/>
      <c r="AQ63" s="33"/>
      <c r="AR63" s="33"/>
      <c r="AS63" s="30"/>
      <c r="AT63" s="34">
        <f>((100*2)*0.75)*3</f>
        <v>450</v>
      </c>
      <c r="AU63" s="35">
        <f t="shared" si="4"/>
        <v>120</v>
      </c>
      <c r="AV63" s="36">
        <f t="shared" si="1"/>
        <v>0.26666666666666666</v>
      </c>
    </row>
    <row r="64" spans="2:48" ht="24.75" customHeight="1" x14ac:dyDescent="0.35">
      <c r="B64" s="29" t="str">
        <f>VLOOKUP(D64,'Activity List CSI'!$B$4:$D$146,2,0)</f>
        <v>0302</v>
      </c>
      <c r="C64" s="233" t="str">
        <f>VLOOKUP(D64,'Activity List CSI'!$B$4:$D$146,3,0)</f>
        <v>03300-02</v>
      </c>
      <c r="D64" s="37" t="s">
        <v>78</v>
      </c>
      <c r="E64" s="37" t="s">
        <v>581</v>
      </c>
      <c r="F64" s="30" t="s">
        <v>515</v>
      </c>
      <c r="G64" s="31">
        <v>1</v>
      </c>
      <c r="H64" s="32">
        <v>6</v>
      </c>
      <c r="I64" s="33">
        <v>6</v>
      </c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>
        <v>1</v>
      </c>
      <c r="AL64" s="33">
        <v>1</v>
      </c>
      <c r="AM64" s="33"/>
      <c r="AN64" s="33"/>
      <c r="AO64" s="33"/>
      <c r="AP64" s="33"/>
      <c r="AQ64" s="33"/>
      <c r="AR64" s="33"/>
      <c r="AS64" s="30"/>
      <c r="AT64" s="34">
        <f>((3*2)*0.75)*3</f>
        <v>13.5</v>
      </c>
      <c r="AU64" s="35">
        <f t="shared" si="4"/>
        <v>120</v>
      </c>
      <c r="AV64" s="36">
        <f t="shared" si="1"/>
        <v>8.8888888888888893</v>
      </c>
    </row>
    <row r="65" spans="2:48" ht="24.75" customHeight="1" x14ac:dyDescent="0.35">
      <c r="B65" s="29" t="str">
        <f>VLOOKUP(D65,'Activity List CSI'!$B$4:$D$146,2,0)</f>
        <v>0303</v>
      </c>
      <c r="C65" s="233" t="str">
        <f>VLOOKUP(D65,'Activity List CSI'!$B$4:$D$146,3,0)</f>
        <v>03300-03</v>
      </c>
      <c r="D65" s="37" t="s">
        <v>80</v>
      </c>
      <c r="E65" s="37" t="s">
        <v>581</v>
      </c>
      <c r="F65" s="30" t="s">
        <v>515</v>
      </c>
      <c r="G65" s="31">
        <v>1</v>
      </c>
      <c r="H65" s="32">
        <v>6</v>
      </c>
      <c r="I65" s="33">
        <v>6</v>
      </c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>
        <v>1</v>
      </c>
      <c r="AL65" s="33">
        <v>1</v>
      </c>
      <c r="AM65" s="33"/>
      <c r="AN65" s="33"/>
      <c r="AO65" s="33"/>
      <c r="AP65" s="33"/>
      <c r="AQ65" s="33"/>
      <c r="AR65" s="33"/>
      <c r="AS65" s="30"/>
      <c r="AT65" s="34">
        <f t="shared" ref="AT65:AT67" si="7">((3*2)*0.75)*3</f>
        <v>13.5</v>
      </c>
      <c r="AU65" s="35">
        <f t="shared" ref="AU65:AU67" si="8">SUM(G65:AS65)*8</f>
        <v>120</v>
      </c>
      <c r="AV65" s="36">
        <f t="shared" ref="AV65:AV67" si="9">(AU65/AT65)</f>
        <v>8.8888888888888893</v>
      </c>
    </row>
    <row r="66" spans="2:48" ht="24.75" customHeight="1" x14ac:dyDescent="0.35">
      <c r="B66" s="29" t="str">
        <f>VLOOKUP(D66,'Activity List CSI'!$B$4:$D$146,2,0)</f>
        <v>0304</v>
      </c>
      <c r="C66" s="233" t="str">
        <f>VLOOKUP(D66,'Activity List CSI'!$B$4:$D$146,3,0)</f>
        <v>03300-04</v>
      </c>
      <c r="D66" s="37" t="s">
        <v>82</v>
      </c>
      <c r="E66" s="37" t="s">
        <v>581</v>
      </c>
      <c r="F66" s="30" t="s">
        <v>515</v>
      </c>
      <c r="G66" s="31">
        <v>1</v>
      </c>
      <c r="H66" s="32">
        <v>6</v>
      </c>
      <c r="I66" s="33">
        <v>6</v>
      </c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>
        <v>1</v>
      </c>
      <c r="AL66" s="33">
        <v>1</v>
      </c>
      <c r="AM66" s="33"/>
      <c r="AN66" s="33"/>
      <c r="AO66" s="33"/>
      <c r="AP66" s="33"/>
      <c r="AQ66" s="33"/>
      <c r="AR66" s="33"/>
      <c r="AS66" s="30"/>
      <c r="AT66" s="34">
        <f t="shared" si="7"/>
        <v>13.5</v>
      </c>
      <c r="AU66" s="35">
        <f t="shared" si="8"/>
        <v>120</v>
      </c>
      <c r="AV66" s="36">
        <f t="shared" si="9"/>
        <v>8.8888888888888893</v>
      </c>
    </row>
    <row r="67" spans="2:48" ht="24.75" customHeight="1" x14ac:dyDescent="0.35">
      <c r="B67" s="29" t="str">
        <f>VLOOKUP(D67,'Activity List CSI'!$B$4:$D$146,2,0)</f>
        <v>0305</v>
      </c>
      <c r="C67" s="233" t="str">
        <f>VLOOKUP(D67,'Activity List CSI'!$B$4:$D$146,3,0)</f>
        <v>03300-05</v>
      </c>
      <c r="D67" s="37" t="s">
        <v>84</v>
      </c>
      <c r="E67" s="37" t="s">
        <v>581</v>
      </c>
      <c r="F67" s="30" t="s">
        <v>515</v>
      </c>
      <c r="G67" s="31">
        <v>1</v>
      </c>
      <c r="H67" s="32">
        <v>6</v>
      </c>
      <c r="I67" s="33">
        <v>6</v>
      </c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>
        <v>1</v>
      </c>
      <c r="AL67" s="33">
        <v>1</v>
      </c>
      <c r="AM67" s="33"/>
      <c r="AN67" s="33"/>
      <c r="AO67" s="33"/>
      <c r="AP67" s="33"/>
      <c r="AQ67" s="33"/>
      <c r="AR67" s="33"/>
      <c r="AS67" s="30"/>
      <c r="AT67" s="34">
        <f t="shared" si="7"/>
        <v>13.5</v>
      </c>
      <c r="AU67" s="35">
        <f t="shared" si="8"/>
        <v>120</v>
      </c>
      <c r="AV67" s="36">
        <f t="shared" si="9"/>
        <v>8.8888888888888893</v>
      </c>
    </row>
    <row r="68" spans="2:48" ht="24.75" customHeight="1" x14ac:dyDescent="0.35">
      <c r="B68" s="29" t="str">
        <f>VLOOKUP(D68,'Activity List CSI'!$B$4:$D$146,2,0)</f>
        <v>0306</v>
      </c>
      <c r="C68" s="233" t="str">
        <f>VLOOKUP(D68,'Activity List CSI'!$B$4:$D$146,3,0)</f>
        <v>03300-06</v>
      </c>
      <c r="D68" s="37" t="s">
        <v>86</v>
      </c>
      <c r="E68" s="37" t="s">
        <v>581</v>
      </c>
      <c r="F68" s="30" t="s">
        <v>515</v>
      </c>
      <c r="G68" s="31">
        <v>1</v>
      </c>
      <c r="H68" s="32">
        <v>6</v>
      </c>
      <c r="I68" s="33">
        <v>6</v>
      </c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>
        <v>1</v>
      </c>
      <c r="AL68" s="33">
        <v>1</v>
      </c>
      <c r="AM68" s="33"/>
      <c r="AN68" s="33"/>
      <c r="AO68" s="33"/>
      <c r="AP68" s="33"/>
      <c r="AQ68" s="33"/>
      <c r="AR68" s="33"/>
      <c r="AS68" s="30">
        <v>6</v>
      </c>
      <c r="AT68" s="34">
        <f>((1.2*2)*0.75)*3</f>
        <v>5.3999999999999995</v>
      </c>
      <c r="AU68" s="35">
        <f t="shared" si="4"/>
        <v>168</v>
      </c>
      <c r="AV68" s="36">
        <f t="shared" si="1"/>
        <v>31.111111111111114</v>
      </c>
    </row>
    <row r="69" spans="2:48" ht="24.75" customHeight="1" x14ac:dyDescent="0.35">
      <c r="B69" s="29" t="str">
        <f>VLOOKUP(D69,'Activity List CSI'!$B$4:$D$146,2,0)</f>
        <v>0307</v>
      </c>
      <c r="C69" s="233" t="str">
        <f>VLOOKUP(D69,'Activity List CSI'!$B$4:$D$146,3,0)</f>
        <v>03300-07</v>
      </c>
      <c r="D69" s="37" t="s">
        <v>569</v>
      </c>
      <c r="E69" s="37" t="s">
        <v>581</v>
      </c>
      <c r="F69" s="30" t="s">
        <v>515</v>
      </c>
      <c r="G69" s="31">
        <v>1</v>
      </c>
      <c r="H69" s="32">
        <v>6</v>
      </c>
      <c r="I69" s="33">
        <v>6</v>
      </c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>
        <v>1</v>
      </c>
      <c r="AL69" s="33">
        <v>1</v>
      </c>
      <c r="AM69" s="33"/>
      <c r="AN69" s="33"/>
      <c r="AO69" s="33"/>
      <c r="AP69" s="33"/>
      <c r="AQ69" s="33"/>
      <c r="AR69" s="33"/>
      <c r="AS69" s="30"/>
      <c r="AT69" s="34">
        <f>((2.5*2)*0.75)*3</f>
        <v>11.25</v>
      </c>
      <c r="AU69" s="35">
        <f t="shared" ref="AU69" si="10">SUM(G69:AS69)*8</f>
        <v>120</v>
      </c>
      <c r="AV69" s="36">
        <f t="shared" ref="AV69" si="11">(AU69/AT69)</f>
        <v>10.666666666666666</v>
      </c>
    </row>
    <row r="70" spans="2:48" ht="24.75" customHeight="1" x14ac:dyDescent="0.35">
      <c r="B70" s="29" t="str">
        <f>VLOOKUP(D70,'Activity List CSI'!$B$4:$D$146,2,0)</f>
        <v>0308</v>
      </c>
      <c r="C70" s="233" t="str">
        <f>VLOOKUP(D70,'Activity List CSI'!$B$4:$D$146,3,0)</f>
        <v>03300-08</v>
      </c>
      <c r="D70" s="37" t="s">
        <v>90</v>
      </c>
      <c r="E70" s="37" t="s">
        <v>581</v>
      </c>
      <c r="F70" s="30" t="s">
        <v>515</v>
      </c>
      <c r="G70" s="31">
        <v>1</v>
      </c>
      <c r="H70" s="32">
        <v>6</v>
      </c>
      <c r="I70" s="33">
        <v>6</v>
      </c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>
        <v>1</v>
      </c>
      <c r="AL70" s="33">
        <v>1</v>
      </c>
      <c r="AM70" s="33"/>
      <c r="AN70" s="33"/>
      <c r="AO70" s="33"/>
      <c r="AP70" s="33"/>
      <c r="AQ70" s="33"/>
      <c r="AR70" s="33"/>
      <c r="AS70" s="30"/>
      <c r="AT70" s="34">
        <f>((2.5*2)*0.75)*3</f>
        <v>11.25</v>
      </c>
      <c r="AU70" s="35">
        <f t="shared" ref="AU70" si="12">SUM(G70:AS70)*8</f>
        <v>120</v>
      </c>
      <c r="AV70" s="36">
        <f t="shared" ref="AV70" si="13">(AU70/AT70)</f>
        <v>10.666666666666666</v>
      </c>
    </row>
    <row r="71" spans="2:48" ht="24.75" customHeight="1" x14ac:dyDescent="0.35">
      <c r="B71" s="29" t="str">
        <f>VLOOKUP(D71,'Activity List CSI'!$B$4:$D$146,2,0)</f>
        <v>0309</v>
      </c>
      <c r="C71" s="233" t="str">
        <f>VLOOKUP(D71,'Activity List CSI'!$B$4:$D$146,3,0)</f>
        <v>03300-09</v>
      </c>
      <c r="D71" s="37" t="s">
        <v>92</v>
      </c>
      <c r="E71" s="37" t="s">
        <v>581</v>
      </c>
      <c r="F71" s="30" t="s">
        <v>515</v>
      </c>
      <c r="G71" s="31">
        <v>1</v>
      </c>
      <c r="H71" s="32">
        <v>6</v>
      </c>
      <c r="I71" s="33">
        <v>6</v>
      </c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>
        <v>1</v>
      </c>
      <c r="AL71" s="33">
        <v>1</v>
      </c>
      <c r="AM71" s="33"/>
      <c r="AN71" s="33"/>
      <c r="AO71" s="33"/>
      <c r="AP71" s="33"/>
      <c r="AQ71" s="33"/>
      <c r="AR71" s="33"/>
      <c r="AS71" s="30"/>
      <c r="AT71" s="34">
        <f>((1*2)*0.75)*3</f>
        <v>4.5</v>
      </c>
      <c r="AU71" s="35">
        <f t="shared" si="4"/>
        <v>120</v>
      </c>
      <c r="AV71" s="36">
        <f t="shared" si="1"/>
        <v>26.666666666666668</v>
      </c>
    </row>
    <row r="72" spans="2:48" ht="24.75" customHeight="1" x14ac:dyDescent="0.35">
      <c r="B72" s="29" t="str">
        <f>VLOOKUP(D72,'Activity List CSI'!$B$4:$D$146,2,0)</f>
        <v>0310</v>
      </c>
      <c r="C72" s="233" t="str">
        <f>VLOOKUP(D72,'Activity List CSI'!$B$4:$D$146,3,0)</f>
        <v>03300-10</v>
      </c>
      <c r="D72" s="37" t="s">
        <v>94</v>
      </c>
      <c r="E72" s="37" t="s">
        <v>581</v>
      </c>
      <c r="F72" s="30" t="s">
        <v>515</v>
      </c>
      <c r="G72" s="31">
        <v>1</v>
      </c>
      <c r="H72" s="32">
        <v>6</v>
      </c>
      <c r="I72" s="33">
        <v>6</v>
      </c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>
        <v>1</v>
      </c>
      <c r="AL72" s="33">
        <v>1</v>
      </c>
      <c r="AM72" s="33"/>
      <c r="AN72" s="33"/>
      <c r="AO72" s="33"/>
      <c r="AP72" s="33"/>
      <c r="AQ72" s="33"/>
      <c r="AR72" s="33"/>
      <c r="AS72" s="30"/>
      <c r="AT72" s="34">
        <f t="shared" ref="AT72:AT74" si="14">((1*2)*0.75)*3</f>
        <v>4.5</v>
      </c>
      <c r="AU72" s="35">
        <f t="shared" ref="AU72:AU74" si="15">SUM(G72:AS72)*8</f>
        <v>120</v>
      </c>
      <c r="AV72" s="36">
        <f t="shared" ref="AV72:AV74" si="16">(AU72/AT72)</f>
        <v>26.666666666666668</v>
      </c>
    </row>
    <row r="73" spans="2:48" ht="24.75" customHeight="1" x14ac:dyDescent="0.35">
      <c r="B73" s="29" t="str">
        <f>VLOOKUP(D73,'Activity List CSI'!$B$4:$D$146,2,0)</f>
        <v>0311</v>
      </c>
      <c r="C73" s="233" t="str">
        <f>VLOOKUP(D73,'Activity List CSI'!$B$4:$D$146,3,0)</f>
        <v>03300-11</v>
      </c>
      <c r="D73" s="37" t="s">
        <v>96</v>
      </c>
      <c r="E73" s="37" t="s">
        <v>581</v>
      </c>
      <c r="F73" s="30" t="s">
        <v>515</v>
      </c>
      <c r="G73" s="31">
        <v>1</v>
      </c>
      <c r="H73" s="32">
        <v>6</v>
      </c>
      <c r="I73" s="33">
        <v>6</v>
      </c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>
        <v>1</v>
      </c>
      <c r="AL73" s="33">
        <v>1</v>
      </c>
      <c r="AM73" s="33"/>
      <c r="AN73" s="33"/>
      <c r="AO73" s="33"/>
      <c r="AP73" s="33"/>
      <c r="AQ73" s="33"/>
      <c r="AR73" s="33"/>
      <c r="AS73" s="30"/>
      <c r="AT73" s="34">
        <f t="shared" si="14"/>
        <v>4.5</v>
      </c>
      <c r="AU73" s="35">
        <f t="shared" si="15"/>
        <v>120</v>
      </c>
      <c r="AV73" s="36">
        <f t="shared" si="16"/>
        <v>26.666666666666668</v>
      </c>
    </row>
    <row r="74" spans="2:48" ht="24.75" customHeight="1" x14ac:dyDescent="0.35">
      <c r="B74" s="29" t="str">
        <f>VLOOKUP(D74,'Activity List CSI'!$B$4:$D$146,2,0)</f>
        <v>0312</v>
      </c>
      <c r="C74" s="233" t="str">
        <f>VLOOKUP(D74,'Activity List CSI'!$B$4:$D$146,3,0)</f>
        <v>03300-12</v>
      </c>
      <c r="D74" s="37" t="s">
        <v>98</v>
      </c>
      <c r="E74" s="37" t="s">
        <v>581</v>
      </c>
      <c r="F74" s="30" t="s">
        <v>515</v>
      </c>
      <c r="G74" s="31">
        <v>1</v>
      </c>
      <c r="H74" s="32">
        <v>6</v>
      </c>
      <c r="I74" s="33">
        <v>6</v>
      </c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>
        <v>1</v>
      </c>
      <c r="AL74" s="33">
        <v>1</v>
      </c>
      <c r="AM74" s="33"/>
      <c r="AN74" s="33"/>
      <c r="AO74" s="33"/>
      <c r="AP74" s="33"/>
      <c r="AQ74" s="33"/>
      <c r="AR74" s="33"/>
      <c r="AS74" s="30"/>
      <c r="AT74" s="34">
        <f t="shared" si="14"/>
        <v>4.5</v>
      </c>
      <c r="AU74" s="35">
        <f t="shared" si="15"/>
        <v>120</v>
      </c>
      <c r="AV74" s="36">
        <f t="shared" si="16"/>
        <v>26.666666666666668</v>
      </c>
    </row>
    <row r="75" spans="2:48" ht="24.75" customHeight="1" x14ac:dyDescent="0.35">
      <c r="B75" s="29" t="str">
        <f>VLOOKUP(D75,'Activity List CSI'!$B$4:$D$146,2,0)</f>
        <v>0316</v>
      </c>
      <c r="C75" s="233" t="str">
        <f>VLOOKUP(D75,'Activity List CSI'!$B$4:$D$146,3,0)</f>
        <v>03300-14</v>
      </c>
      <c r="D75" s="37" t="s">
        <v>408</v>
      </c>
      <c r="E75" s="37" t="s">
        <v>581</v>
      </c>
      <c r="F75" s="30" t="s">
        <v>513</v>
      </c>
      <c r="G75" s="31">
        <v>1</v>
      </c>
      <c r="H75" s="32">
        <v>6</v>
      </c>
      <c r="I75" s="33">
        <v>6</v>
      </c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>
        <v>1</v>
      </c>
      <c r="AL75" s="33">
        <v>1</v>
      </c>
      <c r="AM75" s="33"/>
      <c r="AN75" s="33"/>
      <c r="AO75" s="33"/>
      <c r="AP75" s="33"/>
      <c r="AQ75" s="33"/>
      <c r="AR75" s="33"/>
      <c r="AS75" s="30"/>
      <c r="AT75" s="34">
        <f>((100*2*1.1)*0.75)*3</f>
        <v>495.00000000000011</v>
      </c>
      <c r="AU75" s="35">
        <f t="shared" si="4"/>
        <v>120</v>
      </c>
      <c r="AV75" s="36">
        <f t="shared" si="1"/>
        <v>0.24242424242424238</v>
      </c>
    </row>
    <row r="76" spans="2:48" ht="24.75" customHeight="1" x14ac:dyDescent="0.35">
      <c r="B76" s="29" t="str">
        <f>VLOOKUP(D76,'Activity List CSI'!$B$4:$D$146,2,0)</f>
        <v>0302</v>
      </c>
      <c r="C76" s="233" t="str">
        <f>VLOOKUP(D76,'Activity List CSI'!$B$4:$D$146,3,0)</f>
        <v>03300-02</v>
      </c>
      <c r="D76" s="37" t="s">
        <v>78</v>
      </c>
      <c r="E76" s="37" t="s">
        <v>596</v>
      </c>
      <c r="F76" s="30" t="s">
        <v>515</v>
      </c>
      <c r="G76" s="31"/>
      <c r="H76" s="32"/>
      <c r="I76" s="33"/>
      <c r="J76" s="33">
        <v>1</v>
      </c>
      <c r="K76" s="33">
        <v>3</v>
      </c>
      <c r="L76" s="33">
        <v>6</v>
      </c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0"/>
      <c r="AT76" s="34">
        <v>13.5</v>
      </c>
      <c r="AU76" s="35">
        <f t="shared" si="4"/>
        <v>80</v>
      </c>
      <c r="AV76" s="36">
        <f t="shared" si="1"/>
        <v>5.9259259259259256</v>
      </c>
    </row>
    <row r="77" spans="2:48" ht="24.75" customHeight="1" x14ac:dyDescent="0.35">
      <c r="B77" s="29" t="str">
        <f>VLOOKUP(D77,'Activity List CSI'!$B$4:$D$146,2,0)</f>
        <v>0303</v>
      </c>
      <c r="C77" s="233" t="str">
        <f>VLOOKUP(D77,'Activity List CSI'!$B$4:$D$146,3,0)</f>
        <v>03300-03</v>
      </c>
      <c r="D77" s="37" t="s">
        <v>80</v>
      </c>
      <c r="E77" s="37" t="s">
        <v>596</v>
      </c>
      <c r="F77" s="30" t="s">
        <v>515</v>
      </c>
      <c r="G77" s="31"/>
      <c r="H77" s="32"/>
      <c r="I77" s="33"/>
      <c r="J77" s="33">
        <v>1</v>
      </c>
      <c r="K77" s="33">
        <v>3</v>
      </c>
      <c r="L77" s="33">
        <v>6</v>
      </c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0"/>
      <c r="AT77" s="34">
        <v>13.5</v>
      </c>
      <c r="AU77" s="35">
        <f t="shared" ref="AU77:AU79" si="17">SUM(G77:AS77)*8</f>
        <v>80</v>
      </c>
      <c r="AV77" s="36">
        <f t="shared" ref="AV77:AV79" si="18">(AU77/AT77)</f>
        <v>5.9259259259259256</v>
      </c>
    </row>
    <row r="78" spans="2:48" ht="24.75" customHeight="1" x14ac:dyDescent="0.35">
      <c r="B78" s="29" t="str">
        <f>VLOOKUP(D78,'Activity List CSI'!$B$4:$D$146,2,0)</f>
        <v>0304</v>
      </c>
      <c r="C78" s="233" t="str">
        <f>VLOOKUP(D78,'Activity List CSI'!$B$4:$D$146,3,0)</f>
        <v>03300-04</v>
      </c>
      <c r="D78" s="37" t="s">
        <v>82</v>
      </c>
      <c r="E78" s="37" t="s">
        <v>596</v>
      </c>
      <c r="F78" s="30" t="s">
        <v>515</v>
      </c>
      <c r="G78" s="31"/>
      <c r="H78" s="32"/>
      <c r="I78" s="33"/>
      <c r="J78" s="33">
        <v>1</v>
      </c>
      <c r="K78" s="33">
        <v>3</v>
      </c>
      <c r="L78" s="33">
        <v>6</v>
      </c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0"/>
      <c r="AT78" s="34">
        <v>13.5</v>
      </c>
      <c r="AU78" s="35">
        <f t="shared" si="17"/>
        <v>80</v>
      </c>
      <c r="AV78" s="36">
        <f t="shared" si="18"/>
        <v>5.9259259259259256</v>
      </c>
    </row>
    <row r="79" spans="2:48" ht="24.75" customHeight="1" x14ac:dyDescent="0.35">
      <c r="B79" s="29" t="str">
        <f>VLOOKUP(D79,'Activity List CSI'!$B$4:$D$146,2,0)</f>
        <v>0305</v>
      </c>
      <c r="C79" s="233" t="str">
        <f>VLOOKUP(D79,'Activity List CSI'!$B$4:$D$146,3,0)</f>
        <v>03300-05</v>
      </c>
      <c r="D79" s="37" t="s">
        <v>84</v>
      </c>
      <c r="E79" s="37" t="s">
        <v>596</v>
      </c>
      <c r="F79" s="30" t="s">
        <v>515</v>
      </c>
      <c r="G79" s="31"/>
      <c r="H79" s="32"/>
      <c r="I79" s="33"/>
      <c r="J79" s="33">
        <v>1</v>
      </c>
      <c r="K79" s="33">
        <v>3</v>
      </c>
      <c r="L79" s="33">
        <v>6</v>
      </c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0"/>
      <c r="AT79" s="34">
        <v>13.5</v>
      </c>
      <c r="AU79" s="35">
        <f t="shared" si="17"/>
        <v>80</v>
      </c>
      <c r="AV79" s="36">
        <f t="shared" si="18"/>
        <v>5.9259259259259256</v>
      </c>
    </row>
    <row r="80" spans="2:48" ht="24.75" customHeight="1" x14ac:dyDescent="0.35">
      <c r="B80" s="29" t="str">
        <f>VLOOKUP(D80,'Activity List CSI'!$B$4:$D$146,2,0)</f>
        <v>0306</v>
      </c>
      <c r="C80" s="233" t="str">
        <f>VLOOKUP(D80,'Activity List CSI'!$B$4:$D$146,3,0)</f>
        <v>03300-06</v>
      </c>
      <c r="D80" s="37" t="s">
        <v>86</v>
      </c>
      <c r="E80" s="37" t="s">
        <v>596</v>
      </c>
      <c r="F80" s="30" t="s">
        <v>515</v>
      </c>
      <c r="G80" s="31"/>
      <c r="H80" s="32"/>
      <c r="I80" s="33"/>
      <c r="J80" s="33">
        <v>1</v>
      </c>
      <c r="K80" s="33">
        <v>3</v>
      </c>
      <c r="L80" s="33">
        <v>6</v>
      </c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0">
        <v>3</v>
      </c>
      <c r="AT80" s="34">
        <f>2.4*0.75*3*2</f>
        <v>10.799999999999999</v>
      </c>
      <c r="AU80" s="35">
        <f t="shared" si="4"/>
        <v>104</v>
      </c>
      <c r="AV80" s="36">
        <f t="shared" si="1"/>
        <v>9.6296296296296298</v>
      </c>
    </row>
    <row r="81" spans="2:48" ht="24.75" customHeight="1" x14ac:dyDescent="0.35">
      <c r="B81" s="29" t="str">
        <f>VLOOKUP(D81,'Activity List CSI'!$B$4:$D$146,2,0)</f>
        <v>0307</v>
      </c>
      <c r="C81" s="233" t="str">
        <f>VLOOKUP(D81,'Activity List CSI'!$B$4:$D$146,3,0)</f>
        <v>03300-07</v>
      </c>
      <c r="D81" s="37" t="s">
        <v>569</v>
      </c>
      <c r="E81" s="37" t="s">
        <v>596</v>
      </c>
      <c r="F81" s="30" t="s">
        <v>515</v>
      </c>
      <c r="G81" s="31"/>
      <c r="H81" s="32"/>
      <c r="I81" s="33"/>
      <c r="J81" s="33">
        <v>1</v>
      </c>
      <c r="K81" s="33">
        <v>3</v>
      </c>
      <c r="L81" s="33">
        <v>6</v>
      </c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0"/>
      <c r="AT81" s="34">
        <f>2.5*0.75*3</f>
        <v>5.625</v>
      </c>
      <c r="AU81" s="35">
        <f t="shared" ref="AU81" si="19">SUM(G81:AS81)*8</f>
        <v>80</v>
      </c>
      <c r="AV81" s="36">
        <f t="shared" si="1"/>
        <v>14.222222222222221</v>
      </c>
    </row>
    <row r="82" spans="2:48" ht="24.75" customHeight="1" x14ac:dyDescent="0.35">
      <c r="B82" s="29" t="str">
        <f>VLOOKUP(D82,'Activity List CSI'!$B$4:$D$146,2,0)</f>
        <v>0308</v>
      </c>
      <c r="C82" s="233" t="str">
        <f>VLOOKUP(D82,'Activity List CSI'!$B$4:$D$146,3,0)</f>
        <v>03300-08</v>
      </c>
      <c r="D82" s="37" t="s">
        <v>90</v>
      </c>
      <c r="E82" s="37" t="s">
        <v>596</v>
      </c>
      <c r="F82" s="30" t="s">
        <v>515</v>
      </c>
      <c r="G82" s="31"/>
      <c r="H82" s="32"/>
      <c r="I82" s="33"/>
      <c r="J82" s="33">
        <v>1</v>
      </c>
      <c r="K82" s="33">
        <v>3</v>
      </c>
      <c r="L82" s="33">
        <v>6</v>
      </c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0"/>
      <c r="AT82" s="34">
        <f>2.5*0.75*3</f>
        <v>5.625</v>
      </c>
      <c r="AU82" s="35">
        <f t="shared" ref="AU82" si="20">SUM(G82:AS82)*8</f>
        <v>80</v>
      </c>
      <c r="AV82" s="36">
        <f t="shared" ref="AV82" si="21">(AU82/AT82)</f>
        <v>14.222222222222221</v>
      </c>
    </row>
    <row r="83" spans="2:48" ht="24.75" customHeight="1" x14ac:dyDescent="0.35">
      <c r="B83" s="29" t="str">
        <f>VLOOKUP(D83,'Activity List CSI'!$B$4:$D$146,2,0)</f>
        <v>0309</v>
      </c>
      <c r="C83" s="233" t="str">
        <f>VLOOKUP(D83,'Activity List CSI'!$B$4:$D$146,3,0)</f>
        <v>03300-09</v>
      </c>
      <c r="D83" s="37" t="s">
        <v>92</v>
      </c>
      <c r="E83" s="37" t="s">
        <v>596</v>
      </c>
      <c r="F83" s="30" t="s">
        <v>515</v>
      </c>
      <c r="G83" s="31"/>
      <c r="H83" s="32"/>
      <c r="I83" s="33"/>
      <c r="J83" s="33">
        <v>1</v>
      </c>
      <c r="K83" s="33">
        <v>3</v>
      </c>
      <c r="L83" s="33">
        <v>6</v>
      </c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0"/>
      <c r="AT83" s="34">
        <f>2*0.75*3</f>
        <v>4.5</v>
      </c>
      <c r="AU83" s="35">
        <f t="shared" si="4"/>
        <v>80</v>
      </c>
      <c r="AV83" s="36">
        <f t="shared" si="1"/>
        <v>17.777777777777779</v>
      </c>
    </row>
    <row r="84" spans="2:48" ht="24.75" customHeight="1" x14ac:dyDescent="0.35">
      <c r="B84" s="29" t="str">
        <f>VLOOKUP(D84,'Activity List CSI'!$B$4:$D$146,2,0)</f>
        <v>0310</v>
      </c>
      <c r="C84" s="233" t="str">
        <f>VLOOKUP(D84,'Activity List CSI'!$B$4:$D$146,3,0)</f>
        <v>03300-10</v>
      </c>
      <c r="D84" s="37" t="s">
        <v>94</v>
      </c>
      <c r="E84" s="37" t="s">
        <v>596</v>
      </c>
      <c r="F84" s="30" t="s">
        <v>515</v>
      </c>
      <c r="G84" s="31"/>
      <c r="H84" s="32"/>
      <c r="I84" s="33"/>
      <c r="J84" s="33">
        <v>1</v>
      </c>
      <c r="K84" s="33">
        <v>3</v>
      </c>
      <c r="L84" s="33">
        <v>6</v>
      </c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0"/>
      <c r="AT84" s="34">
        <f t="shared" ref="AT84:AT86" si="22">2*0.75*3</f>
        <v>4.5</v>
      </c>
      <c r="AU84" s="35">
        <f t="shared" ref="AU84:AU86" si="23">SUM(G84:AS84)*8</f>
        <v>80</v>
      </c>
      <c r="AV84" s="36">
        <f t="shared" ref="AV84:AV86" si="24">(AU84/AT84)</f>
        <v>17.777777777777779</v>
      </c>
    </row>
    <row r="85" spans="2:48" ht="24.75" customHeight="1" x14ac:dyDescent="0.35">
      <c r="B85" s="29" t="str">
        <f>VLOOKUP(D85,'Activity List CSI'!$B$4:$D$146,2,0)</f>
        <v>0311</v>
      </c>
      <c r="C85" s="233" t="str">
        <f>VLOOKUP(D85,'Activity List CSI'!$B$4:$D$146,3,0)</f>
        <v>03300-11</v>
      </c>
      <c r="D85" s="37" t="s">
        <v>96</v>
      </c>
      <c r="E85" s="37" t="s">
        <v>596</v>
      </c>
      <c r="F85" s="30" t="s">
        <v>515</v>
      </c>
      <c r="G85" s="31"/>
      <c r="H85" s="32"/>
      <c r="I85" s="33"/>
      <c r="J85" s="33">
        <v>1</v>
      </c>
      <c r="K85" s="33">
        <v>3</v>
      </c>
      <c r="L85" s="33">
        <v>6</v>
      </c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0"/>
      <c r="AT85" s="34">
        <f t="shared" si="22"/>
        <v>4.5</v>
      </c>
      <c r="AU85" s="35">
        <f t="shared" si="23"/>
        <v>80</v>
      </c>
      <c r="AV85" s="36">
        <f t="shared" si="24"/>
        <v>17.777777777777779</v>
      </c>
    </row>
    <row r="86" spans="2:48" ht="24.75" customHeight="1" x14ac:dyDescent="0.35">
      <c r="B86" s="29" t="str">
        <f>VLOOKUP(D86,'Activity List CSI'!$B$4:$D$146,2,0)</f>
        <v>0312</v>
      </c>
      <c r="C86" s="233" t="str">
        <f>VLOOKUP(D86,'Activity List CSI'!$B$4:$D$146,3,0)</f>
        <v>03300-12</v>
      </c>
      <c r="D86" s="37" t="s">
        <v>98</v>
      </c>
      <c r="E86" s="37" t="s">
        <v>596</v>
      </c>
      <c r="F86" s="30" t="s">
        <v>515</v>
      </c>
      <c r="G86" s="31"/>
      <c r="H86" s="32"/>
      <c r="I86" s="33"/>
      <c r="J86" s="33">
        <v>1</v>
      </c>
      <c r="K86" s="33">
        <v>3</v>
      </c>
      <c r="L86" s="33">
        <v>6</v>
      </c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0"/>
      <c r="AT86" s="34">
        <f t="shared" si="22"/>
        <v>4.5</v>
      </c>
      <c r="AU86" s="35">
        <f t="shared" si="23"/>
        <v>80</v>
      </c>
      <c r="AV86" s="36">
        <f t="shared" si="24"/>
        <v>17.777777777777779</v>
      </c>
    </row>
    <row r="87" spans="2:48" ht="24.75" customHeight="1" x14ac:dyDescent="0.35">
      <c r="B87" s="29" t="str">
        <f>VLOOKUP(D87,'Activity List CSI'!$B$4:$D$146,2,0)</f>
        <v>0316</v>
      </c>
      <c r="C87" s="233" t="str">
        <f>VLOOKUP(D87,'Activity List CSI'!$B$4:$D$146,3,0)</f>
        <v>03300-14</v>
      </c>
      <c r="D87" s="37" t="s">
        <v>408</v>
      </c>
      <c r="E87" s="37" t="s">
        <v>596</v>
      </c>
      <c r="F87" s="30" t="s">
        <v>513</v>
      </c>
      <c r="G87" s="31"/>
      <c r="H87" s="32"/>
      <c r="I87" s="33"/>
      <c r="J87" s="33">
        <v>1</v>
      </c>
      <c r="K87" s="33">
        <v>3</v>
      </c>
      <c r="L87" s="33">
        <v>6</v>
      </c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0"/>
      <c r="AT87" s="34">
        <f>100*0.75*3</f>
        <v>225</v>
      </c>
      <c r="AU87" s="35">
        <f t="shared" ref="AU87:AU124" si="25">SUM(G87:AS87)*8</f>
        <v>80</v>
      </c>
      <c r="AV87" s="36">
        <f t="shared" ref="AV87:AV145" si="26">(AU87/AT87)</f>
        <v>0.35555555555555557</v>
      </c>
    </row>
    <row r="88" spans="2:48" ht="24.75" customHeight="1" x14ac:dyDescent="0.35">
      <c r="B88" s="29" t="str">
        <f>VLOOKUP(D88,'Activity List CSI'!$B$4:$D$146,2,0)</f>
        <v>0301</v>
      </c>
      <c r="C88" s="233" t="str">
        <f>VLOOKUP(D88,'Activity List CSI'!$B$4:$D$146,3,0)</f>
        <v>03300-01</v>
      </c>
      <c r="D88" s="37" t="s">
        <v>76</v>
      </c>
      <c r="E88" s="37" t="s">
        <v>591</v>
      </c>
      <c r="F88" s="30" t="s">
        <v>513</v>
      </c>
      <c r="G88" s="31"/>
      <c r="H88" s="32">
        <v>1</v>
      </c>
      <c r="I88" s="33"/>
      <c r="J88" s="33"/>
      <c r="K88" s="33">
        <v>1</v>
      </c>
      <c r="L88" s="33"/>
      <c r="M88" s="33"/>
      <c r="N88" s="33"/>
      <c r="O88" s="33"/>
      <c r="P88" s="33"/>
      <c r="Q88" s="33"/>
      <c r="R88" s="33">
        <v>2</v>
      </c>
      <c r="S88" s="33"/>
      <c r="T88" s="33">
        <v>1</v>
      </c>
      <c r="U88" s="33">
        <v>1</v>
      </c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>
        <v>2</v>
      </c>
      <c r="AR88" s="33"/>
      <c r="AS88" s="30">
        <v>7</v>
      </c>
      <c r="AT88" s="34">
        <f>105/0.15</f>
        <v>700</v>
      </c>
      <c r="AU88" s="35">
        <f t="shared" ref="AU88" si="27">SUM(G88:AS88)*8</f>
        <v>120</v>
      </c>
      <c r="AV88" s="36">
        <f t="shared" ref="AV88" si="28">(AU88/AT88)</f>
        <v>0.17142857142857143</v>
      </c>
    </row>
    <row r="89" spans="2:48" ht="24.75" customHeight="1" x14ac:dyDescent="0.35">
      <c r="B89" s="29" t="str">
        <f>VLOOKUP(D89,'Activity List CSI'!$B$4:$D$146,2,0)</f>
        <v>0302</v>
      </c>
      <c r="C89" s="233" t="str">
        <f>VLOOKUP(D89,'Activity List CSI'!$B$4:$D$146,3,0)</f>
        <v>03300-02</v>
      </c>
      <c r="D89" s="37" t="s">
        <v>78</v>
      </c>
      <c r="E89" s="37" t="s">
        <v>591</v>
      </c>
      <c r="F89" s="30" t="s">
        <v>515</v>
      </c>
      <c r="G89" s="31"/>
      <c r="H89" s="32">
        <v>1</v>
      </c>
      <c r="I89" s="33"/>
      <c r="J89" s="33"/>
      <c r="K89" s="33">
        <v>1</v>
      </c>
      <c r="L89" s="33"/>
      <c r="M89" s="33"/>
      <c r="N89" s="33"/>
      <c r="O89" s="33"/>
      <c r="P89" s="33"/>
      <c r="Q89" s="33"/>
      <c r="R89" s="33">
        <v>2</v>
      </c>
      <c r="S89" s="33"/>
      <c r="T89" s="33">
        <v>1</v>
      </c>
      <c r="U89" s="33">
        <v>1</v>
      </c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>
        <v>2</v>
      </c>
      <c r="AR89" s="33"/>
      <c r="AS89" s="30">
        <v>7</v>
      </c>
      <c r="AT89" s="34">
        <v>105</v>
      </c>
      <c r="AU89" s="35">
        <f t="shared" si="25"/>
        <v>120</v>
      </c>
      <c r="AV89" s="36">
        <f t="shared" si="26"/>
        <v>1.1428571428571428</v>
      </c>
    </row>
    <row r="90" spans="2:48" ht="24.75" customHeight="1" x14ac:dyDescent="0.35">
      <c r="B90" s="29" t="str">
        <f>VLOOKUP(D90,'Activity List CSI'!$B$4:$D$146,2,0)</f>
        <v>0303</v>
      </c>
      <c r="C90" s="233" t="str">
        <f>VLOOKUP(D90,'Activity List CSI'!$B$4:$D$146,3,0)</f>
        <v>03300-03</v>
      </c>
      <c r="D90" s="37" t="s">
        <v>80</v>
      </c>
      <c r="E90" s="37" t="s">
        <v>591</v>
      </c>
      <c r="F90" s="30" t="s">
        <v>515</v>
      </c>
      <c r="G90" s="31"/>
      <c r="H90" s="32">
        <v>1</v>
      </c>
      <c r="I90" s="33"/>
      <c r="J90" s="33"/>
      <c r="K90" s="33">
        <v>1</v>
      </c>
      <c r="L90" s="33"/>
      <c r="M90" s="33"/>
      <c r="N90" s="33"/>
      <c r="O90" s="33"/>
      <c r="P90" s="33"/>
      <c r="Q90" s="33"/>
      <c r="R90" s="33">
        <v>2</v>
      </c>
      <c r="S90" s="33"/>
      <c r="T90" s="33">
        <v>1</v>
      </c>
      <c r="U90" s="33">
        <v>1</v>
      </c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>
        <v>2</v>
      </c>
      <c r="AR90" s="33"/>
      <c r="AS90" s="30">
        <v>7</v>
      </c>
      <c r="AT90" s="34">
        <v>105</v>
      </c>
      <c r="AU90" s="35">
        <f t="shared" ref="AU90:AU100" si="29">SUM(G90:AS90)*8</f>
        <v>120</v>
      </c>
      <c r="AV90" s="36">
        <f t="shared" ref="AV90:AV100" si="30">(AU90/AT90)</f>
        <v>1.1428571428571428</v>
      </c>
    </row>
    <row r="91" spans="2:48" ht="24.75" customHeight="1" x14ac:dyDescent="0.35">
      <c r="B91" s="29" t="str">
        <f>VLOOKUP(D91,'Activity List CSI'!$B$4:$D$146,2,0)</f>
        <v>0304</v>
      </c>
      <c r="C91" s="233" t="str">
        <f>VLOOKUP(D91,'Activity List CSI'!$B$4:$D$146,3,0)</f>
        <v>03300-04</v>
      </c>
      <c r="D91" s="37" t="s">
        <v>82</v>
      </c>
      <c r="E91" s="37" t="s">
        <v>591</v>
      </c>
      <c r="F91" s="30" t="s">
        <v>515</v>
      </c>
      <c r="G91" s="31"/>
      <c r="H91" s="32">
        <v>1</v>
      </c>
      <c r="I91" s="33"/>
      <c r="J91" s="33"/>
      <c r="K91" s="33">
        <v>1</v>
      </c>
      <c r="L91" s="33"/>
      <c r="M91" s="33"/>
      <c r="N91" s="33"/>
      <c r="O91" s="33"/>
      <c r="P91" s="33"/>
      <c r="Q91" s="33"/>
      <c r="R91" s="33">
        <v>2</v>
      </c>
      <c r="S91" s="33"/>
      <c r="T91" s="33">
        <v>1</v>
      </c>
      <c r="U91" s="33">
        <v>1</v>
      </c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>
        <v>2</v>
      </c>
      <c r="AR91" s="33"/>
      <c r="AS91" s="30">
        <v>7</v>
      </c>
      <c r="AT91" s="34">
        <v>105</v>
      </c>
      <c r="AU91" s="35">
        <f t="shared" si="29"/>
        <v>120</v>
      </c>
      <c r="AV91" s="36">
        <f t="shared" si="30"/>
        <v>1.1428571428571428</v>
      </c>
    </row>
    <row r="92" spans="2:48" ht="24.75" customHeight="1" x14ac:dyDescent="0.35">
      <c r="B92" s="29" t="str">
        <f>VLOOKUP(D92,'Activity List CSI'!$B$4:$D$146,2,0)</f>
        <v>0305</v>
      </c>
      <c r="C92" s="233" t="str">
        <f>VLOOKUP(D92,'Activity List CSI'!$B$4:$D$146,3,0)</f>
        <v>03300-05</v>
      </c>
      <c r="D92" s="37" t="s">
        <v>84</v>
      </c>
      <c r="E92" s="37" t="s">
        <v>591</v>
      </c>
      <c r="F92" s="30" t="s">
        <v>515</v>
      </c>
      <c r="G92" s="31"/>
      <c r="H92" s="32">
        <v>1</v>
      </c>
      <c r="I92" s="33"/>
      <c r="J92" s="33"/>
      <c r="K92" s="33">
        <v>1</v>
      </c>
      <c r="L92" s="33"/>
      <c r="M92" s="33"/>
      <c r="N92" s="33"/>
      <c r="O92" s="33"/>
      <c r="P92" s="33"/>
      <c r="Q92" s="33"/>
      <c r="R92" s="33">
        <v>2</v>
      </c>
      <c r="S92" s="33"/>
      <c r="T92" s="33">
        <v>1</v>
      </c>
      <c r="U92" s="33">
        <v>1</v>
      </c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>
        <v>2</v>
      </c>
      <c r="AR92" s="33"/>
      <c r="AS92" s="30">
        <v>7</v>
      </c>
      <c r="AT92" s="34">
        <v>105</v>
      </c>
      <c r="AU92" s="35">
        <f t="shared" si="29"/>
        <v>120</v>
      </c>
      <c r="AV92" s="36">
        <f t="shared" si="30"/>
        <v>1.1428571428571428</v>
      </c>
    </row>
    <row r="93" spans="2:48" ht="24.75" customHeight="1" x14ac:dyDescent="0.35">
      <c r="B93" s="29" t="str">
        <f>VLOOKUP(D93,'Activity List CSI'!$B$4:$D$146,2,0)</f>
        <v>0306</v>
      </c>
      <c r="C93" s="233" t="str">
        <f>VLOOKUP(D93,'Activity List CSI'!$B$4:$D$146,3,0)</f>
        <v>03300-06</v>
      </c>
      <c r="D93" s="37" t="s">
        <v>86</v>
      </c>
      <c r="E93" s="37" t="s">
        <v>591</v>
      </c>
      <c r="F93" s="30" t="s">
        <v>515</v>
      </c>
      <c r="G93" s="31"/>
      <c r="H93" s="32">
        <v>1</v>
      </c>
      <c r="I93" s="33"/>
      <c r="J93" s="33"/>
      <c r="K93" s="33">
        <v>1</v>
      </c>
      <c r="L93" s="33"/>
      <c r="M93" s="33"/>
      <c r="N93" s="33"/>
      <c r="O93" s="33"/>
      <c r="P93" s="33"/>
      <c r="Q93" s="33"/>
      <c r="R93" s="33">
        <v>2</v>
      </c>
      <c r="S93" s="33"/>
      <c r="T93" s="33">
        <v>1</v>
      </c>
      <c r="U93" s="33">
        <v>1</v>
      </c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>
        <v>2</v>
      </c>
      <c r="AR93" s="33"/>
      <c r="AS93" s="30">
        <v>7</v>
      </c>
      <c r="AT93" s="34">
        <v>105</v>
      </c>
      <c r="AU93" s="35">
        <f t="shared" si="29"/>
        <v>120</v>
      </c>
      <c r="AV93" s="36">
        <f t="shared" si="30"/>
        <v>1.1428571428571428</v>
      </c>
    </row>
    <row r="94" spans="2:48" ht="24.75" customHeight="1" x14ac:dyDescent="0.35">
      <c r="B94" s="29" t="str">
        <f>VLOOKUP(D94,'Activity List CSI'!$B$4:$D$146,2,0)</f>
        <v>0307</v>
      </c>
      <c r="C94" s="233" t="str">
        <f>VLOOKUP(D94,'Activity List CSI'!$B$4:$D$146,3,0)</f>
        <v>03300-07</v>
      </c>
      <c r="D94" s="37" t="s">
        <v>569</v>
      </c>
      <c r="E94" s="37" t="s">
        <v>591</v>
      </c>
      <c r="F94" s="30" t="s">
        <v>515</v>
      </c>
      <c r="G94" s="31"/>
      <c r="H94" s="32">
        <v>1</v>
      </c>
      <c r="I94" s="33"/>
      <c r="J94" s="33"/>
      <c r="K94" s="33">
        <v>1</v>
      </c>
      <c r="L94" s="33"/>
      <c r="M94" s="33"/>
      <c r="N94" s="33"/>
      <c r="O94" s="33"/>
      <c r="P94" s="33"/>
      <c r="Q94" s="33"/>
      <c r="R94" s="33">
        <v>2</v>
      </c>
      <c r="S94" s="33"/>
      <c r="T94" s="33">
        <v>1</v>
      </c>
      <c r="U94" s="33">
        <v>1</v>
      </c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>
        <v>2</v>
      </c>
      <c r="AR94" s="33"/>
      <c r="AS94" s="30">
        <v>7</v>
      </c>
      <c r="AT94" s="34">
        <v>105</v>
      </c>
      <c r="AU94" s="35">
        <f t="shared" si="29"/>
        <v>120</v>
      </c>
      <c r="AV94" s="36">
        <f t="shared" si="30"/>
        <v>1.1428571428571428</v>
      </c>
    </row>
    <row r="95" spans="2:48" ht="24.75" customHeight="1" x14ac:dyDescent="0.35">
      <c r="B95" s="29" t="str">
        <f>VLOOKUP(D95,'Activity List CSI'!$B$4:$D$146,2,0)</f>
        <v>0308</v>
      </c>
      <c r="C95" s="233" t="str">
        <f>VLOOKUP(D95,'Activity List CSI'!$B$4:$D$146,3,0)</f>
        <v>03300-08</v>
      </c>
      <c r="D95" s="37" t="s">
        <v>90</v>
      </c>
      <c r="E95" s="37" t="s">
        <v>591</v>
      </c>
      <c r="F95" s="30" t="s">
        <v>515</v>
      </c>
      <c r="G95" s="31"/>
      <c r="H95" s="32">
        <v>1</v>
      </c>
      <c r="I95" s="33"/>
      <c r="J95" s="33"/>
      <c r="K95" s="33">
        <v>1</v>
      </c>
      <c r="L95" s="33"/>
      <c r="M95" s="33"/>
      <c r="N95" s="33"/>
      <c r="O95" s="33"/>
      <c r="P95" s="33"/>
      <c r="Q95" s="33"/>
      <c r="R95" s="33">
        <v>2</v>
      </c>
      <c r="S95" s="33"/>
      <c r="T95" s="33">
        <v>1</v>
      </c>
      <c r="U95" s="33">
        <v>1</v>
      </c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>
        <v>2</v>
      </c>
      <c r="AR95" s="33"/>
      <c r="AS95" s="30">
        <v>7</v>
      </c>
      <c r="AT95" s="34">
        <v>105</v>
      </c>
      <c r="AU95" s="35">
        <f t="shared" si="29"/>
        <v>120</v>
      </c>
      <c r="AV95" s="36">
        <f t="shared" si="30"/>
        <v>1.1428571428571428</v>
      </c>
    </row>
    <row r="96" spans="2:48" ht="24.75" customHeight="1" x14ac:dyDescent="0.35">
      <c r="B96" s="29" t="str">
        <f>VLOOKUP(D96,'Activity List CSI'!$B$4:$D$146,2,0)</f>
        <v>0309</v>
      </c>
      <c r="C96" s="233" t="str">
        <f>VLOOKUP(D96,'Activity List CSI'!$B$4:$D$146,3,0)</f>
        <v>03300-09</v>
      </c>
      <c r="D96" s="37" t="s">
        <v>92</v>
      </c>
      <c r="E96" s="37" t="s">
        <v>591</v>
      </c>
      <c r="F96" s="30" t="s">
        <v>515</v>
      </c>
      <c r="G96" s="31"/>
      <c r="H96" s="32">
        <v>1</v>
      </c>
      <c r="I96" s="33"/>
      <c r="J96" s="33"/>
      <c r="K96" s="33">
        <v>1</v>
      </c>
      <c r="L96" s="33"/>
      <c r="M96" s="33"/>
      <c r="N96" s="33"/>
      <c r="O96" s="33"/>
      <c r="P96" s="33"/>
      <c r="Q96" s="33"/>
      <c r="R96" s="33">
        <v>2</v>
      </c>
      <c r="S96" s="33"/>
      <c r="T96" s="33">
        <v>1</v>
      </c>
      <c r="U96" s="33">
        <v>1</v>
      </c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>
        <v>2</v>
      </c>
      <c r="AR96" s="33"/>
      <c r="AS96" s="30">
        <v>7</v>
      </c>
      <c r="AT96" s="34">
        <v>105</v>
      </c>
      <c r="AU96" s="35">
        <f t="shared" si="29"/>
        <v>120</v>
      </c>
      <c r="AV96" s="36">
        <f t="shared" si="30"/>
        <v>1.1428571428571428</v>
      </c>
    </row>
    <row r="97" spans="2:48" ht="24.75" customHeight="1" x14ac:dyDescent="0.35">
      <c r="B97" s="29" t="str">
        <f>VLOOKUP(D97,'Activity List CSI'!$B$4:$D$146,2,0)</f>
        <v>0310</v>
      </c>
      <c r="C97" s="233" t="str">
        <f>VLOOKUP(D97,'Activity List CSI'!$B$4:$D$146,3,0)</f>
        <v>03300-10</v>
      </c>
      <c r="D97" s="37" t="s">
        <v>94</v>
      </c>
      <c r="E97" s="37" t="s">
        <v>591</v>
      </c>
      <c r="F97" s="30" t="s">
        <v>515</v>
      </c>
      <c r="G97" s="31"/>
      <c r="H97" s="32">
        <v>1</v>
      </c>
      <c r="I97" s="33"/>
      <c r="J97" s="33"/>
      <c r="K97" s="33">
        <v>1</v>
      </c>
      <c r="L97" s="33"/>
      <c r="M97" s="33"/>
      <c r="N97" s="33"/>
      <c r="O97" s="33"/>
      <c r="P97" s="33"/>
      <c r="Q97" s="33"/>
      <c r="R97" s="33">
        <v>2</v>
      </c>
      <c r="S97" s="33"/>
      <c r="T97" s="33">
        <v>1</v>
      </c>
      <c r="U97" s="33">
        <v>1</v>
      </c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>
        <v>2</v>
      </c>
      <c r="AR97" s="33"/>
      <c r="AS97" s="30">
        <v>7</v>
      </c>
      <c r="AT97" s="34">
        <v>105</v>
      </c>
      <c r="AU97" s="35">
        <f t="shared" si="29"/>
        <v>120</v>
      </c>
      <c r="AV97" s="36">
        <f t="shared" si="30"/>
        <v>1.1428571428571428</v>
      </c>
    </row>
    <row r="98" spans="2:48" ht="24.75" customHeight="1" x14ac:dyDescent="0.35">
      <c r="B98" s="29" t="str">
        <f>VLOOKUP(D98,'Activity List CSI'!$B$4:$D$146,2,0)</f>
        <v>0311</v>
      </c>
      <c r="C98" s="233" t="str">
        <f>VLOOKUP(D98,'Activity List CSI'!$B$4:$D$146,3,0)</f>
        <v>03300-11</v>
      </c>
      <c r="D98" s="37" t="s">
        <v>96</v>
      </c>
      <c r="E98" s="37" t="s">
        <v>591</v>
      </c>
      <c r="F98" s="30" t="s">
        <v>515</v>
      </c>
      <c r="G98" s="31"/>
      <c r="H98" s="32">
        <v>1</v>
      </c>
      <c r="I98" s="33"/>
      <c r="J98" s="33"/>
      <c r="K98" s="33">
        <v>1</v>
      </c>
      <c r="L98" s="33"/>
      <c r="M98" s="33"/>
      <c r="N98" s="33"/>
      <c r="O98" s="33"/>
      <c r="P98" s="33"/>
      <c r="Q98" s="33"/>
      <c r="R98" s="33">
        <v>2</v>
      </c>
      <c r="S98" s="33"/>
      <c r="T98" s="33">
        <v>1</v>
      </c>
      <c r="U98" s="33">
        <v>1</v>
      </c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>
        <v>2</v>
      </c>
      <c r="AR98" s="33"/>
      <c r="AS98" s="30">
        <v>7</v>
      </c>
      <c r="AT98" s="34">
        <v>105</v>
      </c>
      <c r="AU98" s="35">
        <f t="shared" si="29"/>
        <v>120</v>
      </c>
      <c r="AV98" s="36">
        <f t="shared" si="30"/>
        <v>1.1428571428571428</v>
      </c>
    </row>
    <row r="99" spans="2:48" ht="24.75" customHeight="1" x14ac:dyDescent="0.35">
      <c r="B99" s="29" t="str">
        <f>VLOOKUP(D99,'Activity List CSI'!$B$4:$D$146,2,0)</f>
        <v>0312</v>
      </c>
      <c r="C99" s="233" t="str">
        <f>VLOOKUP(D99,'Activity List CSI'!$B$4:$D$146,3,0)</f>
        <v>03300-12</v>
      </c>
      <c r="D99" s="37" t="s">
        <v>98</v>
      </c>
      <c r="E99" s="37" t="s">
        <v>591</v>
      </c>
      <c r="F99" s="30" t="s">
        <v>515</v>
      </c>
      <c r="G99" s="31"/>
      <c r="H99" s="32">
        <v>1</v>
      </c>
      <c r="I99" s="33"/>
      <c r="J99" s="33"/>
      <c r="K99" s="33">
        <v>1</v>
      </c>
      <c r="L99" s="33"/>
      <c r="M99" s="33"/>
      <c r="N99" s="33"/>
      <c r="O99" s="33"/>
      <c r="P99" s="33"/>
      <c r="Q99" s="33"/>
      <c r="R99" s="33">
        <v>2</v>
      </c>
      <c r="S99" s="33"/>
      <c r="T99" s="33">
        <v>1</v>
      </c>
      <c r="U99" s="33">
        <v>1</v>
      </c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>
        <v>2</v>
      </c>
      <c r="AR99" s="33"/>
      <c r="AS99" s="30">
        <v>7</v>
      </c>
      <c r="AT99" s="34">
        <v>105</v>
      </c>
      <c r="AU99" s="35">
        <f t="shared" si="29"/>
        <v>120</v>
      </c>
      <c r="AV99" s="36">
        <f t="shared" si="30"/>
        <v>1.1428571428571428</v>
      </c>
    </row>
    <row r="100" spans="2:48" ht="24.75" customHeight="1" x14ac:dyDescent="0.35">
      <c r="B100" s="29" t="str">
        <f>VLOOKUP(D100,'Activity List CSI'!$B$4:$D$146,2,0)</f>
        <v>0316</v>
      </c>
      <c r="C100" s="233" t="str">
        <f>VLOOKUP(D100,'Activity List CSI'!$B$4:$D$146,3,0)</f>
        <v>03300-14</v>
      </c>
      <c r="D100" s="37" t="s">
        <v>408</v>
      </c>
      <c r="E100" s="37" t="s">
        <v>591</v>
      </c>
      <c r="F100" s="30" t="s">
        <v>513</v>
      </c>
      <c r="G100" s="31"/>
      <c r="H100" s="32">
        <v>1</v>
      </c>
      <c r="I100" s="33"/>
      <c r="J100" s="33"/>
      <c r="K100" s="33">
        <v>1</v>
      </c>
      <c r="L100" s="33"/>
      <c r="M100" s="33"/>
      <c r="N100" s="33"/>
      <c r="O100" s="33"/>
      <c r="P100" s="33"/>
      <c r="Q100" s="33"/>
      <c r="R100" s="33">
        <v>2</v>
      </c>
      <c r="S100" s="33"/>
      <c r="T100" s="33">
        <v>1</v>
      </c>
      <c r="U100" s="33">
        <v>1</v>
      </c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>
        <v>2</v>
      </c>
      <c r="AR100" s="33"/>
      <c r="AS100" s="30">
        <v>7</v>
      </c>
      <c r="AT100" s="34">
        <f>105/0.15</f>
        <v>700</v>
      </c>
      <c r="AU100" s="35">
        <f t="shared" si="29"/>
        <v>120</v>
      </c>
      <c r="AV100" s="36">
        <f t="shared" si="30"/>
        <v>0.17142857142857143</v>
      </c>
    </row>
    <row r="101" spans="2:48" ht="24.75" customHeight="1" x14ac:dyDescent="0.35">
      <c r="B101" s="29" t="str">
        <f>VLOOKUP(D101,'Activity List CSI'!$B$4:$D$146,2,0)</f>
        <v>0313</v>
      </c>
      <c r="C101" s="233" t="str">
        <f>VLOOKUP(D101,'Activity List CSI'!$B$4:$D$146,3,0)</f>
        <v>03400-01</v>
      </c>
      <c r="D101" s="37" t="s">
        <v>100</v>
      </c>
      <c r="E101" s="37" t="s">
        <v>597</v>
      </c>
      <c r="F101" s="30" t="s">
        <v>513</v>
      </c>
      <c r="G101" s="31"/>
      <c r="H101" s="32"/>
      <c r="I101" s="33"/>
      <c r="J101" s="33"/>
      <c r="K101" s="33"/>
      <c r="L101" s="33"/>
      <c r="M101" s="33">
        <v>1</v>
      </c>
      <c r="N101" s="33">
        <v>6</v>
      </c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0">
        <v>2</v>
      </c>
      <c r="AT101" s="34">
        <f>520*0.75</f>
        <v>390</v>
      </c>
      <c r="AU101" s="35">
        <f t="shared" si="25"/>
        <v>72</v>
      </c>
      <c r="AV101" s="36">
        <f t="shared" si="26"/>
        <v>0.18461538461538463</v>
      </c>
    </row>
    <row r="102" spans="2:48" ht="24.75" customHeight="1" x14ac:dyDescent="0.35">
      <c r="B102" s="29" t="str">
        <f>VLOOKUP(D102,'Activity List CSI'!$B$4:$D$146,2,0)</f>
        <v>0314</v>
      </c>
      <c r="C102" s="233" t="str">
        <f>VLOOKUP(D102,'Activity List CSI'!$B$4:$D$146,3,0)</f>
        <v>03400-02</v>
      </c>
      <c r="D102" s="37" t="s">
        <v>435</v>
      </c>
      <c r="E102" s="37" t="s">
        <v>597</v>
      </c>
      <c r="F102" s="30" t="s">
        <v>513</v>
      </c>
      <c r="G102" s="31"/>
      <c r="H102" s="32"/>
      <c r="I102" s="33"/>
      <c r="J102" s="33"/>
      <c r="K102" s="33"/>
      <c r="L102" s="33"/>
      <c r="M102" s="33">
        <v>1</v>
      </c>
      <c r="N102" s="33">
        <v>6</v>
      </c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0">
        <v>2</v>
      </c>
      <c r="AT102" s="34">
        <f>67*0.75</f>
        <v>50.25</v>
      </c>
      <c r="AU102" s="35">
        <f t="shared" si="25"/>
        <v>72</v>
      </c>
      <c r="AV102" s="36">
        <f t="shared" si="26"/>
        <v>1.4328358208955223</v>
      </c>
    </row>
    <row r="103" spans="2:48" ht="24.75" customHeight="1" x14ac:dyDescent="0.35">
      <c r="B103" s="29" t="str">
        <f>VLOOKUP(D103,'Activity List CSI'!$B$4:$D$146,2,0)</f>
        <v>0701</v>
      </c>
      <c r="C103" s="233" t="str">
        <f>VLOOKUP(D103,'Activity List CSI'!$B$4:$D$146,3,0)</f>
        <v>07100-01</v>
      </c>
      <c r="D103" s="37" t="s">
        <v>123</v>
      </c>
      <c r="E103" s="37" t="s">
        <v>584</v>
      </c>
      <c r="F103" s="30" t="s">
        <v>513</v>
      </c>
      <c r="G103" s="31"/>
      <c r="H103" s="32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>
        <v>1</v>
      </c>
      <c r="AR103" s="33"/>
      <c r="AS103" s="30">
        <v>5</v>
      </c>
      <c r="AT103" s="34">
        <f>150*0.75</f>
        <v>112.5</v>
      </c>
      <c r="AU103" s="35">
        <f t="shared" si="25"/>
        <v>48</v>
      </c>
      <c r="AV103" s="36">
        <f t="shared" si="26"/>
        <v>0.42666666666666669</v>
      </c>
    </row>
    <row r="104" spans="2:48" ht="24.75" customHeight="1" x14ac:dyDescent="0.35">
      <c r="B104" s="29" t="str">
        <f>VLOOKUP(D104,'Activity List CSI'!$B$4:$D$146,2,0)</f>
        <v>0702</v>
      </c>
      <c r="C104" s="233" t="str">
        <f>VLOOKUP(D104,'Activity List CSI'!$B$4:$D$146,3,0)</f>
        <v>07100-02</v>
      </c>
      <c r="D104" s="37" t="s">
        <v>125</v>
      </c>
      <c r="E104" s="37" t="s">
        <v>584</v>
      </c>
      <c r="F104" s="30" t="s">
        <v>513</v>
      </c>
      <c r="G104" s="31"/>
      <c r="H104" s="32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>
        <v>2</v>
      </c>
      <c r="AR104" s="33">
        <v>1</v>
      </c>
      <c r="AS104" s="30">
        <v>4</v>
      </c>
      <c r="AT104" s="34">
        <f>250*0.75</f>
        <v>187.5</v>
      </c>
      <c r="AU104" s="35">
        <f t="shared" si="25"/>
        <v>56</v>
      </c>
      <c r="AV104" s="36">
        <f t="shared" si="26"/>
        <v>0.29866666666666669</v>
      </c>
    </row>
    <row r="105" spans="2:48" ht="24.75" customHeight="1" x14ac:dyDescent="0.35">
      <c r="B105" s="29" t="str">
        <f>VLOOKUP(D105,'Activity List CSI'!$B$4:$D$146,2,0)</f>
        <v>0703</v>
      </c>
      <c r="C105" s="233" t="str">
        <f>VLOOKUP(D105,'Activity List CSI'!$B$4:$D$146,3,0)</f>
        <v>07100-03</v>
      </c>
      <c r="D105" s="37" t="s">
        <v>127</v>
      </c>
      <c r="E105" s="37" t="s">
        <v>584</v>
      </c>
      <c r="F105" s="30" t="s">
        <v>513</v>
      </c>
      <c r="G105" s="31"/>
      <c r="H105" s="32">
        <v>1</v>
      </c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>
        <v>1</v>
      </c>
      <c r="AR105" s="33"/>
      <c r="AS105" s="30">
        <v>1</v>
      </c>
      <c r="AT105" s="34">
        <f>275*0.75</f>
        <v>206.25</v>
      </c>
      <c r="AU105" s="35">
        <f t="shared" si="25"/>
        <v>24</v>
      </c>
      <c r="AV105" s="36">
        <f t="shared" si="26"/>
        <v>0.11636363636363636</v>
      </c>
    </row>
    <row r="106" spans="2:48" ht="24.75" customHeight="1" x14ac:dyDescent="0.35">
      <c r="B106" s="29" t="str">
        <f>VLOOKUP(D106,'Activity List CSI'!$B$4:$D$146,2,0)</f>
        <v>0704</v>
      </c>
      <c r="C106" s="233" t="str">
        <f>VLOOKUP(D106,'Activity List CSI'!$B$4:$D$146,3,0)</f>
        <v>07100-04</v>
      </c>
      <c r="D106" s="37" t="s">
        <v>129</v>
      </c>
      <c r="E106" s="37" t="s">
        <v>584</v>
      </c>
      <c r="F106" s="30" t="s">
        <v>513</v>
      </c>
      <c r="G106" s="31"/>
      <c r="H106" s="32">
        <v>1</v>
      </c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>
        <v>1</v>
      </c>
      <c r="AR106" s="33"/>
      <c r="AS106" s="30">
        <v>1</v>
      </c>
      <c r="AT106" s="34">
        <f>275*0.75</f>
        <v>206.25</v>
      </c>
      <c r="AU106" s="35">
        <f t="shared" si="25"/>
        <v>24</v>
      </c>
      <c r="AV106" s="36">
        <f t="shared" si="26"/>
        <v>0.11636363636363636</v>
      </c>
    </row>
    <row r="107" spans="2:48" ht="24.75" customHeight="1" x14ac:dyDescent="0.35">
      <c r="B107" s="29" t="str">
        <f>VLOOKUP(D107,'Activity List CSI'!$B$4:$D$146,2,0)</f>
        <v>0706</v>
      </c>
      <c r="C107" s="233" t="str">
        <f>VLOOKUP(D107,'Activity List CSI'!$B$4:$D$146,3,0)</f>
        <v>07400-01</v>
      </c>
      <c r="D107" s="37" t="s">
        <v>133</v>
      </c>
      <c r="E107" s="37" t="s">
        <v>584</v>
      </c>
      <c r="F107" s="30" t="s">
        <v>513</v>
      </c>
      <c r="G107" s="31"/>
      <c r="H107" s="32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>
        <v>3</v>
      </c>
      <c r="AR107" s="33">
        <v>1</v>
      </c>
      <c r="AS107" s="30">
        <v>9</v>
      </c>
      <c r="AT107" s="34">
        <f>100*0.75</f>
        <v>75</v>
      </c>
      <c r="AU107" s="35">
        <f t="shared" si="25"/>
        <v>104</v>
      </c>
      <c r="AV107" s="36">
        <f t="shared" si="26"/>
        <v>1.3866666666666667</v>
      </c>
    </row>
    <row r="108" spans="2:48" ht="24.75" customHeight="1" x14ac:dyDescent="0.35">
      <c r="B108" s="29" t="str">
        <f>VLOOKUP(D108,'Activity List CSI'!$B$4:$D$146,2,0)</f>
        <v>0705</v>
      </c>
      <c r="C108" s="233" t="str">
        <f>VLOOKUP(D108,'Activity List CSI'!$B$4:$D$146,3,0)</f>
        <v>07200-01</v>
      </c>
      <c r="D108" s="37" t="s">
        <v>131</v>
      </c>
      <c r="E108" s="37" t="s">
        <v>584</v>
      </c>
      <c r="F108" s="30" t="s">
        <v>513</v>
      </c>
      <c r="G108" s="31"/>
      <c r="H108" s="32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0">
        <v>2</v>
      </c>
      <c r="AT108" s="34">
        <v>75</v>
      </c>
      <c r="AU108" s="35">
        <f t="shared" si="25"/>
        <v>16</v>
      </c>
      <c r="AV108" s="36">
        <f t="shared" si="26"/>
        <v>0.21333333333333335</v>
      </c>
    </row>
    <row r="109" spans="2:48" ht="24.75" customHeight="1" x14ac:dyDescent="0.35">
      <c r="B109" s="29" t="str">
        <f>VLOOKUP(D109,'Activity List CSI'!$B$4:$D$146,2,0)</f>
        <v>0401</v>
      </c>
      <c r="C109" s="233" t="str">
        <f>VLOOKUP(D109,'Activity List CSI'!$B$4:$D$146,3,0)</f>
        <v>04200-01</v>
      </c>
      <c r="D109" s="37" t="s">
        <v>4</v>
      </c>
      <c r="E109" s="37" t="s">
        <v>586</v>
      </c>
      <c r="F109" s="30" t="s">
        <v>515</v>
      </c>
      <c r="G109" s="31"/>
      <c r="H109" s="32"/>
      <c r="I109" s="33"/>
      <c r="J109" s="33"/>
      <c r="K109" s="33"/>
      <c r="L109" s="33"/>
      <c r="M109" s="33"/>
      <c r="N109" s="33"/>
      <c r="O109" s="33">
        <v>1</v>
      </c>
      <c r="P109" s="33">
        <v>6</v>
      </c>
      <c r="Q109" s="33">
        <v>6</v>
      </c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>
        <v>3</v>
      </c>
      <c r="AR109" s="33"/>
      <c r="AS109" s="30">
        <v>9</v>
      </c>
      <c r="AT109" s="34">
        <f>((2.5*2)*0.75)*3</f>
        <v>11.25</v>
      </c>
      <c r="AU109" s="35">
        <f t="shared" si="25"/>
        <v>200</v>
      </c>
      <c r="AV109" s="36">
        <f t="shared" si="26"/>
        <v>17.777777777777779</v>
      </c>
    </row>
    <row r="110" spans="2:48" ht="24.75" customHeight="1" x14ac:dyDescent="0.35">
      <c r="B110" s="29" t="str">
        <f>VLOOKUP(D110,'Activity List CSI'!$B$4:$D$146,2,0)</f>
        <v>0401</v>
      </c>
      <c r="C110" s="233" t="str">
        <f>VLOOKUP(D110,'Activity List CSI'!$B$4:$D$146,3,0)</f>
        <v>04200-01</v>
      </c>
      <c r="D110" s="37" t="s">
        <v>4</v>
      </c>
      <c r="E110" s="37" t="s">
        <v>586</v>
      </c>
      <c r="F110" s="30" t="s">
        <v>513</v>
      </c>
      <c r="G110" s="31"/>
      <c r="H110" s="32"/>
      <c r="I110" s="33"/>
      <c r="J110" s="33"/>
      <c r="K110" s="33"/>
      <c r="L110" s="33"/>
      <c r="M110" s="33"/>
      <c r="N110" s="33"/>
      <c r="O110" s="33">
        <v>1</v>
      </c>
      <c r="P110" s="33">
        <v>6</v>
      </c>
      <c r="Q110" s="33">
        <v>6</v>
      </c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>
        <v>3</v>
      </c>
      <c r="AR110" s="33"/>
      <c r="AS110" s="30">
        <v>9</v>
      </c>
      <c r="AT110" s="34">
        <f>((20*2)*0.75)*3</f>
        <v>90</v>
      </c>
      <c r="AU110" s="35">
        <f t="shared" si="25"/>
        <v>200</v>
      </c>
      <c r="AV110" s="36">
        <f t="shared" si="26"/>
        <v>2.2222222222222223</v>
      </c>
    </row>
    <row r="111" spans="2:48" ht="24.75" customHeight="1" x14ac:dyDescent="0.35">
      <c r="B111" s="29" t="str">
        <f>VLOOKUP(D111,'Activity List CSI'!$B$4:$D$146,2,0)</f>
        <v>0402</v>
      </c>
      <c r="C111" s="233" t="str">
        <f>VLOOKUP(D111,'Activity List CSI'!$B$4:$D$146,3,0)</f>
        <v>04200-02</v>
      </c>
      <c r="D111" s="37" t="s">
        <v>106</v>
      </c>
      <c r="E111" s="37" t="s">
        <v>586</v>
      </c>
      <c r="F111" s="30" t="s">
        <v>515</v>
      </c>
      <c r="G111" s="31"/>
      <c r="H111" s="32"/>
      <c r="I111" s="33"/>
      <c r="J111" s="33"/>
      <c r="K111" s="33"/>
      <c r="L111" s="33"/>
      <c r="M111" s="33"/>
      <c r="N111" s="33"/>
      <c r="O111" s="33">
        <v>1</v>
      </c>
      <c r="P111" s="33">
        <v>6</v>
      </c>
      <c r="Q111" s="33">
        <v>6</v>
      </c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0">
        <v>9</v>
      </c>
      <c r="AT111" s="34">
        <f>((3*2)*0.75)*3</f>
        <v>13.5</v>
      </c>
      <c r="AU111" s="35">
        <f t="shared" si="25"/>
        <v>176</v>
      </c>
      <c r="AV111" s="36">
        <f t="shared" si="26"/>
        <v>13.037037037037036</v>
      </c>
    </row>
    <row r="112" spans="2:48" ht="24.75" customHeight="1" x14ac:dyDescent="0.35">
      <c r="B112" s="29" t="str">
        <f>VLOOKUP(D112,'Activity List CSI'!$B$4:$D$146,2,0)</f>
        <v>0402</v>
      </c>
      <c r="C112" s="233" t="str">
        <f>VLOOKUP(D112,'Activity List CSI'!$B$4:$D$146,3,0)</f>
        <v>04200-02</v>
      </c>
      <c r="D112" s="37" t="s">
        <v>106</v>
      </c>
      <c r="E112" s="37" t="s">
        <v>586</v>
      </c>
      <c r="F112" s="30" t="s">
        <v>513</v>
      </c>
      <c r="G112" s="31"/>
      <c r="H112" s="32"/>
      <c r="I112" s="33"/>
      <c r="J112" s="33"/>
      <c r="K112" s="33"/>
      <c r="L112" s="33"/>
      <c r="M112" s="33"/>
      <c r="N112" s="33"/>
      <c r="O112" s="33">
        <v>1</v>
      </c>
      <c r="P112" s="33">
        <v>6</v>
      </c>
      <c r="Q112" s="33">
        <v>6</v>
      </c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0">
        <v>9</v>
      </c>
      <c r="AT112" s="34">
        <f>((25*2)*0.75)*3</f>
        <v>112.5</v>
      </c>
      <c r="AU112" s="35">
        <f t="shared" si="25"/>
        <v>176</v>
      </c>
      <c r="AV112" s="36">
        <f t="shared" si="26"/>
        <v>1.5644444444444445</v>
      </c>
    </row>
    <row r="113" spans="2:48" ht="24.75" customHeight="1" x14ac:dyDescent="0.35">
      <c r="B113" s="29" t="str">
        <f>VLOOKUP(D113,'Activity List CSI'!$B$4:$D$146,2,0)</f>
        <v>0403</v>
      </c>
      <c r="C113" s="233" t="str">
        <f>VLOOKUP(D113,'Activity List CSI'!$B$4:$D$146,3,0)</f>
        <v>04400-01</v>
      </c>
      <c r="D113" s="37" t="s">
        <v>108</v>
      </c>
      <c r="E113" s="37" t="s">
        <v>586</v>
      </c>
      <c r="F113" s="30"/>
      <c r="G113" s="31"/>
      <c r="H113" s="32"/>
      <c r="I113" s="33"/>
      <c r="J113" s="33"/>
      <c r="K113" s="33"/>
      <c r="L113" s="33"/>
      <c r="M113" s="33"/>
      <c r="N113" s="33"/>
      <c r="O113" s="33">
        <v>1</v>
      </c>
      <c r="P113" s="33">
        <v>8</v>
      </c>
      <c r="Q113" s="33">
        <v>8</v>
      </c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0">
        <v>8</v>
      </c>
      <c r="AT113" s="34">
        <f>55*3</f>
        <v>165</v>
      </c>
      <c r="AU113" s="35">
        <f t="shared" si="25"/>
        <v>200</v>
      </c>
      <c r="AV113" s="36">
        <f t="shared" si="26"/>
        <v>1.2121212121212122</v>
      </c>
    </row>
    <row r="114" spans="2:48" ht="24.75" customHeight="1" x14ac:dyDescent="0.35">
      <c r="B114" s="29" t="str">
        <f>VLOOKUP(D114,'Activity List CSI'!$B$4:$D$146,2,0)</f>
        <v>0915</v>
      </c>
      <c r="C114" s="233" t="str">
        <f>VLOOKUP(D114,'Activity List CSI'!$B$4:$D$146,3,0)</f>
        <v>09200-01</v>
      </c>
      <c r="D114" s="37" t="s">
        <v>186</v>
      </c>
      <c r="E114" s="37" t="s">
        <v>589</v>
      </c>
      <c r="F114" s="30" t="s">
        <v>513</v>
      </c>
      <c r="G114" s="31"/>
      <c r="H114" s="32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>
        <v>1</v>
      </c>
      <c r="T114" s="33">
        <v>3</v>
      </c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>
        <v>3</v>
      </c>
      <c r="AR114" s="33"/>
      <c r="AS114" s="30">
        <v>3</v>
      </c>
      <c r="AT114" s="34">
        <f>25*0.75*3</f>
        <v>56.25</v>
      </c>
      <c r="AU114" s="35">
        <f t="shared" si="25"/>
        <v>80</v>
      </c>
      <c r="AV114" s="36">
        <f t="shared" si="26"/>
        <v>1.4222222222222223</v>
      </c>
    </row>
    <row r="115" spans="2:48" ht="24.75" customHeight="1" x14ac:dyDescent="0.35">
      <c r="B115" s="29" t="str">
        <f>VLOOKUP(D115,'Activity List CSI'!$B$4:$D$146,2,0)</f>
        <v>0914</v>
      </c>
      <c r="C115" s="233" t="str">
        <f>VLOOKUP(D115,'Activity List CSI'!$B$4:$D$146,3,0)</f>
        <v>09700-02</v>
      </c>
      <c r="D115" s="37" t="s">
        <v>184</v>
      </c>
      <c r="E115" s="37" t="s">
        <v>589</v>
      </c>
      <c r="F115" s="30" t="s">
        <v>513</v>
      </c>
      <c r="G115" s="31"/>
      <c r="H115" s="32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>
        <v>1</v>
      </c>
      <c r="T115" s="33">
        <f>3*8</f>
        <v>24</v>
      </c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>
        <v>8</v>
      </c>
      <c r="AR115" s="33"/>
      <c r="AS115" s="30">
        <v>8</v>
      </c>
      <c r="AT115" s="34">
        <f>65.88*0.75*3</f>
        <v>148.22999999999999</v>
      </c>
      <c r="AU115" s="35">
        <f t="shared" si="25"/>
        <v>328</v>
      </c>
      <c r="AV115" s="36">
        <f t="shared" si="26"/>
        <v>2.2127774404641438</v>
      </c>
    </row>
    <row r="116" spans="2:48" ht="24.75" customHeight="1" x14ac:dyDescent="0.35">
      <c r="B116" s="29" t="str">
        <f>VLOOKUP(D116,'Activity List CSI'!$B$4:$D$146,2,0)</f>
        <v>0916</v>
      </c>
      <c r="C116" s="233" t="str">
        <f>VLOOKUP(D116,'Activity List CSI'!$B$4:$D$146,3,0)</f>
        <v>09200-02</v>
      </c>
      <c r="D116" s="37" t="s">
        <v>188</v>
      </c>
      <c r="E116" s="37" t="s">
        <v>589</v>
      </c>
      <c r="F116" s="30" t="s">
        <v>513</v>
      </c>
      <c r="G116" s="31"/>
      <c r="H116" s="32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>
        <v>1</v>
      </c>
      <c r="T116" s="33">
        <v>3</v>
      </c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>
        <v>3</v>
      </c>
      <c r="AR116" s="33"/>
      <c r="AS116" s="30">
        <v>3</v>
      </c>
      <c r="AT116" s="34">
        <f>16*0.75*3</f>
        <v>36</v>
      </c>
      <c r="AU116" s="35">
        <f t="shared" si="25"/>
        <v>80</v>
      </c>
      <c r="AV116" s="36">
        <f t="shared" si="26"/>
        <v>2.2222222222222223</v>
      </c>
    </row>
    <row r="117" spans="2:48" ht="24.75" customHeight="1" x14ac:dyDescent="0.35">
      <c r="B117" s="29" t="str">
        <f>VLOOKUP(D117,'Activity List CSI'!$B$4:$D$146,2,0)</f>
        <v>0926</v>
      </c>
      <c r="C117" s="233" t="str">
        <f>VLOOKUP(D117,'Activity List CSI'!$B$4:$D$146,3,0)</f>
        <v>09200-06</v>
      </c>
      <c r="D117" s="37" t="s">
        <v>199</v>
      </c>
      <c r="E117" s="37" t="s">
        <v>589</v>
      </c>
      <c r="F117" s="30" t="s">
        <v>513</v>
      </c>
      <c r="G117" s="31"/>
      <c r="H117" s="32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>
        <v>1</v>
      </c>
      <c r="T117" s="33">
        <v>6</v>
      </c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>
        <v>3</v>
      </c>
      <c r="AR117" s="33"/>
      <c r="AS117" s="30">
        <v>3</v>
      </c>
      <c r="AT117" s="34">
        <f>20*0.75*3</f>
        <v>45</v>
      </c>
      <c r="AU117" s="35">
        <f t="shared" si="25"/>
        <v>104</v>
      </c>
      <c r="AV117" s="36">
        <f t="shared" si="26"/>
        <v>2.3111111111111109</v>
      </c>
    </row>
    <row r="118" spans="2:48" ht="24.75" customHeight="1" x14ac:dyDescent="0.35">
      <c r="B118" s="29" t="str">
        <f>VLOOKUP(D118,'Activity List CSI'!$B$4:$D$146,2,0)</f>
        <v>0904</v>
      </c>
      <c r="C118" s="233" t="str">
        <f>VLOOKUP(D118,'Activity List CSI'!$B$4:$D$146,3,0)</f>
        <v>09600-04</v>
      </c>
      <c r="D118" s="37" t="s">
        <v>164</v>
      </c>
      <c r="E118" s="37" t="s">
        <v>585</v>
      </c>
      <c r="F118" s="30" t="s">
        <v>513</v>
      </c>
      <c r="G118" s="31"/>
      <c r="H118" s="32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>
        <v>1</v>
      </c>
      <c r="Y118" s="33">
        <v>6</v>
      </c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0">
        <v>12</v>
      </c>
      <c r="AT118" s="34">
        <f>(15*2)*0.75*3</f>
        <v>67.5</v>
      </c>
      <c r="AU118" s="35">
        <f t="shared" si="25"/>
        <v>152</v>
      </c>
      <c r="AV118" s="36">
        <f t="shared" si="26"/>
        <v>2.251851851851852</v>
      </c>
    </row>
    <row r="119" spans="2:48" ht="24.75" customHeight="1" x14ac:dyDescent="0.35">
      <c r="B119" s="29" t="str">
        <f>VLOOKUP(D119,'Activity List CSI'!$B$4:$D$146,2,0)</f>
        <v>0912</v>
      </c>
      <c r="C119" s="233" t="str">
        <f>VLOOKUP(D119,'Activity List CSI'!$B$4:$D$146,3,0)</f>
        <v>09300-07</v>
      </c>
      <c r="D119" s="37" t="s">
        <v>180</v>
      </c>
      <c r="E119" s="37" t="s">
        <v>585</v>
      </c>
      <c r="F119" s="30" t="s">
        <v>513</v>
      </c>
      <c r="G119" s="31"/>
      <c r="H119" s="32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>
        <v>2</v>
      </c>
      <c r="V119" s="33"/>
      <c r="W119" s="33"/>
      <c r="X119" s="33">
        <v>1</v>
      </c>
      <c r="Y119" s="33">
        <v>6</v>
      </c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0">
        <v>12</v>
      </c>
      <c r="AT119" s="34">
        <f>(10*2)*0.75*3</f>
        <v>45</v>
      </c>
      <c r="AU119" s="35">
        <f t="shared" si="25"/>
        <v>168</v>
      </c>
      <c r="AV119" s="36">
        <f t="shared" si="26"/>
        <v>3.7333333333333334</v>
      </c>
    </row>
    <row r="120" spans="2:48" ht="24.75" customHeight="1" x14ac:dyDescent="0.35">
      <c r="B120" s="29" t="str">
        <f>VLOOKUP(D120,'Activity List CSI'!$B$4:$D$146,2,0)</f>
        <v>0929</v>
      </c>
      <c r="C120" s="233" t="str">
        <f>VLOOKUP(D120,'Activity List CSI'!$B$4:$D$146,3,0)</f>
        <v>09700-04</v>
      </c>
      <c r="D120" s="37" t="s">
        <v>205</v>
      </c>
      <c r="E120" s="37" t="s">
        <v>585</v>
      </c>
      <c r="F120" s="30" t="s">
        <v>513</v>
      </c>
      <c r="G120" s="31"/>
      <c r="H120" s="32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>
        <v>2</v>
      </c>
      <c r="V120" s="33"/>
      <c r="W120" s="33"/>
      <c r="X120" s="33">
        <v>1</v>
      </c>
      <c r="Y120" s="33">
        <v>6</v>
      </c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0">
        <v>12</v>
      </c>
      <c r="AT120" s="34">
        <f>(7*2)*0.75*3</f>
        <v>31.5</v>
      </c>
      <c r="AU120" s="35">
        <f t="shared" si="25"/>
        <v>168</v>
      </c>
      <c r="AV120" s="36">
        <f t="shared" si="26"/>
        <v>5.333333333333333</v>
      </c>
    </row>
    <row r="121" spans="2:48" ht="24.75" customHeight="1" x14ac:dyDescent="0.35">
      <c r="B121" s="29" t="str">
        <f>VLOOKUP(D121,'Activity List CSI'!$B$4:$D$146,2,0)</f>
        <v>0901</v>
      </c>
      <c r="C121" s="233" t="str">
        <f>VLOOKUP(D121,'Activity List CSI'!$B$4:$D$146,3,0)</f>
        <v>09600-01</v>
      </c>
      <c r="D121" s="37" t="s">
        <v>158</v>
      </c>
      <c r="E121" s="37" t="s">
        <v>600</v>
      </c>
      <c r="F121" s="30" t="s">
        <v>513</v>
      </c>
      <c r="G121" s="31"/>
      <c r="H121" s="32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>
        <v>1</v>
      </c>
      <c r="AR121" s="33"/>
      <c r="AS121" s="30">
        <v>5</v>
      </c>
      <c r="AT121" s="34">
        <f>150*0.75</f>
        <v>112.5</v>
      </c>
      <c r="AU121" s="35">
        <f t="shared" si="25"/>
        <v>48</v>
      </c>
      <c r="AV121" s="36">
        <f t="shared" si="26"/>
        <v>0.42666666666666669</v>
      </c>
    </row>
    <row r="122" spans="2:48" ht="24.75" customHeight="1" x14ac:dyDescent="0.35">
      <c r="B122" s="29" t="str">
        <f>VLOOKUP(D122,'Activity List CSI'!$B$4:$D$146,2,0)</f>
        <v>0902</v>
      </c>
      <c r="C122" s="233" t="str">
        <f>VLOOKUP(D122,'Activity List CSI'!$B$4:$D$146,3,0)</f>
        <v>09600-02</v>
      </c>
      <c r="D122" s="37" t="s">
        <v>160</v>
      </c>
      <c r="E122" s="37" t="s">
        <v>600</v>
      </c>
      <c r="F122" s="30" t="s">
        <v>513</v>
      </c>
      <c r="G122" s="31"/>
      <c r="H122" s="32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>
        <v>1</v>
      </c>
      <c r="AA122" s="33">
        <v>8</v>
      </c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>
        <v>8</v>
      </c>
      <c r="AR122" s="33"/>
      <c r="AS122" s="30"/>
      <c r="AT122" s="34">
        <f>59*0.75*8</f>
        <v>354</v>
      </c>
      <c r="AU122" s="35">
        <f t="shared" si="25"/>
        <v>136</v>
      </c>
      <c r="AV122" s="36">
        <f t="shared" si="26"/>
        <v>0.38418079096045199</v>
      </c>
    </row>
    <row r="123" spans="2:48" ht="24.75" customHeight="1" x14ac:dyDescent="0.35">
      <c r="B123" s="29" t="str">
        <f>VLOOKUP(D123,'Activity List CSI'!$B$4:$D$146,2,0)</f>
        <v>0907</v>
      </c>
      <c r="C123" s="233" t="str">
        <f>VLOOKUP(D123,'Activity List CSI'!$B$4:$D$146,3,0)</f>
        <v>09300-02</v>
      </c>
      <c r="D123" s="37" t="s">
        <v>170</v>
      </c>
      <c r="E123" s="37" t="s">
        <v>600</v>
      </c>
      <c r="F123" s="30" t="s">
        <v>513</v>
      </c>
      <c r="G123" s="31"/>
      <c r="H123" s="32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>
        <v>1</v>
      </c>
      <c r="AA123" s="33">
        <v>8</v>
      </c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>
        <v>8</v>
      </c>
      <c r="AR123" s="33"/>
      <c r="AS123" s="30"/>
      <c r="AT123" s="34">
        <f>59*0.75*8</f>
        <v>354</v>
      </c>
      <c r="AU123" s="35">
        <f t="shared" si="25"/>
        <v>136</v>
      </c>
      <c r="AV123" s="36">
        <f t="shared" si="26"/>
        <v>0.38418079096045199</v>
      </c>
    </row>
    <row r="124" spans="2:48" ht="24.75" customHeight="1" x14ac:dyDescent="0.35">
      <c r="B124" s="29" t="str">
        <f>VLOOKUP(D124,'Activity List CSI'!$B$4:$D$146,2,0)</f>
        <v>0906</v>
      </c>
      <c r="C124" s="233" t="str">
        <f>VLOOKUP(D124,'Activity List CSI'!$B$4:$D$146,3,0)</f>
        <v>09300-01</v>
      </c>
      <c r="D124" s="37" t="s">
        <v>168</v>
      </c>
      <c r="E124" s="37" t="s">
        <v>600</v>
      </c>
      <c r="F124" s="30" t="s">
        <v>513</v>
      </c>
      <c r="G124" s="31"/>
      <c r="H124" s="32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>
        <v>1</v>
      </c>
      <c r="AA124" s="33">
        <v>3</v>
      </c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0">
        <v>6</v>
      </c>
      <c r="AT124" s="34">
        <v>90</v>
      </c>
      <c r="AU124" s="35">
        <f t="shared" si="25"/>
        <v>80</v>
      </c>
      <c r="AV124" s="36">
        <f t="shared" si="26"/>
        <v>0.88888888888888884</v>
      </c>
    </row>
    <row r="125" spans="2:48" ht="24.75" customHeight="1" x14ac:dyDescent="0.35">
      <c r="B125" s="29" t="str">
        <f>VLOOKUP(D125,'Activity List CSI'!$B$4:$D$146,2,0)</f>
        <v>0903</v>
      </c>
      <c r="C125" s="233" t="str">
        <f>VLOOKUP(D125,'Activity List CSI'!$B$4:$D$146,3,0)</f>
        <v>09600-03</v>
      </c>
      <c r="D125" s="37" t="s">
        <v>162</v>
      </c>
      <c r="E125" s="37" t="s">
        <v>600</v>
      </c>
      <c r="F125" s="30" t="s">
        <v>513</v>
      </c>
      <c r="G125" s="31"/>
      <c r="H125" s="32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>
        <v>1</v>
      </c>
      <c r="AA125" s="33">
        <v>3</v>
      </c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0">
        <v>6</v>
      </c>
      <c r="AT125" s="34">
        <v>45</v>
      </c>
      <c r="AU125" s="35">
        <f t="shared" ref="AU125:AU145" si="31">SUM(G125:AS125)*8</f>
        <v>80</v>
      </c>
      <c r="AV125" s="36">
        <f t="shared" si="26"/>
        <v>1.7777777777777777</v>
      </c>
    </row>
    <row r="126" spans="2:48" ht="24.75" customHeight="1" x14ac:dyDescent="0.35">
      <c r="B126" s="29" t="str">
        <f>VLOOKUP(D126,'Activity List CSI'!$B$4:$D$146,2,0)</f>
        <v>0911</v>
      </c>
      <c r="C126" s="233" t="str">
        <f>VLOOKUP(D126,'Activity List CSI'!$B$4:$D$146,3,0)</f>
        <v>09300-06</v>
      </c>
      <c r="D126" s="37" t="s">
        <v>178</v>
      </c>
      <c r="E126" s="37" t="s">
        <v>600</v>
      </c>
      <c r="F126" s="30" t="s">
        <v>513</v>
      </c>
      <c r="G126" s="31"/>
      <c r="H126" s="32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>
        <v>1</v>
      </c>
      <c r="AA126" s="33">
        <v>3</v>
      </c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0">
        <v>6</v>
      </c>
      <c r="AT126" s="34">
        <f>33.75*2</f>
        <v>67.5</v>
      </c>
      <c r="AU126" s="35">
        <f t="shared" si="31"/>
        <v>80</v>
      </c>
      <c r="AV126" s="36">
        <f t="shared" si="26"/>
        <v>1.1851851851851851</v>
      </c>
    </row>
    <row r="127" spans="2:48" ht="24.75" customHeight="1" x14ac:dyDescent="0.35">
      <c r="B127" s="29" t="str">
        <f>VLOOKUP(D127,'Activity List CSI'!$B$4:$D$146,2,0)</f>
        <v>0905</v>
      </c>
      <c r="C127" s="233" t="str">
        <f>VLOOKUP(D127,'Activity List CSI'!$B$4:$D$146,3,0)</f>
        <v>09600-05</v>
      </c>
      <c r="D127" s="37" t="s">
        <v>166</v>
      </c>
      <c r="E127" s="37" t="s">
        <v>581</v>
      </c>
      <c r="F127" s="30" t="s">
        <v>513</v>
      </c>
      <c r="G127" s="31">
        <v>1</v>
      </c>
      <c r="H127" s="32">
        <v>18</v>
      </c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>
        <v>3</v>
      </c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0">
        <v>27</v>
      </c>
      <c r="AT127" s="34">
        <v>90</v>
      </c>
      <c r="AU127" s="35">
        <f t="shared" si="31"/>
        <v>392</v>
      </c>
      <c r="AV127" s="36">
        <f t="shared" si="26"/>
        <v>4.3555555555555552</v>
      </c>
    </row>
    <row r="128" spans="2:48" ht="24.75" customHeight="1" x14ac:dyDescent="0.35">
      <c r="B128" s="29" t="str">
        <f>VLOOKUP(D128,'Activity List CSI'!$B$4:$D$146,2,0)</f>
        <v>0920</v>
      </c>
      <c r="C128" s="233" t="str">
        <f>VLOOKUP(D128,'Activity List CSI'!$B$4:$D$146,3,0)</f>
        <v>09900-01</v>
      </c>
      <c r="D128" s="37" t="s">
        <v>465</v>
      </c>
      <c r="E128" s="37" t="s">
        <v>588</v>
      </c>
      <c r="F128" s="30" t="s">
        <v>513</v>
      </c>
      <c r="G128" s="31"/>
      <c r="H128" s="32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>
        <v>1</v>
      </c>
      <c r="AC128" s="33">
        <v>6</v>
      </c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0">
        <v>3</v>
      </c>
      <c r="AT128" s="34">
        <f>100*0.75</f>
        <v>75</v>
      </c>
      <c r="AU128" s="35">
        <f t="shared" si="31"/>
        <v>80</v>
      </c>
      <c r="AV128" s="36">
        <f t="shared" si="26"/>
        <v>1.0666666666666667</v>
      </c>
    </row>
    <row r="129" spans="2:48" ht="24.75" customHeight="1" x14ac:dyDescent="0.35">
      <c r="B129" s="29" t="str">
        <f>VLOOKUP(D129,'Activity List CSI'!$B$4:$D$146,2,0)</f>
        <v>0921</v>
      </c>
      <c r="C129" s="233" t="str">
        <f>VLOOKUP(D129,'Activity List CSI'!$B$4:$D$146,3,0)</f>
        <v>09900-02</v>
      </c>
      <c r="D129" s="37" t="s">
        <v>197</v>
      </c>
      <c r="E129" s="37" t="s">
        <v>588</v>
      </c>
      <c r="F129" s="30" t="s">
        <v>513</v>
      </c>
      <c r="G129" s="31"/>
      <c r="H129" s="32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>
        <v>1</v>
      </c>
      <c r="AC129" s="33">
        <v>6</v>
      </c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0">
        <v>3</v>
      </c>
      <c r="AT129" s="34">
        <f>100*0.75*0.8</f>
        <v>60</v>
      </c>
      <c r="AU129" s="35">
        <f t="shared" si="31"/>
        <v>80</v>
      </c>
      <c r="AV129" s="36">
        <f t="shared" si="26"/>
        <v>1.3333333333333333</v>
      </c>
    </row>
    <row r="130" spans="2:48" ht="24.75" customHeight="1" x14ac:dyDescent="0.35">
      <c r="B130" s="29" t="str">
        <f>VLOOKUP(D130,'Activity List CSI'!$B$4:$D$146,2,0)</f>
        <v>0927</v>
      </c>
      <c r="C130" s="233" t="str">
        <f>VLOOKUP(D130,'Activity List CSI'!$B$4:$D$146,3,0)</f>
        <v>09900-03</v>
      </c>
      <c r="D130" s="37" t="s">
        <v>201</v>
      </c>
      <c r="E130" s="37" t="s">
        <v>588</v>
      </c>
      <c r="F130" s="30" t="s">
        <v>513</v>
      </c>
      <c r="G130" s="31"/>
      <c r="H130" s="32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>
        <v>1</v>
      </c>
      <c r="AC130" s="33">
        <v>6</v>
      </c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0">
        <v>3</v>
      </c>
      <c r="AT130" s="34">
        <f>100*0.75*0.8</f>
        <v>60</v>
      </c>
      <c r="AU130" s="35">
        <f t="shared" si="31"/>
        <v>80</v>
      </c>
      <c r="AV130" s="36">
        <f t="shared" si="26"/>
        <v>1.3333333333333333</v>
      </c>
    </row>
    <row r="131" spans="2:48" ht="24.75" customHeight="1" x14ac:dyDescent="0.35">
      <c r="B131" s="29" t="str">
        <f>VLOOKUP(D131,'Activity List CSI'!$B$4:$D$146,2,0)</f>
        <v>0919</v>
      </c>
      <c r="C131" s="233" t="str">
        <f>VLOOKUP(D131,'Activity List CSI'!$B$4:$D$146,3,0)</f>
        <v>09200-05</v>
      </c>
      <c r="D131" s="37" t="s">
        <v>194</v>
      </c>
      <c r="E131" s="37" t="s">
        <v>581</v>
      </c>
      <c r="F131" s="30" t="s">
        <v>513</v>
      </c>
      <c r="G131" s="31">
        <v>1</v>
      </c>
      <c r="H131" s="32">
        <v>16</v>
      </c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0">
        <v>8</v>
      </c>
      <c r="AT131" s="34">
        <f>27.8*8</f>
        <v>222.4</v>
      </c>
      <c r="AU131" s="35">
        <f t="shared" si="31"/>
        <v>200</v>
      </c>
      <c r="AV131" s="36">
        <f t="shared" si="26"/>
        <v>0.89928057553956831</v>
      </c>
    </row>
    <row r="132" spans="2:48" ht="24.75" customHeight="1" x14ac:dyDescent="0.35">
      <c r="B132" s="29" t="str">
        <f>VLOOKUP(D132,'Activity List CSI'!$B$4:$D$146,2,0)</f>
        <v>0917</v>
      </c>
      <c r="C132" s="233" t="str">
        <f>VLOOKUP(D132,'Activity List CSI'!$B$4:$D$146,3,0)</f>
        <v>09200-03</v>
      </c>
      <c r="D132" s="37" t="s">
        <v>190</v>
      </c>
      <c r="E132" s="37" t="s">
        <v>581</v>
      </c>
      <c r="F132" s="30" t="s">
        <v>513</v>
      </c>
      <c r="G132" s="31"/>
      <c r="H132" s="32">
        <v>16</v>
      </c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>
        <v>1</v>
      </c>
      <c r="AS132" s="30">
        <v>8</v>
      </c>
      <c r="AT132" s="34">
        <f>27.8*0.75*8</f>
        <v>166.8</v>
      </c>
      <c r="AU132" s="35">
        <f t="shared" si="31"/>
        <v>200</v>
      </c>
      <c r="AV132" s="36">
        <f t="shared" si="26"/>
        <v>1.199040767386091</v>
      </c>
    </row>
    <row r="133" spans="2:48" ht="24.75" customHeight="1" x14ac:dyDescent="0.35">
      <c r="B133" s="29" t="str">
        <f>VLOOKUP(D133,'Activity List CSI'!$B$4:$D$146,2,0)</f>
        <v>0918</v>
      </c>
      <c r="C133" s="233" t="str">
        <f>VLOOKUP(D133,'Activity List CSI'!$B$4:$D$146,3,0)</f>
        <v>09200-04</v>
      </c>
      <c r="D133" s="37" t="s">
        <v>192</v>
      </c>
      <c r="E133" s="37" t="s">
        <v>581</v>
      </c>
      <c r="F133" s="30" t="s">
        <v>513</v>
      </c>
      <c r="G133" s="31"/>
      <c r="H133" s="32">
        <v>16</v>
      </c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>
        <v>1</v>
      </c>
      <c r="AS133" s="30">
        <v>8</v>
      </c>
      <c r="AT133" s="34">
        <f>78*0.75*8</f>
        <v>468</v>
      </c>
      <c r="AU133" s="35">
        <f t="shared" si="31"/>
        <v>200</v>
      </c>
      <c r="AV133" s="36">
        <f t="shared" si="26"/>
        <v>0.42735042735042733</v>
      </c>
    </row>
    <row r="134" spans="2:48" ht="24.75" customHeight="1" x14ac:dyDescent="0.35">
      <c r="B134" s="29" t="str">
        <f>VLOOKUP(D134,'Activity List CSI'!$B$4:$D$146,2,0)</f>
        <v>1503</v>
      </c>
      <c r="C134" s="233" t="str">
        <f>VLOOKUP(D134,'Activity List CSI'!$B$4:$D$146,3,0)</f>
        <v>15100-02</v>
      </c>
      <c r="D134" s="37" t="s">
        <v>289</v>
      </c>
      <c r="E134" s="37" t="s">
        <v>590</v>
      </c>
      <c r="F134" s="30" t="s">
        <v>571</v>
      </c>
      <c r="G134" s="31"/>
      <c r="H134" s="32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>
        <v>1</v>
      </c>
      <c r="AE134" s="33">
        <v>3</v>
      </c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0">
        <v>6</v>
      </c>
      <c r="AT134" s="34">
        <v>2.25</v>
      </c>
      <c r="AU134" s="35">
        <f t="shared" si="31"/>
        <v>80</v>
      </c>
      <c r="AV134" s="36">
        <f t="shared" si="26"/>
        <v>35.555555555555557</v>
      </c>
    </row>
    <row r="135" spans="2:48" ht="24.75" customHeight="1" x14ac:dyDescent="0.35">
      <c r="B135" s="29" t="str">
        <f>VLOOKUP(D135,'Activity List CSI'!$B$4:$D$146,2,0)</f>
        <v>1503</v>
      </c>
      <c r="C135" s="233" t="str">
        <f>VLOOKUP(D135,'Activity List CSI'!$B$4:$D$146,3,0)</f>
        <v>15100-02</v>
      </c>
      <c r="D135" s="37" t="s">
        <v>289</v>
      </c>
      <c r="E135" s="37" t="s">
        <v>590</v>
      </c>
      <c r="F135" s="30" t="s">
        <v>519</v>
      </c>
      <c r="G135" s="31"/>
      <c r="H135" s="32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>
        <v>1</v>
      </c>
      <c r="AE135" s="33">
        <v>3</v>
      </c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0">
        <v>6</v>
      </c>
      <c r="AT135" s="34">
        <f>50*0.75</f>
        <v>37.5</v>
      </c>
      <c r="AU135" s="35">
        <f t="shared" si="31"/>
        <v>80</v>
      </c>
      <c r="AV135" s="36">
        <f t="shared" si="26"/>
        <v>2.1333333333333333</v>
      </c>
    </row>
    <row r="136" spans="2:48" ht="24.75" customHeight="1" x14ac:dyDescent="0.35">
      <c r="B136" s="29" t="str">
        <f>VLOOKUP(D136,'Activity List CSI'!$B$4:$D$146,2,0)</f>
        <v>1502</v>
      </c>
      <c r="C136" s="233" t="str">
        <f>VLOOKUP(D136,'Activity List CSI'!$B$4:$D$146,3,0)</f>
        <v>15100-01</v>
      </c>
      <c r="D136" s="37" t="s">
        <v>288</v>
      </c>
      <c r="E136" s="37" t="s">
        <v>590</v>
      </c>
      <c r="F136" s="30" t="s">
        <v>571</v>
      </c>
      <c r="G136" s="31"/>
      <c r="H136" s="32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>
        <v>1</v>
      </c>
      <c r="AE136" s="33">
        <v>3</v>
      </c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0">
        <v>6</v>
      </c>
      <c r="AT136" s="34">
        <v>2.25</v>
      </c>
      <c r="AU136" s="35">
        <f t="shared" si="31"/>
        <v>80</v>
      </c>
      <c r="AV136" s="36">
        <f t="shared" si="26"/>
        <v>35.555555555555557</v>
      </c>
    </row>
    <row r="137" spans="2:48" ht="24.75" customHeight="1" x14ac:dyDescent="0.35">
      <c r="B137" s="29" t="str">
        <f>VLOOKUP(D137,'Activity List CSI'!$B$4:$D$146,2,0)</f>
        <v>1502</v>
      </c>
      <c r="C137" s="233" t="str">
        <f>VLOOKUP(D137,'Activity List CSI'!$B$4:$D$146,3,0)</f>
        <v>15100-01</v>
      </c>
      <c r="D137" s="37" t="s">
        <v>288</v>
      </c>
      <c r="E137" s="37" t="s">
        <v>590</v>
      </c>
      <c r="F137" s="30" t="s">
        <v>571</v>
      </c>
      <c r="G137" s="31"/>
      <c r="H137" s="32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>
        <v>1</v>
      </c>
      <c r="AE137" s="33">
        <v>3</v>
      </c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0">
        <v>6</v>
      </c>
      <c r="AT137" s="34">
        <f>50*0.75</f>
        <v>37.5</v>
      </c>
      <c r="AU137" s="35">
        <f t="shared" si="31"/>
        <v>80</v>
      </c>
      <c r="AV137" s="36">
        <f t="shared" si="26"/>
        <v>2.1333333333333333</v>
      </c>
    </row>
    <row r="138" spans="2:48" ht="24.75" customHeight="1" x14ac:dyDescent="0.35">
      <c r="B138" s="29" t="str">
        <f>VLOOKUP(D138,'Activity List CSI'!$B$4:$D$146,2,0)</f>
        <v>1504</v>
      </c>
      <c r="C138" s="233" t="str">
        <f>VLOOKUP(D138,'Activity List CSI'!$B$4:$D$146,3,0)</f>
        <v>15100-03</v>
      </c>
      <c r="D138" s="37" t="s">
        <v>290</v>
      </c>
      <c r="E138" s="37" t="s">
        <v>590</v>
      </c>
      <c r="F138" s="30" t="s">
        <v>571</v>
      </c>
      <c r="G138" s="31"/>
      <c r="H138" s="32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>
        <v>1</v>
      </c>
      <c r="AE138" s="33">
        <v>3</v>
      </c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0">
        <v>6</v>
      </c>
      <c r="AT138" s="34">
        <f>1*0.75*3</f>
        <v>2.25</v>
      </c>
      <c r="AU138" s="35">
        <f t="shared" si="31"/>
        <v>80</v>
      </c>
      <c r="AV138" s="36">
        <f t="shared" si="26"/>
        <v>35.555555555555557</v>
      </c>
    </row>
    <row r="139" spans="2:48" ht="24.75" customHeight="1" x14ac:dyDescent="0.35">
      <c r="B139" s="29" t="str">
        <f>VLOOKUP(D139,'Activity List CSI'!$B$4:$D$146,2,0)</f>
        <v>1505</v>
      </c>
      <c r="C139" s="233" t="str">
        <f>VLOOKUP(D139,'Activity List CSI'!$B$4:$D$146,3,0)</f>
        <v>15200-01</v>
      </c>
      <c r="D139" s="37" t="s">
        <v>295</v>
      </c>
      <c r="E139" s="37" t="s">
        <v>592</v>
      </c>
      <c r="F139" s="30" t="s">
        <v>571</v>
      </c>
      <c r="G139" s="31"/>
      <c r="H139" s="32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>
        <v>1</v>
      </c>
      <c r="AE139" s="33">
        <v>8</v>
      </c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>
        <v>4</v>
      </c>
      <c r="AR139" s="33"/>
      <c r="AS139" s="30">
        <v>4</v>
      </c>
      <c r="AT139" s="34">
        <f>9*0.75*4</f>
        <v>27</v>
      </c>
      <c r="AU139" s="35">
        <f t="shared" si="31"/>
        <v>136</v>
      </c>
      <c r="AV139" s="36">
        <f t="shared" si="26"/>
        <v>5.0370370370370372</v>
      </c>
    </row>
    <row r="140" spans="2:48" ht="24.75" customHeight="1" x14ac:dyDescent="0.35">
      <c r="B140" s="29" t="str">
        <f>VLOOKUP(D140,'Activity List CSI'!$B$4:$D$146,2,0)</f>
        <v>1506</v>
      </c>
      <c r="C140" s="233" t="str">
        <f>VLOOKUP(D140,'Activity List CSI'!$B$4:$D$146,3,0)</f>
        <v>15200-02</v>
      </c>
      <c r="D140" s="37" t="s">
        <v>296</v>
      </c>
      <c r="E140" s="37" t="s">
        <v>592</v>
      </c>
      <c r="F140" s="30" t="s">
        <v>571</v>
      </c>
      <c r="G140" s="31"/>
      <c r="H140" s="32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>
        <v>1</v>
      </c>
      <c r="AE140" s="33">
        <v>8</v>
      </c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>
        <v>8</v>
      </c>
      <c r="AR140" s="33"/>
      <c r="AS140" s="30"/>
      <c r="AT140" s="34">
        <f>6*0.75*8</f>
        <v>36</v>
      </c>
      <c r="AU140" s="35">
        <f t="shared" si="31"/>
        <v>136</v>
      </c>
      <c r="AV140" s="36">
        <f t="shared" si="26"/>
        <v>3.7777777777777777</v>
      </c>
    </row>
    <row r="141" spans="2:48" ht="24.75" customHeight="1" x14ac:dyDescent="0.35">
      <c r="B141" s="29" t="str">
        <f>VLOOKUP(D141,'Activity List CSI'!$B$4:$D$146,2,0)</f>
        <v>1507</v>
      </c>
      <c r="C141" s="233" t="str">
        <f>VLOOKUP(D141,'Activity List CSI'!$B$4:$D$146,3,0)</f>
        <v>15200-03</v>
      </c>
      <c r="D141" s="37" t="s">
        <v>297</v>
      </c>
      <c r="E141" s="37" t="s">
        <v>592</v>
      </c>
      <c r="F141" s="30" t="s">
        <v>571</v>
      </c>
      <c r="G141" s="31"/>
      <c r="H141" s="32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>
        <v>1</v>
      </c>
      <c r="AE141" s="33">
        <v>8</v>
      </c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0">
        <v>8</v>
      </c>
      <c r="AT141" s="34">
        <f>45*0.75*8</f>
        <v>270</v>
      </c>
      <c r="AU141" s="35">
        <f t="shared" si="31"/>
        <v>136</v>
      </c>
      <c r="AV141" s="36">
        <f t="shared" si="26"/>
        <v>0.50370370370370365</v>
      </c>
    </row>
    <row r="142" spans="2:48" ht="24.75" customHeight="1" x14ac:dyDescent="0.35">
      <c r="B142" s="29" t="str">
        <f>VLOOKUP(D142,'Activity List CSI'!$B$4:$D$146,2,0)</f>
        <v>1508</v>
      </c>
      <c r="C142" s="233" t="str">
        <f>VLOOKUP(D142,'Activity List CSI'!$B$4:$D$146,3,0)</f>
        <v>15200-04</v>
      </c>
      <c r="D142" s="37" t="s">
        <v>298</v>
      </c>
      <c r="E142" s="37" t="s">
        <v>592</v>
      </c>
      <c r="F142" s="30" t="s">
        <v>571</v>
      </c>
      <c r="G142" s="31"/>
      <c r="H142" s="32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>
        <v>1</v>
      </c>
      <c r="AE142" s="33">
        <v>8</v>
      </c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0">
        <v>8</v>
      </c>
      <c r="AT142" s="34">
        <f>50*0.75*8</f>
        <v>300</v>
      </c>
      <c r="AU142" s="35">
        <f t="shared" si="31"/>
        <v>136</v>
      </c>
      <c r="AV142" s="36">
        <f t="shared" si="26"/>
        <v>0.45333333333333331</v>
      </c>
    </row>
    <row r="143" spans="2:48" ht="24.75" customHeight="1" x14ac:dyDescent="0.35">
      <c r="B143" s="29" t="str">
        <f>VLOOKUP(D143,'Activity List CSI'!$B$4:$D$146,2,0)</f>
        <v>1509</v>
      </c>
      <c r="C143" s="233" t="str">
        <f>VLOOKUP(D143,'Activity List CSI'!$B$4:$D$146,3,0)</f>
        <v>15200-05</v>
      </c>
      <c r="D143" s="37" t="s">
        <v>299</v>
      </c>
      <c r="E143" s="37" t="s">
        <v>592</v>
      </c>
      <c r="F143" s="30" t="s">
        <v>571</v>
      </c>
      <c r="G143" s="31"/>
      <c r="H143" s="32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>
        <v>1</v>
      </c>
      <c r="AE143" s="33">
        <v>8</v>
      </c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0">
        <v>8</v>
      </c>
      <c r="AT143" s="34">
        <f>27*0.75*8</f>
        <v>162</v>
      </c>
      <c r="AU143" s="35">
        <f t="shared" si="31"/>
        <v>136</v>
      </c>
      <c r="AV143" s="36">
        <f t="shared" si="26"/>
        <v>0.83950617283950613</v>
      </c>
    </row>
    <row r="144" spans="2:48" ht="24.75" customHeight="1" x14ac:dyDescent="0.35">
      <c r="B144" s="29" t="str">
        <f>VLOOKUP(D144,'Activity List CSI'!$B$4:$D$146,2,0)</f>
        <v>1510</v>
      </c>
      <c r="C144" s="233" t="str">
        <f>VLOOKUP(D144,'Activity List CSI'!$B$4:$D$146,3,0)</f>
        <v>15200-06</v>
      </c>
      <c r="D144" s="37" t="s">
        <v>410</v>
      </c>
      <c r="E144" s="37" t="s">
        <v>584</v>
      </c>
      <c r="F144" s="30" t="s">
        <v>571</v>
      </c>
      <c r="G144" s="31"/>
      <c r="H144" s="32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0">
        <f>3*8</f>
        <v>24</v>
      </c>
      <c r="AT144" s="34">
        <f>1.65*0.75*8</f>
        <v>9.8999999999999986</v>
      </c>
      <c r="AU144" s="35">
        <f t="shared" si="31"/>
        <v>192</v>
      </c>
      <c r="AV144" s="36">
        <f t="shared" si="26"/>
        <v>19.393939393939398</v>
      </c>
    </row>
    <row r="145" spans="2:48" ht="24.75" customHeight="1" x14ac:dyDescent="0.35">
      <c r="B145" s="29" t="str">
        <f>VLOOKUP(D145,'Activity List CSI'!$B$4:$D$146,2,0)</f>
        <v>1510</v>
      </c>
      <c r="C145" s="233" t="str">
        <f>VLOOKUP(D145,'Activity List CSI'!$B$4:$D$146,3,0)</f>
        <v>15200-06</v>
      </c>
      <c r="D145" s="37" t="s">
        <v>410</v>
      </c>
      <c r="E145" s="37" t="s">
        <v>594</v>
      </c>
      <c r="F145" s="30" t="s">
        <v>571</v>
      </c>
      <c r="G145" s="31">
        <v>1</v>
      </c>
      <c r="H145" s="32">
        <v>10</v>
      </c>
      <c r="I145" s="33"/>
      <c r="J145" s="33"/>
      <c r="K145" s="33">
        <v>4</v>
      </c>
      <c r="L145" s="33"/>
      <c r="M145" s="33"/>
      <c r="N145" s="33"/>
      <c r="O145" s="33"/>
      <c r="P145" s="33"/>
      <c r="Q145" s="33"/>
      <c r="R145" s="33"/>
      <c r="S145" s="33"/>
      <c r="T145" s="33">
        <v>1</v>
      </c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0">
        <v>8</v>
      </c>
      <c r="AT145" s="34">
        <f>5.5*0.75*4</f>
        <v>16.5</v>
      </c>
      <c r="AU145" s="35">
        <f t="shared" si="31"/>
        <v>192</v>
      </c>
      <c r="AV145" s="36">
        <f t="shared" si="26"/>
        <v>11.636363636363637</v>
      </c>
    </row>
    <row r="146" spans="2:48" ht="24.75" customHeight="1" x14ac:dyDescent="0.35">
      <c r="B146" s="29"/>
      <c r="C146" s="233"/>
      <c r="D146" s="37"/>
      <c r="E146" s="37"/>
      <c r="F146" s="30"/>
      <c r="G146" s="31"/>
      <c r="H146" s="32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0"/>
      <c r="AT146" s="34"/>
      <c r="AU146" s="35"/>
      <c r="AV146" s="36"/>
    </row>
  </sheetData>
  <autoFilter ref="B3:AV145" xr:uid="{00000000-0009-0000-0000-000006000000}"/>
  <pageMargins left="0.7" right="0.7" top="0.75" bottom="0.75" header="0.3" footer="0.3"/>
  <pageSetup scale="1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D1:N194"/>
  <sheetViews>
    <sheetView topLeftCell="F1" workbookViewId="0">
      <selection activeCell="F17" sqref="F17"/>
    </sheetView>
  </sheetViews>
  <sheetFormatPr defaultRowHeight="15" x14ac:dyDescent="0.25"/>
  <cols>
    <col min="2" max="3" width="0" hidden="1" customWidth="1"/>
    <col min="4" max="4" width="16.7109375" customWidth="1"/>
    <col min="5" max="5" width="13.140625" customWidth="1"/>
    <col min="6" max="6" width="75" bestFit="1" customWidth="1"/>
    <col min="7" max="7" width="7.85546875" customWidth="1"/>
    <col min="8" max="8" width="19.7109375" customWidth="1"/>
    <col min="9" max="9" width="14.7109375" customWidth="1"/>
    <col min="10" max="10" width="39.140625" bestFit="1" customWidth="1"/>
    <col min="11" max="11" width="44.5703125" customWidth="1"/>
    <col min="12" max="12" width="15.85546875" customWidth="1"/>
    <col min="13" max="13" width="14.5703125" customWidth="1"/>
    <col min="14" max="14" width="19.85546875" customWidth="1"/>
  </cols>
  <sheetData>
    <row r="1" spans="4:14" s="141" customFormat="1" x14ac:dyDescent="0.25">
      <c r="G1" s="141">
        <v>3</v>
      </c>
      <c r="H1" s="141">
        <v>4</v>
      </c>
      <c r="J1" s="141">
        <v>7</v>
      </c>
    </row>
    <row r="2" spans="4:14" s="141" customFormat="1" ht="27" thickBot="1" x14ac:dyDescent="0.45">
      <c r="D2" s="207" t="s">
        <v>1133</v>
      </c>
    </row>
    <row r="3" spans="4:14" s="140" customFormat="1" ht="30" customHeight="1" thickBot="1" x14ac:dyDescent="0.3">
      <c r="D3" s="143" t="s">
        <v>905</v>
      </c>
      <c r="E3" s="144" t="s">
        <v>15</v>
      </c>
      <c r="F3" s="144" t="s">
        <v>16</v>
      </c>
      <c r="G3" s="144" t="s">
        <v>1126</v>
      </c>
      <c r="H3" s="146" t="s">
        <v>909</v>
      </c>
      <c r="I3" s="144" t="s">
        <v>308</v>
      </c>
      <c r="J3" s="146" t="s">
        <v>309</v>
      </c>
      <c r="K3" s="144" t="s">
        <v>1127</v>
      </c>
      <c r="L3" s="146" t="s">
        <v>911</v>
      </c>
      <c r="M3" s="146" t="s">
        <v>912</v>
      </c>
      <c r="N3" s="145" t="s">
        <v>913</v>
      </c>
    </row>
    <row r="4" spans="4:14" x14ac:dyDescent="0.25">
      <c r="D4" s="46" t="s">
        <v>54</v>
      </c>
      <c r="E4" s="171" t="str">
        <f>VLOOKUP(F4,'Activity List CSI'!$B$4:$D$146,3,0)</f>
        <v>02300-01</v>
      </c>
      <c r="F4" s="47" t="s">
        <v>18</v>
      </c>
      <c r="G4" s="47" t="str">
        <f>VLOOKUP($E4,'Activity List CSI'!$D$4:$J$146,G$1,0)</f>
        <v>02</v>
      </c>
      <c r="H4" s="47" t="str">
        <f>VLOOKUP($E4,'Activity List CSI'!$D$4:$J$146,H$1,0)</f>
        <v>EarthWork</v>
      </c>
      <c r="I4" s="47" t="str">
        <f>VLOOKUP(D4,'Activity List CSI'!$C$4:$H$146,6,0)</f>
        <v>02300</v>
      </c>
      <c r="J4" s="47" t="str">
        <f>VLOOKUP($E4,'Activity List CSI'!$D$4:$J$146,J$1,0)</f>
        <v>Earthwork</v>
      </c>
      <c r="K4" s="47" t="s">
        <v>599</v>
      </c>
      <c r="L4" s="47">
        <v>305</v>
      </c>
      <c r="M4" s="48" t="str">
        <f>I4&amp;L4</f>
        <v>02300305</v>
      </c>
      <c r="N4" s="44" t="s">
        <v>604</v>
      </c>
    </row>
    <row r="5" spans="4:14" x14ac:dyDescent="0.25">
      <c r="D5" s="11" t="s">
        <v>52</v>
      </c>
      <c r="E5" s="134" t="str">
        <f>VLOOKUP(F5,'Activity List CSI'!$B$4:$D$146,3,0)</f>
        <v>02300-02</v>
      </c>
      <c r="F5" s="1" t="s">
        <v>19</v>
      </c>
      <c r="G5" s="1" t="str">
        <f>VLOOKUP($E5,'Activity List CSI'!$D$4:$J$146,G$1,0)</f>
        <v>02</v>
      </c>
      <c r="H5" s="1" t="str">
        <f>VLOOKUP($E5,'Activity List CSI'!$D$4:$J$146,H$1,0)</f>
        <v>EarthWork</v>
      </c>
      <c r="I5" s="1" t="str">
        <f>VLOOKUP(D5,'Activity List CSI'!$C$4:$H$146,6,0)</f>
        <v>02300</v>
      </c>
      <c r="J5" s="1" t="str">
        <f>VLOOKUP($E5,'Activity List CSI'!$D$4:$J$146,J$1,0)</f>
        <v>Earthwork</v>
      </c>
      <c r="K5" s="1" t="s">
        <v>599</v>
      </c>
      <c r="L5" s="1">
        <v>305</v>
      </c>
      <c r="M5" s="13" t="str">
        <f t="shared" ref="M5:M68" si="0">I5&amp;L5</f>
        <v>02300305</v>
      </c>
      <c r="N5" s="12" t="s">
        <v>604</v>
      </c>
    </row>
    <row r="6" spans="4:14" x14ac:dyDescent="0.25">
      <c r="D6" s="11" t="s">
        <v>55</v>
      </c>
      <c r="E6" s="134" t="str">
        <f>VLOOKUP(F6,'Activity List CSI'!$B$4:$D$146,3,0)</f>
        <v>02300-03</v>
      </c>
      <c r="F6" s="1" t="s">
        <v>20</v>
      </c>
      <c r="G6" s="1" t="str">
        <f>VLOOKUP($E6,'Activity List CSI'!$D$4:$J$146,G$1,0)</f>
        <v>02</v>
      </c>
      <c r="H6" s="1" t="str">
        <f>VLOOKUP($E6,'Activity List CSI'!$D$4:$J$146,H$1,0)</f>
        <v>EarthWork</v>
      </c>
      <c r="I6" s="1" t="str">
        <f>VLOOKUP(D6,'Activity List CSI'!$C$4:$H$146,6,0)</f>
        <v>02300</v>
      </c>
      <c r="J6" s="1" t="str">
        <f>VLOOKUP($E6,'Activity List CSI'!$D$4:$J$146,J$1,0)</f>
        <v>Earthwork</v>
      </c>
      <c r="K6" s="1" t="s">
        <v>599</v>
      </c>
      <c r="L6" s="1">
        <v>305</v>
      </c>
      <c r="M6" s="13" t="str">
        <f t="shared" si="0"/>
        <v>02300305</v>
      </c>
      <c r="N6" s="12" t="s">
        <v>604</v>
      </c>
    </row>
    <row r="7" spans="4:14" x14ac:dyDescent="0.25">
      <c r="D7" s="11" t="s">
        <v>57</v>
      </c>
      <c r="E7" s="134" t="str">
        <f>VLOOKUP(F7,'Activity List CSI'!$B$4:$D$146,3,0)</f>
        <v>02300-04</v>
      </c>
      <c r="F7" s="1" t="s">
        <v>21</v>
      </c>
      <c r="G7" s="1" t="str">
        <f>VLOOKUP($E7,'Activity List CSI'!$D$4:$J$146,G$1,0)</f>
        <v>02</v>
      </c>
      <c r="H7" s="1" t="str">
        <f>VLOOKUP($E7,'Activity List CSI'!$D$4:$J$146,H$1,0)</f>
        <v>EarthWork</v>
      </c>
      <c r="I7" s="1" t="str">
        <f>VLOOKUP(D7,'Activity List CSI'!$C$4:$H$146,6,0)</f>
        <v>02300</v>
      </c>
      <c r="J7" s="1" t="str">
        <f>VLOOKUP($E7,'Activity List CSI'!$D$4:$J$146,J$1,0)</f>
        <v>Earthwork</v>
      </c>
      <c r="K7" s="1" t="s">
        <v>599</v>
      </c>
      <c r="L7" s="1">
        <v>305</v>
      </c>
      <c r="M7" s="13" t="str">
        <f t="shared" si="0"/>
        <v>02300305</v>
      </c>
      <c r="N7" s="12" t="s">
        <v>604</v>
      </c>
    </row>
    <row r="8" spans="4:14" x14ac:dyDescent="0.25">
      <c r="D8" s="11" t="s">
        <v>57</v>
      </c>
      <c r="E8" s="134" t="str">
        <f>VLOOKUP(F8,'Activity List CSI'!$B$4:$D$146,3,0)</f>
        <v>02300-04</v>
      </c>
      <c r="F8" s="1" t="s">
        <v>21</v>
      </c>
      <c r="G8" s="1" t="str">
        <f>VLOOKUP($E8,'Activity List CSI'!$D$4:$J$146,G$1,0)</f>
        <v>02</v>
      </c>
      <c r="H8" s="1" t="str">
        <f>VLOOKUP($E8,'Activity List CSI'!$D$4:$J$146,H$1,0)</f>
        <v>EarthWork</v>
      </c>
      <c r="I8" s="1" t="str">
        <f>VLOOKUP(D8,'Activity List CSI'!$C$4:$H$146,6,0)</f>
        <v>02300</v>
      </c>
      <c r="J8" s="1" t="str">
        <f>VLOOKUP($E8,'Activity List CSI'!$D$4:$J$146,J$1,0)</f>
        <v>Earthwork</v>
      </c>
      <c r="K8" s="1" t="s">
        <v>584</v>
      </c>
      <c r="L8" s="1">
        <v>320</v>
      </c>
      <c r="M8" s="1" t="str">
        <f t="shared" si="0"/>
        <v>02300320</v>
      </c>
      <c r="N8" s="12" t="str">
        <f>M8</f>
        <v>02300320</v>
      </c>
    </row>
    <row r="9" spans="4:14" x14ac:dyDescent="0.25">
      <c r="D9" s="11" t="s">
        <v>59</v>
      </c>
      <c r="E9" s="134" t="str">
        <f>VLOOKUP(F9,'Activity List CSI'!$B$4:$D$146,3,0)</f>
        <v>02300-05</v>
      </c>
      <c r="F9" s="1" t="s">
        <v>22</v>
      </c>
      <c r="G9" s="1" t="str">
        <f>VLOOKUP($E9,'Activity List CSI'!$D$4:$J$146,G$1,0)</f>
        <v>02</v>
      </c>
      <c r="H9" s="1" t="str">
        <f>VLOOKUP($E9,'Activity List CSI'!$D$4:$J$146,H$1,0)</f>
        <v>EarthWork</v>
      </c>
      <c r="I9" s="1" t="str">
        <f>VLOOKUP(D9,'Activity List CSI'!$C$4:$H$146,6,0)</f>
        <v>02300</v>
      </c>
      <c r="J9" s="1" t="str">
        <f>VLOOKUP($E9,'Activity List CSI'!$D$4:$J$146,J$1,0)</f>
        <v>Earthwork</v>
      </c>
      <c r="K9" s="1" t="s">
        <v>599</v>
      </c>
      <c r="L9" s="1">
        <v>305</v>
      </c>
      <c r="M9" s="13" t="str">
        <f t="shared" si="0"/>
        <v>02300305</v>
      </c>
      <c r="N9" s="12" t="s">
        <v>604</v>
      </c>
    </row>
    <row r="10" spans="4:14" x14ac:dyDescent="0.25">
      <c r="D10" s="11" t="s">
        <v>59</v>
      </c>
      <c r="E10" s="134" t="str">
        <f>VLOOKUP(F10,'Activity List CSI'!$B$4:$D$146,3,0)</f>
        <v>02300-05</v>
      </c>
      <c r="F10" s="1" t="s">
        <v>22</v>
      </c>
      <c r="G10" s="1" t="str">
        <f>VLOOKUP($E10,'Activity List CSI'!$D$4:$J$146,G$1,0)</f>
        <v>02</v>
      </c>
      <c r="H10" s="1" t="str">
        <f>VLOOKUP($E10,'Activity List CSI'!$D$4:$J$146,H$1,0)</f>
        <v>EarthWork</v>
      </c>
      <c r="I10" s="1" t="str">
        <f>VLOOKUP(D10,'Activity List CSI'!$C$4:$H$146,6,0)</f>
        <v>02300</v>
      </c>
      <c r="J10" s="1" t="str">
        <f>VLOOKUP($E10,'Activity List CSI'!$D$4:$J$146,J$1,0)</f>
        <v>Earthwork</v>
      </c>
      <c r="K10" s="1" t="s">
        <v>584</v>
      </c>
      <c r="L10" s="1">
        <v>320</v>
      </c>
      <c r="M10" s="1" t="str">
        <f t="shared" si="0"/>
        <v>02300320</v>
      </c>
      <c r="N10" s="12" t="str">
        <f>M10</f>
        <v>02300320</v>
      </c>
    </row>
    <row r="11" spans="4:14" x14ac:dyDescent="0.25">
      <c r="D11" s="11" t="s">
        <v>61</v>
      </c>
      <c r="E11" s="134" t="str">
        <f>VLOOKUP(F11,'Activity List CSI'!$B$4:$D$146,3,0)</f>
        <v>02300-06</v>
      </c>
      <c r="F11" s="1" t="s">
        <v>23</v>
      </c>
      <c r="G11" s="1" t="str">
        <f>VLOOKUP($E11,'Activity List CSI'!$D$4:$J$146,G$1,0)</f>
        <v>02</v>
      </c>
      <c r="H11" s="1" t="str">
        <f>VLOOKUP($E11,'Activity List CSI'!$D$4:$J$146,H$1,0)</f>
        <v>EarthWork</v>
      </c>
      <c r="I11" s="1" t="str">
        <f>VLOOKUP(D11,'Activity List CSI'!$C$4:$H$146,6,0)</f>
        <v>02300</v>
      </c>
      <c r="J11" s="1" t="str">
        <f>VLOOKUP($E11,'Activity List CSI'!$D$4:$J$146,J$1,0)</f>
        <v>Earthwork</v>
      </c>
      <c r="K11" s="1" t="s">
        <v>599</v>
      </c>
      <c r="L11" s="1">
        <v>305</v>
      </c>
      <c r="M11" s="13" t="str">
        <f t="shared" si="0"/>
        <v>02300305</v>
      </c>
      <c r="N11" s="12" t="s">
        <v>604</v>
      </c>
    </row>
    <row r="12" spans="4:14" x14ac:dyDescent="0.25">
      <c r="D12" s="11" t="s">
        <v>61</v>
      </c>
      <c r="E12" s="134" t="str">
        <f>VLOOKUP(F12,'Activity List CSI'!$B$4:$D$146,3,0)</f>
        <v>02300-06</v>
      </c>
      <c r="F12" s="1" t="s">
        <v>23</v>
      </c>
      <c r="G12" s="1" t="str">
        <f>VLOOKUP($E12,'Activity List CSI'!$D$4:$J$146,G$1,0)</f>
        <v>02</v>
      </c>
      <c r="H12" s="1" t="str">
        <f>VLOOKUP($E12,'Activity List CSI'!$D$4:$J$146,H$1,0)</f>
        <v>EarthWork</v>
      </c>
      <c r="I12" s="1" t="str">
        <f>VLOOKUP(D12,'Activity List CSI'!$C$4:$H$146,6,0)</f>
        <v>02300</v>
      </c>
      <c r="J12" s="1" t="str">
        <f>VLOOKUP($E12,'Activity List CSI'!$D$4:$J$146,J$1,0)</f>
        <v>Earthwork</v>
      </c>
      <c r="K12" s="1" t="s">
        <v>584</v>
      </c>
      <c r="L12" s="1">
        <v>320</v>
      </c>
      <c r="M12" s="1" t="str">
        <f t="shared" si="0"/>
        <v>02300320</v>
      </c>
      <c r="N12" s="12" t="str">
        <f>M12</f>
        <v>02300320</v>
      </c>
    </row>
    <row r="13" spans="4:14" x14ac:dyDescent="0.25">
      <c r="D13" s="11" t="s">
        <v>63</v>
      </c>
      <c r="E13" s="134" t="str">
        <f>VLOOKUP(F13,'Activity List CSI'!$B$4:$D$146,3,0)</f>
        <v>02300-08</v>
      </c>
      <c r="F13" s="1" t="s">
        <v>26</v>
      </c>
      <c r="G13" s="1" t="str">
        <f>VLOOKUP($E13,'Activity List CSI'!$D$4:$J$146,G$1,0)</f>
        <v>02</v>
      </c>
      <c r="H13" s="1" t="str">
        <f>VLOOKUP($E13,'Activity List CSI'!$D$4:$J$146,H$1,0)</f>
        <v>EarthWork</v>
      </c>
      <c r="I13" s="1" t="str">
        <f>VLOOKUP(D13,'Activity List CSI'!$C$4:$H$146,6,0)</f>
        <v>02300</v>
      </c>
      <c r="J13" s="1" t="str">
        <f>VLOOKUP($E13,'Activity List CSI'!$D$4:$J$146,J$1,0)</f>
        <v>Earthwork</v>
      </c>
      <c r="K13" s="1" t="s">
        <v>599</v>
      </c>
      <c r="L13" s="1">
        <v>305</v>
      </c>
      <c r="M13" s="13" t="str">
        <f t="shared" si="0"/>
        <v>02300305</v>
      </c>
      <c r="N13" s="12" t="s">
        <v>604</v>
      </c>
    </row>
    <row r="14" spans="4:14" x14ac:dyDescent="0.25">
      <c r="D14" s="11" t="s">
        <v>63</v>
      </c>
      <c r="E14" s="134" t="str">
        <f>VLOOKUP(F14,'Activity List CSI'!$B$4:$D$146,3,0)</f>
        <v>02300-08</v>
      </c>
      <c r="F14" s="1" t="s">
        <v>26</v>
      </c>
      <c r="G14" s="1" t="str">
        <f>VLOOKUP($E14,'Activity List CSI'!$D$4:$J$146,G$1,0)</f>
        <v>02</v>
      </c>
      <c r="H14" s="1" t="str">
        <f>VLOOKUP($E14,'Activity List CSI'!$D$4:$J$146,H$1,0)</f>
        <v>EarthWork</v>
      </c>
      <c r="I14" s="1" t="str">
        <f>VLOOKUP(D14,'Activity List CSI'!$C$4:$H$146,6,0)</f>
        <v>02300</v>
      </c>
      <c r="J14" s="1" t="str">
        <f>VLOOKUP($E14,'Activity List CSI'!$D$4:$J$146,J$1,0)</f>
        <v>Earthwork</v>
      </c>
      <c r="K14" s="1" t="s">
        <v>584</v>
      </c>
      <c r="L14" s="1">
        <v>320</v>
      </c>
      <c r="M14" s="1" t="str">
        <f t="shared" si="0"/>
        <v>02300320</v>
      </c>
      <c r="N14" s="12" t="str">
        <f>M14</f>
        <v>02300320</v>
      </c>
    </row>
    <row r="15" spans="4:14" x14ac:dyDescent="0.25">
      <c r="D15" s="11" t="s">
        <v>65</v>
      </c>
      <c r="E15" s="134" t="str">
        <f>VLOOKUP(F15,'Activity List CSI'!$B$4:$D$146,3,0)</f>
        <v>02300-09</v>
      </c>
      <c r="F15" s="1" t="s">
        <v>27</v>
      </c>
      <c r="G15" s="1" t="str">
        <f>VLOOKUP($E15,'Activity List CSI'!$D$4:$J$146,G$1,0)</f>
        <v>02</v>
      </c>
      <c r="H15" s="1" t="str">
        <f>VLOOKUP($E15,'Activity List CSI'!$D$4:$J$146,H$1,0)</f>
        <v>EarthWork</v>
      </c>
      <c r="I15" s="1" t="str">
        <f>VLOOKUP(D15,'Activity List CSI'!$C$4:$H$146,6,0)</f>
        <v>02300</v>
      </c>
      <c r="J15" s="1" t="str">
        <f>VLOOKUP($E15,'Activity List CSI'!$D$4:$J$146,J$1,0)</f>
        <v>Earthwork</v>
      </c>
      <c r="K15" s="1" t="s">
        <v>599</v>
      </c>
      <c r="L15" s="1">
        <v>305</v>
      </c>
      <c r="M15" s="13" t="str">
        <f t="shared" si="0"/>
        <v>02300305</v>
      </c>
      <c r="N15" s="12" t="s">
        <v>604</v>
      </c>
    </row>
    <row r="16" spans="4:14" x14ac:dyDescent="0.25">
      <c r="D16" s="11" t="s">
        <v>65</v>
      </c>
      <c r="E16" s="134" t="str">
        <f>VLOOKUP(F16,'Activity List CSI'!$B$4:$D$146,3,0)</f>
        <v>02300-09</v>
      </c>
      <c r="F16" s="1" t="s">
        <v>27</v>
      </c>
      <c r="G16" s="1" t="str">
        <f>VLOOKUP($E16,'Activity List CSI'!$D$4:$J$146,G$1,0)</f>
        <v>02</v>
      </c>
      <c r="H16" s="1" t="str">
        <f>VLOOKUP($E16,'Activity List CSI'!$D$4:$J$146,H$1,0)</f>
        <v>EarthWork</v>
      </c>
      <c r="I16" s="1" t="str">
        <f>VLOOKUP(D16,'Activity List CSI'!$C$4:$H$146,6,0)</f>
        <v>02300</v>
      </c>
      <c r="J16" s="1" t="str">
        <f>VLOOKUP($E16,'Activity List CSI'!$D$4:$J$146,J$1,0)</f>
        <v>Earthwork</v>
      </c>
      <c r="K16" s="1" t="s">
        <v>584</v>
      </c>
      <c r="L16" s="1">
        <v>320</v>
      </c>
      <c r="M16" s="1" t="str">
        <f t="shared" si="0"/>
        <v>02300320</v>
      </c>
      <c r="N16" s="12" t="str">
        <f>M16</f>
        <v>02300320</v>
      </c>
    </row>
    <row r="17" spans="4:14" x14ac:dyDescent="0.25">
      <c r="D17" s="11" t="s">
        <v>66</v>
      </c>
      <c r="E17" s="134" t="str">
        <f>VLOOKUP(F17,'Activity List CSI'!$B$4:$D$146,3,0)</f>
        <v>02300-10</v>
      </c>
      <c r="F17" s="1" t="s">
        <v>28</v>
      </c>
      <c r="G17" s="1" t="str">
        <f>VLOOKUP($E17,'Activity List CSI'!$D$4:$J$146,G$1,0)</f>
        <v>02</v>
      </c>
      <c r="H17" s="1" t="str">
        <f>VLOOKUP($E17,'Activity List CSI'!$D$4:$J$146,H$1,0)</f>
        <v>EarthWork</v>
      </c>
      <c r="I17" s="1" t="str">
        <f>VLOOKUP(D17,'Activity List CSI'!$C$4:$H$146,6,0)</f>
        <v>02300</v>
      </c>
      <c r="J17" s="1" t="str">
        <f>VLOOKUP($E17,'Activity List CSI'!$D$4:$J$146,J$1,0)</f>
        <v>Earthwork</v>
      </c>
      <c r="K17" s="1" t="s">
        <v>599</v>
      </c>
      <c r="L17" s="1">
        <v>305</v>
      </c>
      <c r="M17" s="13" t="str">
        <f t="shared" si="0"/>
        <v>02300305</v>
      </c>
      <c r="N17" s="12" t="s">
        <v>604</v>
      </c>
    </row>
    <row r="18" spans="4:14" x14ac:dyDescent="0.25">
      <c r="D18" s="11" t="s">
        <v>66</v>
      </c>
      <c r="E18" s="134" t="str">
        <f>VLOOKUP(F18,'Activity List CSI'!$B$4:$D$146,3,0)</f>
        <v>02300-10</v>
      </c>
      <c r="F18" s="1" t="s">
        <v>28</v>
      </c>
      <c r="G18" s="1" t="str">
        <f>VLOOKUP($E18,'Activity List CSI'!$D$4:$J$146,G$1,0)</f>
        <v>02</v>
      </c>
      <c r="H18" s="1" t="str">
        <f>VLOOKUP($E18,'Activity List CSI'!$D$4:$J$146,H$1,0)</f>
        <v>EarthWork</v>
      </c>
      <c r="I18" s="1" t="str">
        <f>VLOOKUP(D18,'Activity List CSI'!$C$4:$H$146,6,0)</f>
        <v>02300</v>
      </c>
      <c r="J18" s="1" t="str">
        <f>VLOOKUP($E18,'Activity List CSI'!$D$4:$J$146,J$1,0)</f>
        <v>Earthwork</v>
      </c>
      <c r="K18" s="1" t="s">
        <v>584</v>
      </c>
      <c r="L18" s="1">
        <v>320</v>
      </c>
      <c r="M18" s="1" t="str">
        <f t="shared" si="0"/>
        <v>02300320</v>
      </c>
      <c r="N18" s="12" t="str">
        <f>M18</f>
        <v>02300320</v>
      </c>
    </row>
    <row r="19" spans="4:14" x14ac:dyDescent="0.25">
      <c r="D19" s="11" t="s">
        <v>68</v>
      </c>
      <c r="E19" s="134" t="str">
        <f>VLOOKUP(F19,'Activity List CSI'!$B$4:$D$146,3,0)</f>
        <v>02300-11</v>
      </c>
      <c r="F19" s="1" t="s">
        <v>29</v>
      </c>
      <c r="G19" s="1" t="str">
        <f>VLOOKUP($E19,'Activity List CSI'!$D$4:$J$146,G$1,0)</f>
        <v>02</v>
      </c>
      <c r="H19" s="1" t="str">
        <f>VLOOKUP($E19,'Activity List CSI'!$D$4:$J$146,H$1,0)</f>
        <v>EarthWork</v>
      </c>
      <c r="I19" s="1" t="str">
        <f>VLOOKUP(D19,'Activity List CSI'!$C$4:$H$146,6,0)</f>
        <v>02300</v>
      </c>
      <c r="J19" s="1" t="str">
        <f>VLOOKUP($E19,'Activity List CSI'!$D$4:$J$146,J$1,0)</f>
        <v>Earthwork</v>
      </c>
      <c r="K19" s="1" t="s">
        <v>599</v>
      </c>
      <c r="L19" s="1">
        <v>305</v>
      </c>
      <c r="M19" s="13" t="str">
        <f t="shared" si="0"/>
        <v>02300305</v>
      </c>
      <c r="N19" s="12" t="s">
        <v>604</v>
      </c>
    </row>
    <row r="20" spans="4:14" x14ac:dyDescent="0.25">
      <c r="D20" s="11" t="s">
        <v>68</v>
      </c>
      <c r="E20" s="134" t="str">
        <f>VLOOKUP(F20,'Activity List CSI'!$B$4:$D$146,3,0)</f>
        <v>02300-11</v>
      </c>
      <c r="F20" s="1" t="s">
        <v>29</v>
      </c>
      <c r="G20" s="1" t="str">
        <f>VLOOKUP($E20,'Activity List CSI'!$D$4:$J$146,G$1,0)</f>
        <v>02</v>
      </c>
      <c r="H20" s="1" t="str">
        <f>VLOOKUP($E20,'Activity List CSI'!$D$4:$J$146,H$1,0)</f>
        <v>EarthWork</v>
      </c>
      <c r="I20" s="1" t="str">
        <f>VLOOKUP(D20,'Activity List CSI'!$C$4:$H$146,6,0)</f>
        <v>02300</v>
      </c>
      <c r="J20" s="1" t="str">
        <f>VLOOKUP($E20,'Activity List CSI'!$D$4:$J$146,J$1,0)</f>
        <v>Earthwork</v>
      </c>
      <c r="K20" s="1" t="s">
        <v>584</v>
      </c>
      <c r="L20" s="1">
        <v>320</v>
      </c>
      <c r="M20" s="1" t="str">
        <f t="shared" si="0"/>
        <v>02300320</v>
      </c>
      <c r="N20" s="12" t="str">
        <f>M20</f>
        <v>02300320</v>
      </c>
    </row>
    <row r="21" spans="4:14" x14ac:dyDescent="0.25">
      <c r="D21" s="11" t="s">
        <v>70</v>
      </c>
      <c r="E21" s="134" t="str">
        <f>VLOOKUP(F21,'Activity List CSI'!$B$4:$D$146,3,0)</f>
        <v>02300-12</v>
      </c>
      <c r="F21" s="1" t="s">
        <v>30</v>
      </c>
      <c r="G21" s="1" t="str">
        <f>VLOOKUP($E21,'Activity List CSI'!$D$4:$J$146,G$1,0)</f>
        <v>02</v>
      </c>
      <c r="H21" s="1" t="str">
        <f>VLOOKUP($E21,'Activity List CSI'!$D$4:$J$146,H$1,0)</f>
        <v>EarthWork</v>
      </c>
      <c r="I21" s="1" t="str">
        <f>VLOOKUP(D21,'Activity List CSI'!$C$4:$H$146,6,0)</f>
        <v>02300</v>
      </c>
      <c r="J21" s="1" t="str">
        <f>VLOOKUP($E21,'Activity List CSI'!$D$4:$J$146,J$1,0)</f>
        <v>Earthwork</v>
      </c>
      <c r="K21" s="1" t="s">
        <v>599</v>
      </c>
      <c r="L21" s="1">
        <v>305</v>
      </c>
      <c r="M21" s="13" t="str">
        <f t="shared" si="0"/>
        <v>02300305</v>
      </c>
      <c r="N21" s="12" t="s">
        <v>604</v>
      </c>
    </row>
    <row r="22" spans="4:14" x14ac:dyDescent="0.25">
      <c r="D22" s="11" t="s">
        <v>229</v>
      </c>
      <c r="E22" s="134" t="str">
        <f>VLOOKUP(F22,'Activity List CSI'!$B$4:$D$146,3,0)</f>
        <v>02300-13</v>
      </c>
      <c r="F22" s="1" t="s">
        <v>31</v>
      </c>
      <c r="G22" s="1" t="str">
        <f>VLOOKUP($E22,'Activity List CSI'!$D$4:$J$146,G$1,0)</f>
        <v>02</v>
      </c>
      <c r="H22" s="1" t="str">
        <f>VLOOKUP($E22,'Activity List CSI'!$D$4:$J$146,H$1,0)</f>
        <v>EarthWork</v>
      </c>
      <c r="I22" s="1" t="str">
        <f>VLOOKUP(D22,'Activity List CSI'!$C$4:$H$146,6,0)</f>
        <v>02300</v>
      </c>
      <c r="J22" s="1" t="str">
        <f>VLOOKUP($E22,'Activity List CSI'!$D$4:$J$146,J$1,0)</f>
        <v>Earthwork</v>
      </c>
      <c r="K22" s="1" t="s">
        <v>599</v>
      </c>
      <c r="L22" s="1">
        <v>305</v>
      </c>
      <c r="M22" s="13" t="str">
        <f t="shared" si="0"/>
        <v>02300305</v>
      </c>
      <c r="N22" s="12" t="s">
        <v>604</v>
      </c>
    </row>
    <row r="23" spans="4:14" x14ac:dyDescent="0.25">
      <c r="D23" s="11" t="s">
        <v>230</v>
      </c>
      <c r="E23" s="134" t="str">
        <f>VLOOKUP(F23,'Activity List CSI'!$B$4:$D$146,3,0)</f>
        <v>02300-14</v>
      </c>
      <c r="F23" s="1" t="s">
        <v>32</v>
      </c>
      <c r="G23" s="1" t="str">
        <f>VLOOKUP($E23,'Activity List CSI'!$D$4:$J$146,G$1,0)</f>
        <v>02</v>
      </c>
      <c r="H23" s="1" t="str">
        <f>VLOOKUP($E23,'Activity List CSI'!$D$4:$J$146,H$1,0)</f>
        <v>EarthWork</v>
      </c>
      <c r="I23" s="1" t="str">
        <f>VLOOKUP(D23,'Activity List CSI'!$C$4:$H$146,6,0)</f>
        <v>02300</v>
      </c>
      <c r="J23" s="1" t="str">
        <f>VLOOKUP($E23,'Activity List CSI'!$D$4:$J$146,J$1,0)</f>
        <v>Earthwork</v>
      </c>
      <c r="K23" s="1" t="s">
        <v>599</v>
      </c>
      <c r="L23" s="1">
        <v>305</v>
      </c>
      <c r="M23" s="13" t="str">
        <f t="shared" si="0"/>
        <v>02300305</v>
      </c>
      <c r="N23" s="12" t="s">
        <v>604</v>
      </c>
    </row>
    <row r="24" spans="4:14" x14ac:dyDescent="0.25">
      <c r="D24" s="11" t="s">
        <v>230</v>
      </c>
      <c r="E24" s="134" t="str">
        <f>VLOOKUP(F24,'Activity List CSI'!$B$4:$D$146,3,0)</f>
        <v>02300-14</v>
      </c>
      <c r="F24" s="1" t="s">
        <v>32</v>
      </c>
      <c r="G24" s="1" t="str">
        <f>VLOOKUP($E24,'Activity List CSI'!$D$4:$J$146,G$1,0)</f>
        <v>02</v>
      </c>
      <c r="H24" s="1" t="str">
        <f>VLOOKUP($E24,'Activity List CSI'!$D$4:$J$146,H$1,0)</f>
        <v>EarthWork</v>
      </c>
      <c r="I24" s="1" t="str">
        <f>VLOOKUP(D24,'Activity List CSI'!$C$4:$H$146,6,0)</f>
        <v>02300</v>
      </c>
      <c r="J24" s="1" t="str">
        <f>VLOOKUP($E24,'Activity List CSI'!$D$4:$J$146,J$1,0)</f>
        <v>Earthwork</v>
      </c>
      <c r="K24" s="1" t="s">
        <v>584</v>
      </c>
      <c r="L24" s="1">
        <v>320</v>
      </c>
      <c r="M24" s="1" t="str">
        <f t="shared" si="0"/>
        <v>02300320</v>
      </c>
      <c r="N24" s="12" t="str">
        <f>M24</f>
        <v>02300320</v>
      </c>
    </row>
    <row r="25" spans="4:14" x14ac:dyDescent="0.25">
      <c r="D25" s="11" t="s">
        <v>231</v>
      </c>
      <c r="E25" s="134" t="str">
        <f>VLOOKUP(F25,'Activity List CSI'!$B$4:$D$146,3,0)</f>
        <v>02300-15</v>
      </c>
      <c r="F25" s="1" t="s">
        <v>33</v>
      </c>
      <c r="G25" s="1" t="str">
        <f>VLOOKUP($E25,'Activity List CSI'!$D$4:$J$146,G$1,0)</f>
        <v>02</v>
      </c>
      <c r="H25" s="1" t="str">
        <f>VLOOKUP($E25,'Activity List CSI'!$D$4:$J$146,H$1,0)</f>
        <v>EarthWork</v>
      </c>
      <c r="I25" s="1" t="str">
        <f>VLOOKUP(D25,'Activity List CSI'!$C$4:$H$146,6,0)</f>
        <v>02300</v>
      </c>
      <c r="J25" s="1" t="str">
        <f>VLOOKUP($E25,'Activity List CSI'!$D$4:$J$146,J$1,0)</f>
        <v>Earthwork</v>
      </c>
      <c r="K25" s="1" t="s">
        <v>599</v>
      </c>
      <c r="L25" s="1">
        <v>305</v>
      </c>
      <c r="M25" s="13" t="str">
        <f t="shared" si="0"/>
        <v>02300305</v>
      </c>
      <c r="N25" s="12" t="s">
        <v>604</v>
      </c>
    </row>
    <row r="26" spans="4:14" x14ac:dyDescent="0.25">
      <c r="D26" s="11" t="s">
        <v>231</v>
      </c>
      <c r="E26" s="134" t="str">
        <f>VLOOKUP(F26,'Activity List CSI'!$B$4:$D$146,3,0)</f>
        <v>02300-15</v>
      </c>
      <c r="F26" s="1" t="s">
        <v>33</v>
      </c>
      <c r="G26" s="1" t="str">
        <f>VLOOKUP($E26,'Activity List CSI'!$D$4:$J$146,G$1,0)</f>
        <v>02</v>
      </c>
      <c r="H26" s="1" t="str">
        <f>VLOOKUP($E26,'Activity List CSI'!$D$4:$J$146,H$1,0)</f>
        <v>EarthWork</v>
      </c>
      <c r="I26" s="1" t="str">
        <f>VLOOKUP(D26,'Activity List CSI'!$C$4:$H$146,6,0)</f>
        <v>02300</v>
      </c>
      <c r="J26" s="1" t="str">
        <f>VLOOKUP($E26,'Activity List CSI'!$D$4:$J$146,J$1,0)</f>
        <v>Earthwork</v>
      </c>
      <c r="K26" s="1" t="s">
        <v>584</v>
      </c>
      <c r="L26" s="1">
        <v>320</v>
      </c>
      <c r="M26" s="1" t="str">
        <f t="shared" si="0"/>
        <v>02300320</v>
      </c>
      <c r="N26" s="12" t="str">
        <f>M26</f>
        <v>02300320</v>
      </c>
    </row>
    <row r="27" spans="4:14" x14ac:dyDescent="0.25">
      <c r="D27" s="11" t="s">
        <v>232</v>
      </c>
      <c r="E27" s="134" t="str">
        <f>VLOOKUP(F27,'Activity List CSI'!$B$4:$D$146,3,0)</f>
        <v>02300-16</v>
      </c>
      <c r="F27" s="1" t="s">
        <v>34</v>
      </c>
      <c r="G27" s="1" t="str">
        <f>VLOOKUP($E27,'Activity List CSI'!$D$4:$J$146,G$1,0)</f>
        <v>02</v>
      </c>
      <c r="H27" s="1" t="str">
        <f>VLOOKUP($E27,'Activity List CSI'!$D$4:$J$146,H$1,0)</f>
        <v>EarthWork</v>
      </c>
      <c r="I27" s="1" t="str">
        <f>VLOOKUP(D27,'Activity List CSI'!$C$4:$H$146,6,0)</f>
        <v>02300</v>
      </c>
      <c r="J27" s="1" t="str">
        <f>VLOOKUP($E27,'Activity List CSI'!$D$4:$J$146,J$1,0)</f>
        <v>Earthwork</v>
      </c>
      <c r="K27" s="1" t="s">
        <v>599</v>
      </c>
      <c r="L27" s="1">
        <v>305</v>
      </c>
      <c r="M27" s="13" t="str">
        <f t="shared" si="0"/>
        <v>02300305</v>
      </c>
      <c r="N27" s="12" t="s">
        <v>604</v>
      </c>
    </row>
    <row r="28" spans="4:14" x14ac:dyDescent="0.25">
      <c r="D28" s="11" t="s">
        <v>232</v>
      </c>
      <c r="E28" s="134" t="str">
        <f>VLOOKUP(F28,'Activity List CSI'!$B$4:$D$146,3,0)</f>
        <v>02300-16</v>
      </c>
      <c r="F28" s="1" t="s">
        <v>34</v>
      </c>
      <c r="G28" s="1" t="str">
        <f>VLOOKUP($E28,'Activity List CSI'!$D$4:$J$146,G$1,0)</f>
        <v>02</v>
      </c>
      <c r="H28" s="1" t="str">
        <f>VLOOKUP($E28,'Activity List CSI'!$D$4:$J$146,H$1,0)</f>
        <v>EarthWork</v>
      </c>
      <c r="I28" s="1" t="str">
        <f>VLOOKUP(D28,'Activity List CSI'!$C$4:$H$146,6,0)</f>
        <v>02300</v>
      </c>
      <c r="J28" s="1" t="str">
        <f>VLOOKUP($E28,'Activity List CSI'!$D$4:$J$146,J$1,0)</f>
        <v>Earthwork</v>
      </c>
      <c r="K28" s="1" t="s">
        <v>584</v>
      </c>
      <c r="L28" s="1">
        <v>320</v>
      </c>
      <c r="M28" s="1" t="str">
        <f t="shared" si="0"/>
        <v>02300320</v>
      </c>
      <c r="N28" s="12" t="str">
        <f t="shared" ref="N28:N32" si="1">M28</f>
        <v>02300320</v>
      </c>
    </row>
    <row r="29" spans="4:14" x14ac:dyDescent="0.25">
      <c r="D29" s="11" t="s">
        <v>233</v>
      </c>
      <c r="E29" s="134" t="str">
        <f>VLOOKUP(F29,'Activity List CSI'!$B$4:$D$146,3,0)</f>
        <v>02300-17</v>
      </c>
      <c r="F29" s="1" t="s">
        <v>35</v>
      </c>
      <c r="G29" s="1" t="str">
        <f>VLOOKUP($E29,'Activity List CSI'!$D$4:$J$146,G$1,0)</f>
        <v>02</v>
      </c>
      <c r="H29" s="1" t="str">
        <f>VLOOKUP($E29,'Activity List CSI'!$D$4:$J$146,H$1,0)</f>
        <v>EarthWork</v>
      </c>
      <c r="I29" s="1" t="str">
        <f>VLOOKUP(D29,'Activity List CSI'!$C$4:$H$146,6,0)</f>
        <v>02300</v>
      </c>
      <c r="J29" s="1" t="str">
        <f>VLOOKUP($E29,'Activity List CSI'!$D$4:$J$146,J$1,0)</f>
        <v>Earthwork</v>
      </c>
      <c r="K29" s="1" t="s">
        <v>584</v>
      </c>
      <c r="L29" s="1">
        <v>320</v>
      </c>
      <c r="M29" s="1" t="str">
        <f t="shared" si="0"/>
        <v>02300320</v>
      </c>
      <c r="N29" s="12" t="str">
        <f t="shared" si="1"/>
        <v>02300320</v>
      </c>
    </row>
    <row r="30" spans="4:14" x14ac:dyDescent="0.25">
      <c r="D30" s="11" t="s">
        <v>234</v>
      </c>
      <c r="E30" s="134" t="str">
        <f>VLOOKUP(F30,'Activity List CSI'!$B$4:$D$146,3,0)</f>
        <v>02300-18</v>
      </c>
      <c r="F30" s="1" t="s">
        <v>36</v>
      </c>
      <c r="G30" s="1" t="str">
        <f>VLOOKUP($E30,'Activity List CSI'!$D$4:$J$146,G$1,0)</f>
        <v>02</v>
      </c>
      <c r="H30" s="1" t="str">
        <f>VLOOKUP($E30,'Activity List CSI'!$D$4:$J$146,H$1,0)</f>
        <v>EarthWork</v>
      </c>
      <c r="I30" s="1" t="str">
        <f>VLOOKUP(D30,'Activity List CSI'!$C$4:$H$146,6,0)</f>
        <v>02300</v>
      </c>
      <c r="J30" s="1" t="str">
        <f>VLOOKUP($E30,'Activity List CSI'!$D$4:$J$146,J$1,0)</f>
        <v>Earthwork</v>
      </c>
      <c r="K30" s="1" t="s">
        <v>584</v>
      </c>
      <c r="L30" s="1">
        <v>320</v>
      </c>
      <c r="M30" s="1" t="str">
        <f t="shared" si="0"/>
        <v>02300320</v>
      </c>
      <c r="N30" s="12" t="str">
        <f t="shared" si="1"/>
        <v>02300320</v>
      </c>
    </row>
    <row r="31" spans="4:14" x14ac:dyDescent="0.25">
      <c r="D31" s="11" t="s">
        <v>235</v>
      </c>
      <c r="E31" s="134" t="str">
        <f>VLOOKUP(F31,'Activity List CSI'!$B$4:$D$146,3,0)</f>
        <v>02300-19</v>
      </c>
      <c r="F31" s="1" t="s">
        <v>37</v>
      </c>
      <c r="G31" s="1" t="str">
        <f>VLOOKUP($E31,'Activity List CSI'!$D$4:$J$146,G$1,0)</f>
        <v>02</v>
      </c>
      <c r="H31" s="1" t="str">
        <f>VLOOKUP($E31,'Activity List CSI'!$D$4:$J$146,H$1,0)</f>
        <v>EarthWork</v>
      </c>
      <c r="I31" s="1" t="str">
        <f>VLOOKUP(D31,'Activity List CSI'!$C$4:$H$146,6,0)</f>
        <v>02300</v>
      </c>
      <c r="J31" s="1" t="str">
        <f>VLOOKUP($E31,'Activity List CSI'!$D$4:$J$146,J$1,0)</f>
        <v>Earthwork</v>
      </c>
      <c r="K31" s="1" t="s">
        <v>584</v>
      </c>
      <c r="L31" s="1">
        <v>320</v>
      </c>
      <c r="M31" s="1" t="str">
        <f t="shared" si="0"/>
        <v>02300320</v>
      </c>
      <c r="N31" s="12" t="str">
        <f t="shared" si="1"/>
        <v>02300320</v>
      </c>
    </row>
    <row r="32" spans="4:14" x14ac:dyDescent="0.25">
      <c r="D32" s="11" t="s">
        <v>236</v>
      </c>
      <c r="E32" s="134" t="str">
        <f>VLOOKUP(F32,'Activity List CSI'!$B$4:$D$146,3,0)</f>
        <v>02300-20</v>
      </c>
      <c r="F32" s="1" t="s">
        <v>38</v>
      </c>
      <c r="G32" s="1" t="str">
        <f>VLOOKUP($E32,'Activity List CSI'!$D$4:$J$146,G$1,0)</f>
        <v>02</v>
      </c>
      <c r="H32" s="1" t="str">
        <f>VLOOKUP($E32,'Activity List CSI'!$D$4:$J$146,H$1,0)</f>
        <v>EarthWork</v>
      </c>
      <c r="I32" s="1" t="str">
        <f>VLOOKUP(D32,'Activity List CSI'!$C$4:$H$146,6,0)</f>
        <v>02300</v>
      </c>
      <c r="J32" s="1" t="str">
        <f>VLOOKUP($E32,'Activity List CSI'!$D$4:$J$146,J$1,0)</f>
        <v>Earthwork</v>
      </c>
      <c r="K32" s="1" t="s">
        <v>583</v>
      </c>
      <c r="L32" s="1">
        <v>315</v>
      </c>
      <c r="M32" s="1" t="str">
        <f t="shared" si="0"/>
        <v>02300315</v>
      </c>
      <c r="N32" s="12" t="str">
        <f t="shared" si="1"/>
        <v>02300315</v>
      </c>
    </row>
    <row r="33" spans="4:14" x14ac:dyDescent="0.25">
      <c r="D33" s="11" t="s">
        <v>237</v>
      </c>
      <c r="E33" s="134" t="str">
        <f>VLOOKUP(F33,'Activity List CSI'!$B$4:$D$146,3,0)</f>
        <v>02100-02</v>
      </c>
      <c r="F33" s="1" t="s">
        <v>39</v>
      </c>
      <c r="G33" s="1" t="str">
        <f>VLOOKUP($E33,'Activity List CSI'!$D$4:$J$146,G$1,0)</f>
        <v>02</v>
      </c>
      <c r="H33" s="1" t="str">
        <f>VLOOKUP($E33,'Activity List CSI'!$D$4:$J$146,H$1,0)</f>
        <v>EarthWork</v>
      </c>
      <c r="I33" s="1" t="str">
        <f>VLOOKUP(D33,'Activity List CSI'!$C$4:$H$146,6,0)</f>
        <v>02100</v>
      </c>
      <c r="J33" s="1" t="str">
        <f>VLOOKUP($E33,'Activity List CSI'!$D$4:$J$146,J$1,0)</f>
        <v>Site Remediation</v>
      </c>
      <c r="K33" s="1" t="s">
        <v>584</v>
      </c>
      <c r="L33" s="1">
        <v>320</v>
      </c>
      <c r="M33" s="13" t="str">
        <f t="shared" si="0"/>
        <v>02100320</v>
      </c>
      <c r="N33" s="12" t="s">
        <v>606</v>
      </c>
    </row>
    <row r="34" spans="4:14" x14ac:dyDescent="0.25">
      <c r="D34" s="11" t="s">
        <v>238</v>
      </c>
      <c r="E34" s="134" t="str">
        <f>VLOOKUP(F34,'Activity List CSI'!$B$4:$D$146,3,0)</f>
        <v>02700-01</v>
      </c>
      <c r="F34" s="1" t="s">
        <v>407</v>
      </c>
      <c r="G34" s="1" t="str">
        <f>VLOOKUP($E34,'Activity List CSI'!$D$4:$J$146,G$1,0)</f>
        <v>02</v>
      </c>
      <c r="H34" s="1" t="str">
        <f>VLOOKUP($E34,'Activity List CSI'!$D$4:$J$146,H$1,0)</f>
        <v>EarthWork</v>
      </c>
      <c r="I34" s="1" t="str">
        <f>VLOOKUP(D34,'Activity List CSI'!$C$4:$H$146,6,0)</f>
        <v>02700</v>
      </c>
      <c r="J34" s="1" t="str">
        <f>VLOOKUP($E34,'Activity List CSI'!$D$4:$J$146,J$1,0)</f>
        <v>Bases, Ballast,Pavement &amp; Appurtenances</v>
      </c>
      <c r="K34" s="1" t="s">
        <v>599</v>
      </c>
      <c r="L34" s="1">
        <v>305</v>
      </c>
      <c r="M34" s="1" t="str">
        <f t="shared" si="0"/>
        <v>02700305</v>
      </c>
      <c r="N34" s="12" t="str">
        <f>M34</f>
        <v>02700305</v>
      </c>
    </row>
    <row r="35" spans="4:14" x14ac:dyDescent="0.25">
      <c r="D35" s="11" t="s">
        <v>238</v>
      </c>
      <c r="E35" s="134" t="str">
        <f>VLOOKUP(F35,'Activity List CSI'!$B$4:$D$146,3,0)</f>
        <v>02700-01</v>
      </c>
      <c r="F35" s="1" t="s">
        <v>407</v>
      </c>
      <c r="G35" s="1" t="str">
        <f>VLOOKUP($E35,'Activity List CSI'!$D$4:$J$146,G$1,0)</f>
        <v>02</v>
      </c>
      <c r="H35" s="1" t="str">
        <f>VLOOKUP($E35,'Activity List CSI'!$D$4:$J$146,H$1,0)</f>
        <v>EarthWork</v>
      </c>
      <c r="I35" s="1" t="str">
        <f>VLOOKUP(D35,'Activity List CSI'!$C$4:$H$146,6,0)</f>
        <v>02700</v>
      </c>
      <c r="J35" s="1" t="str">
        <f>VLOOKUP($E35,'Activity List CSI'!$D$4:$J$146,J$1,0)</f>
        <v>Bases, Ballast,Pavement &amp; Appurtenances</v>
      </c>
      <c r="K35" s="1" t="s">
        <v>584</v>
      </c>
      <c r="L35" s="1">
        <v>320</v>
      </c>
      <c r="M35" s="13" t="str">
        <f t="shared" si="0"/>
        <v>02700320</v>
      </c>
      <c r="N35" s="12" t="s">
        <v>606</v>
      </c>
    </row>
    <row r="36" spans="4:14" x14ac:dyDescent="0.25">
      <c r="D36" s="11" t="s">
        <v>239</v>
      </c>
      <c r="E36" s="134" t="str">
        <f>VLOOKUP(F36,'Activity List CSI'!$B$4:$D$146,3,0)</f>
        <v>02700-02</v>
      </c>
      <c r="F36" s="1" t="s">
        <v>40</v>
      </c>
      <c r="G36" s="1" t="str">
        <f>VLOOKUP($E36,'Activity List CSI'!$D$4:$J$146,G$1,0)</f>
        <v>02</v>
      </c>
      <c r="H36" s="1" t="str">
        <f>VLOOKUP($E36,'Activity List CSI'!$D$4:$J$146,H$1,0)</f>
        <v>EarthWork</v>
      </c>
      <c r="I36" s="1" t="str">
        <f>VLOOKUP(D36,'Activity List CSI'!$C$4:$H$146,6,0)</f>
        <v>02700</v>
      </c>
      <c r="J36" s="1" t="str">
        <f>VLOOKUP($E36,'Activity List CSI'!$D$4:$J$146,J$1,0)</f>
        <v>Bases, Ballast,Pavement &amp; Appurtenances</v>
      </c>
      <c r="K36" s="1" t="s">
        <v>599</v>
      </c>
      <c r="L36" s="1">
        <v>305</v>
      </c>
      <c r="M36" s="1" t="str">
        <f t="shared" si="0"/>
        <v>02700305</v>
      </c>
      <c r="N36" s="12" t="str">
        <f>M36</f>
        <v>02700305</v>
      </c>
    </row>
    <row r="37" spans="4:14" x14ac:dyDescent="0.25">
      <c r="D37" s="11" t="s">
        <v>239</v>
      </c>
      <c r="E37" s="134" t="str">
        <f>VLOOKUP(F37,'Activity List CSI'!$B$4:$D$146,3,0)</f>
        <v>02700-02</v>
      </c>
      <c r="F37" s="1" t="s">
        <v>40</v>
      </c>
      <c r="G37" s="1" t="str">
        <f>VLOOKUP($E37,'Activity List CSI'!$D$4:$J$146,G$1,0)</f>
        <v>02</v>
      </c>
      <c r="H37" s="1" t="str">
        <f>VLOOKUP($E37,'Activity List CSI'!$D$4:$J$146,H$1,0)</f>
        <v>EarthWork</v>
      </c>
      <c r="I37" s="1" t="str">
        <f>VLOOKUP(D37,'Activity List CSI'!$C$4:$H$146,6,0)</f>
        <v>02700</v>
      </c>
      <c r="J37" s="1" t="str">
        <f>VLOOKUP($E37,'Activity List CSI'!$D$4:$J$146,J$1,0)</f>
        <v>Bases, Ballast,Pavement &amp; Appurtenances</v>
      </c>
      <c r="K37" s="1" t="s">
        <v>584</v>
      </c>
      <c r="L37" s="1">
        <v>320</v>
      </c>
      <c r="M37" s="13" t="str">
        <f t="shared" si="0"/>
        <v>02700320</v>
      </c>
      <c r="N37" s="12" t="s">
        <v>606</v>
      </c>
    </row>
    <row r="38" spans="4:14" x14ac:dyDescent="0.25">
      <c r="D38" s="11" t="s">
        <v>240</v>
      </c>
      <c r="E38" s="134" t="str">
        <f>VLOOKUP(F38,'Activity List CSI'!$B$4:$D$146,3,0)</f>
        <v>02700-03</v>
      </c>
      <c r="F38" s="1" t="s">
        <v>41</v>
      </c>
      <c r="G38" s="1" t="str">
        <f>VLOOKUP($E38,'Activity List CSI'!$D$4:$J$146,G$1,0)</f>
        <v>02</v>
      </c>
      <c r="H38" s="1" t="str">
        <f>VLOOKUP($E38,'Activity List CSI'!$D$4:$J$146,H$1,0)</f>
        <v>EarthWork</v>
      </c>
      <c r="I38" s="1" t="str">
        <f>VLOOKUP(D38,'Activity List CSI'!$C$4:$H$146,6,0)</f>
        <v>02700</v>
      </c>
      <c r="J38" s="1" t="str">
        <f>VLOOKUP($E38,'Activity List CSI'!$D$4:$J$146,J$1,0)</f>
        <v>Bases, Ballast,Pavement &amp; Appurtenances</v>
      </c>
      <c r="K38" s="1" t="s">
        <v>599</v>
      </c>
      <c r="L38" s="1">
        <v>305</v>
      </c>
      <c r="M38" s="1" t="str">
        <f t="shared" si="0"/>
        <v>02700305</v>
      </c>
      <c r="N38" s="12" t="str">
        <f>M38</f>
        <v>02700305</v>
      </c>
    </row>
    <row r="39" spans="4:14" x14ac:dyDescent="0.25">
      <c r="D39" s="11" t="s">
        <v>240</v>
      </c>
      <c r="E39" s="134" t="str">
        <f>VLOOKUP(F39,'Activity List CSI'!$B$4:$D$146,3,0)</f>
        <v>02700-03</v>
      </c>
      <c r="F39" s="1" t="s">
        <v>41</v>
      </c>
      <c r="G39" s="1" t="str">
        <f>VLOOKUP($E39,'Activity List CSI'!$D$4:$J$146,G$1,0)</f>
        <v>02</v>
      </c>
      <c r="H39" s="1" t="str">
        <f>VLOOKUP($E39,'Activity List CSI'!$D$4:$J$146,H$1,0)</f>
        <v>EarthWork</v>
      </c>
      <c r="I39" s="1" t="str">
        <f>VLOOKUP(D39,'Activity List CSI'!$C$4:$H$146,6,0)</f>
        <v>02700</v>
      </c>
      <c r="J39" s="1" t="str">
        <f>VLOOKUP($E39,'Activity List CSI'!$D$4:$J$146,J$1,0)</f>
        <v>Bases, Ballast,Pavement &amp; Appurtenances</v>
      </c>
      <c r="K39" s="1" t="s">
        <v>584</v>
      </c>
      <c r="L39" s="1">
        <v>320</v>
      </c>
      <c r="M39" s="13" t="str">
        <f t="shared" si="0"/>
        <v>02700320</v>
      </c>
      <c r="N39" s="12" t="s">
        <v>606</v>
      </c>
    </row>
    <row r="40" spans="4:14" x14ac:dyDescent="0.25">
      <c r="D40" s="11" t="s">
        <v>241</v>
      </c>
      <c r="E40" s="134" t="str">
        <f>VLOOKUP(F40,'Activity List CSI'!$B$4:$D$146,3,0)</f>
        <v>02700-04</v>
      </c>
      <c r="F40" s="1" t="s">
        <v>42</v>
      </c>
      <c r="G40" s="1" t="str">
        <f>VLOOKUP($E40,'Activity List CSI'!$D$4:$J$146,G$1,0)</f>
        <v>02</v>
      </c>
      <c r="H40" s="1" t="str">
        <f>VLOOKUP($E40,'Activity List CSI'!$D$4:$J$146,H$1,0)</f>
        <v>EarthWork</v>
      </c>
      <c r="I40" s="1" t="str">
        <f>VLOOKUP(D40,'Activity List CSI'!$C$4:$H$146,6,0)</f>
        <v>02700</v>
      </c>
      <c r="J40" s="1" t="str">
        <f>VLOOKUP($E40,'Activity List CSI'!$D$4:$J$146,J$1,0)</f>
        <v>Bases, Ballast,Pavement &amp; Appurtenances</v>
      </c>
      <c r="K40" s="1" t="s">
        <v>599</v>
      </c>
      <c r="L40" s="1">
        <v>305</v>
      </c>
      <c r="M40" s="1" t="str">
        <f t="shared" si="0"/>
        <v>02700305</v>
      </c>
      <c r="N40" s="12" t="str">
        <f>M40</f>
        <v>02700305</v>
      </c>
    </row>
    <row r="41" spans="4:14" x14ac:dyDescent="0.25">
      <c r="D41" s="11" t="s">
        <v>241</v>
      </c>
      <c r="E41" s="134" t="str">
        <f>VLOOKUP(F41,'Activity List CSI'!$B$4:$D$146,3,0)</f>
        <v>02700-04</v>
      </c>
      <c r="F41" s="1" t="s">
        <v>42</v>
      </c>
      <c r="G41" s="1" t="str">
        <f>VLOOKUP($E41,'Activity List CSI'!$D$4:$J$146,G$1,0)</f>
        <v>02</v>
      </c>
      <c r="H41" s="1" t="str">
        <f>VLOOKUP($E41,'Activity List CSI'!$D$4:$J$146,H$1,0)</f>
        <v>EarthWork</v>
      </c>
      <c r="I41" s="1" t="str">
        <f>VLOOKUP(D41,'Activity List CSI'!$C$4:$H$146,6,0)</f>
        <v>02700</v>
      </c>
      <c r="J41" s="1" t="str">
        <f>VLOOKUP($E41,'Activity List CSI'!$D$4:$J$146,J$1,0)</f>
        <v>Bases, Ballast,Pavement &amp; Appurtenances</v>
      </c>
      <c r="K41" s="1" t="s">
        <v>584</v>
      </c>
      <c r="L41" s="1">
        <v>320</v>
      </c>
      <c r="M41" s="13" t="str">
        <f t="shared" si="0"/>
        <v>02700320</v>
      </c>
      <c r="N41" s="12" t="s">
        <v>606</v>
      </c>
    </row>
    <row r="42" spans="4:14" x14ac:dyDescent="0.25">
      <c r="D42" s="11" t="s">
        <v>242</v>
      </c>
      <c r="E42" s="134" t="str">
        <f>VLOOKUP(F42,'Activity List CSI'!$B$4:$D$146,3,0)</f>
        <v>02700-05</v>
      </c>
      <c r="F42" s="1" t="s">
        <v>43</v>
      </c>
      <c r="G42" s="1" t="str">
        <f>VLOOKUP($E42,'Activity List CSI'!$D$4:$J$146,G$1,0)</f>
        <v>02</v>
      </c>
      <c r="H42" s="1" t="str">
        <f>VLOOKUP($E42,'Activity List CSI'!$D$4:$J$146,H$1,0)</f>
        <v>EarthWork</v>
      </c>
      <c r="I42" s="1" t="str">
        <f>VLOOKUP(D42,'Activity List CSI'!$C$4:$H$146,6,0)</f>
        <v>02700</v>
      </c>
      <c r="J42" s="1" t="str">
        <f>VLOOKUP($E42,'Activity List CSI'!$D$4:$J$146,J$1,0)</f>
        <v>Bases, Ballast,Pavement &amp; Appurtenances</v>
      </c>
      <c r="K42" s="1" t="s">
        <v>599</v>
      </c>
      <c r="L42" s="1">
        <v>305</v>
      </c>
      <c r="M42" s="1" t="str">
        <f t="shared" si="0"/>
        <v>02700305</v>
      </c>
      <c r="N42" s="12" t="str">
        <f>M42</f>
        <v>02700305</v>
      </c>
    </row>
    <row r="43" spans="4:14" x14ac:dyDescent="0.25">
      <c r="D43" s="11" t="s">
        <v>242</v>
      </c>
      <c r="E43" s="134" t="str">
        <f>VLOOKUP(F43,'Activity List CSI'!$B$4:$D$146,3,0)</f>
        <v>02700-05</v>
      </c>
      <c r="F43" s="1" t="s">
        <v>43</v>
      </c>
      <c r="G43" s="1" t="str">
        <f>VLOOKUP($E43,'Activity List CSI'!$D$4:$J$146,G$1,0)</f>
        <v>02</v>
      </c>
      <c r="H43" s="1" t="str">
        <f>VLOOKUP($E43,'Activity List CSI'!$D$4:$J$146,H$1,0)</f>
        <v>EarthWork</v>
      </c>
      <c r="I43" s="1" t="str">
        <f>VLOOKUP(D43,'Activity List CSI'!$C$4:$H$146,6,0)</f>
        <v>02700</v>
      </c>
      <c r="J43" s="1" t="str">
        <f>VLOOKUP($E43,'Activity List CSI'!$D$4:$J$146,J$1,0)</f>
        <v>Bases, Ballast,Pavement &amp; Appurtenances</v>
      </c>
      <c r="K43" s="1" t="s">
        <v>584</v>
      </c>
      <c r="L43" s="1">
        <v>320</v>
      </c>
      <c r="M43" s="13" t="str">
        <f t="shared" si="0"/>
        <v>02700320</v>
      </c>
      <c r="N43" s="12" t="s">
        <v>606</v>
      </c>
    </row>
    <row r="44" spans="4:14" x14ac:dyDescent="0.25">
      <c r="D44" s="11" t="s">
        <v>243</v>
      </c>
      <c r="E44" s="134" t="str">
        <f>VLOOKUP(F44,'Activity List CSI'!$B$4:$D$146,3,0)</f>
        <v>02700-06</v>
      </c>
      <c r="F44" s="1" t="s">
        <v>44</v>
      </c>
      <c r="G44" s="1" t="str">
        <f>VLOOKUP($E44,'Activity List CSI'!$D$4:$J$146,G$1,0)</f>
        <v>02</v>
      </c>
      <c r="H44" s="1" t="str">
        <f>VLOOKUP($E44,'Activity List CSI'!$D$4:$J$146,H$1,0)</f>
        <v>EarthWork</v>
      </c>
      <c r="I44" s="1" t="str">
        <f>VLOOKUP(D44,'Activity List CSI'!$C$4:$H$146,6,0)</f>
        <v>02700</v>
      </c>
      <c r="J44" s="1" t="str">
        <f>VLOOKUP($E44,'Activity List CSI'!$D$4:$J$146,J$1,0)</f>
        <v>Bases, Ballast,Pavement &amp; Appurtenances</v>
      </c>
      <c r="K44" s="1" t="s">
        <v>584</v>
      </c>
      <c r="L44" s="1">
        <v>320</v>
      </c>
      <c r="M44" s="13" t="str">
        <f t="shared" si="0"/>
        <v>02700320</v>
      </c>
      <c r="N44" s="12" t="s">
        <v>606</v>
      </c>
    </row>
    <row r="45" spans="4:14" x14ac:dyDescent="0.25">
      <c r="D45" s="11" t="s">
        <v>244</v>
      </c>
      <c r="E45" s="134" t="str">
        <f>VLOOKUP(F45,'Activity List CSI'!$B$4:$D$146,3,0)</f>
        <v>02700-07</v>
      </c>
      <c r="F45" s="1" t="s">
        <v>45</v>
      </c>
      <c r="G45" s="1" t="str">
        <f>VLOOKUP($E45,'Activity List CSI'!$D$4:$J$146,G$1,0)</f>
        <v>02</v>
      </c>
      <c r="H45" s="1" t="str">
        <f>VLOOKUP($E45,'Activity List CSI'!$D$4:$J$146,H$1,0)</f>
        <v>EarthWork</v>
      </c>
      <c r="I45" s="1" t="str">
        <f>VLOOKUP(D45,'Activity List CSI'!$C$4:$H$146,6,0)</f>
        <v>02700</v>
      </c>
      <c r="J45" s="1" t="str">
        <f>VLOOKUP($E45,'Activity List CSI'!$D$4:$J$146,J$1,0)</f>
        <v>Bases, Ballast,Pavement &amp; Appurtenances</v>
      </c>
      <c r="K45" s="1" t="s">
        <v>599</v>
      </c>
      <c r="L45" s="1">
        <v>305</v>
      </c>
      <c r="M45" s="1" t="str">
        <f t="shared" si="0"/>
        <v>02700305</v>
      </c>
      <c r="N45" s="12" t="str">
        <f t="shared" ref="N45:N46" si="2">M45</f>
        <v>02700305</v>
      </c>
    </row>
    <row r="46" spans="4:14" x14ac:dyDescent="0.25">
      <c r="D46" s="11" t="s">
        <v>244</v>
      </c>
      <c r="E46" s="134" t="str">
        <f>VLOOKUP(F46,'Activity List CSI'!$B$4:$D$146,3,0)</f>
        <v>02700-07</v>
      </c>
      <c r="F46" s="1" t="s">
        <v>45</v>
      </c>
      <c r="G46" s="1" t="str">
        <f>VLOOKUP($E46,'Activity List CSI'!$D$4:$J$146,G$1,0)</f>
        <v>02</v>
      </c>
      <c r="H46" s="1" t="str">
        <f>VLOOKUP($E46,'Activity List CSI'!$D$4:$J$146,H$1,0)</f>
        <v>EarthWork</v>
      </c>
      <c r="I46" s="1" t="str">
        <f>VLOOKUP(D46,'Activity List CSI'!$C$4:$H$146,6,0)</f>
        <v>02700</v>
      </c>
      <c r="J46" s="1" t="str">
        <f>VLOOKUP($E46,'Activity List CSI'!$D$4:$J$146,J$1,0)</f>
        <v>Bases, Ballast,Pavement &amp; Appurtenances</v>
      </c>
      <c r="K46" s="1" t="s">
        <v>580</v>
      </c>
      <c r="L46" s="1">
        <v>310</v>
      </c>
      <c r="M46" s="1" t="str">
        <f t="shared" si="0"/>
        <v>02700310</v>
      </c>
      <c r="N46" s="12" t="str">
        <f t="shared" si="2"/>
        <v>02700310</v>
      </c>
    </row>
    <row r="47" spans="4:14" x14ac:dyDescent="0.25">
      <c r="D47" s="11" t="s">
        <v>245</v>
      </c>
      <c r="E47" s="134" t="str">
        <f>VLOOKUP(F47,'Activity List CSI'!$B$4:$D$146,3,0)</f>
        <v>02700-08</v>
      </c>
      <c r="F47" s="1" t="s">
        <v>46</v>
      </c>
      <c r="G47" s="1" t="str">
        <f>VLOOKUP($E47,'Activity List CSI'!$D$4:$J$146,G$1,0)</f>
        <v>02</v>
      </c>
      <c r="H47" s="1" t="str">
        <f>VLOOKUP($E47,'Activity List CSI'!$D$4:$J$146,H$1,0)</f>
        <v>EarthWork</v>
      </c>
      <c r="I47" s="1" t="str">
        <f>VLOOKUP(D47,'Activity List CSI'!$C$4:$H$146,6,0)</f>
        <v>02700</v>
      </c>
      <c r="J47" s="1" t="str">
        <f>VLOOKUP($E47,'Activity List CSI'!$D$4:$J$146,J$1,0)</f>
        <v>Bases, Ballast,Pavement &amp; Appurtenances</v>
      </c>
      <c r="K47" s="1" t="s">
        <v>584</v>
      </c>
      <c r="L47" s="1">
        <v>320</v>
      </c>
      <c r="M47" s="13" t="str">
        <f t="shared" si="0"/>
        <v>02700320</v>
      </c>
      <c r="N47" s="12" t="s">
        <v>606</v>
      </c>
    </row>
    <row r="48" spans="4:14" x14ac:dyDescent="0.25">
      <c r="D48" s="11" t="s">
        <v>246</v>
      </c>
      <c r="E48" s="134" t="str">
        <f>VLOOKUP(F48,'Activity List CSI'!$B$4:$D$146,3,0)</f>
        <v>02700-09</v>
      </c>
      <c r="F48" s="1" t="s">
        <v>47</v>
      </c>
      <c r="G48" s="1" t="str">
        <f>VLOOKUP($E48,'Activity List CSI'!$D$4:$J$146,G$1,0)</f>
        <v>02</v>
      </c>
      <c r="H48" s="1" t="str">
        <f>VLOOKUP($E48,'Activity List CSI'!$D$4:$J$146,H$1,0)</f>
        <v>EarthWork</v>
      </c>
      <c r="I48" s="1" t="str">
        <f>VLOOKUP(D48,'Activity List CSI'!$C$4:$H$146,6,0)</f>
        <v>02700</v>
      </c>
      <c r="J48" s="1" t="str">
        <f>VLOOKUP($E48,'Activity List CSI'!$D$4:$J$146,J$1,0)</f>
        <v>Bases, Ballast,Pavement &amp; Appurtenances</v>
      </c>
      <c r="K48" s="1" t="s">
        <v>599</v>
      </c>
      <c r="L48" s="1">
        <v>305</v>
      </c>
      <c r="M48" s="1" t="str">
        <f t="shared" si="0"/>
        <v>02700305</v>
      </c>
      <c r="N48" s="12" t="str">
        <f t="shared" ref="N48:N49" si="3">M48</f>
        <v>02700305</v>
      </c>
    </row>
    <row r="49" spans="4:14" x14ac:dyDescent="0.25">
      <c r="D49" s="11" t="s">
        <v>246</v>
      </c>
      <c r="E49" s="134" t="str">
        <f>VLOOKUP(F49,'Activity List CSI'!$B$4:$D$146,3,0)</f>
        <v>02700-09</v>
      </c>
      <c r="F49" s="1" t="s">
        <v>47</v>
      </c>
      <c r="G49" s="1" t="str">
        <f>VLOOKUP($E49,'Activity List CSI'!$D$4:$J$146,G$1,0)</f>
        <v>02</v>
      </c>
      <c r="H49" s="1" t="str">
        <f>VLOOKUP($E49,'Activity List CSI'!$D$4:$J$146,H$1,0)</f>
        <v>EarthWork</v>
      </c>
      <c r="I49" s="1" t="str">
        <f>VLOOKUP(D49,'Activity List CSI'!$C$4:$H$146,6,0)</f>
        <v>02700</v>
      </c>
      <c r="J49" s="1" t="str">
        <f>VLOOKUP($E49,'Activity List CSI'!$D$4:$J$146,J$1,0)</f>
        <v>Bases, Ballast,Pavement &amp; Appurtenances</v>
      </c>
      <c r="K49" s="1" t="s">
        <v>580</v>
      </c>
      <c r="L49" s="1">
        <v>310</v>
      </c>
      <c r="M49" s="1" t="str">
        <f t="shared" si="0"/>
        <v>02700310</v>
      </c>
      <c r="N49" s="12" t="str">
        <f t="shared" si="3"/>
        <v>02700310</v>
      </c>
    </row>
    <row r="50" spans="4:14" x14ac:dyDescent="0.25">
      <c r="D50" s="11" t="s">
        <v>247</v>
      </c>
      <c r="E50" s="134" t="str">
        <f>VLOOKUP(F50,'Activity List CSI'!$B$4:$D$146,3,0)</f>
        <v>09900-04</v>
      </c>
      <c r="F50" s="1" t="s">
        <v>48</v>
      </c>
      <c r="G50" s="1" t="str">
        <f>VLOOKUP($E50,'Activity List CSI'!$D$4:$J$146,G$1,0)</f>
        <v>02</v>
      </c>
      <c r="H50" s="1" t="str">
        <f>VLOOKUP($E50,'Activity List CSI'!$D$4:$J$146,H$1,0)</f>
        <v>EarthWork</v>
      </c>
      <c r="I50" s="1" t="str">
        <f>VLOOKUP(D50,'Activity List CSI'!$C$4:$H$146,6,0)</f>
        <v>09900</v>
      </c>
      <c r="J50" s="1" t="str">
        <f>VLOOKUP($E50,'Activity List CSI'!$D$4:$J$146,J$1,0)</f>
        <v>Paints &amp; Coatings</v>
      </c>
      <c r="K50" s="1" t="s">
        <v>599</v>
      </c>
      <c r="L50" s="1">
        <v>305</v>
      </c>
      <c r="M50" s="13" t="str">
        <f t="shared" si="0"/>
        <v>09900305</v>
      </c>
      <c r="N50" s="12" t="s">
        <v>604</v>
      </c>
    </row>
    <row r="51" spans="4:14" x14ac:dyDescent="0.25">
      <c r="D51" s="11" t="s">
        <v>247</v>
      </c>
      <c r="E51" s="134" t="str">
        <f>VLOOKUP(F51,'Activity List CSI'!$B$4:$D$146,3,0)</f>
        <v>09900-04</v>
      </c>
      <c r="F51" s="1" t="s">
        <v>48</v>
      </c>
      <c r="G51" s="1" t="str">
        <f>VLOOKUP($E51,'Activity List CSI'!$D$4:$J$146,G$1,0)</f>
        <v>02</v>
      </c>
      <c r="H51" s="1" t="str">
        <f>VLOOKUP($E51,'Activity List CSI'!$D$4:$J$146,H$1,0)</f>
        <v>EarthWork</v>
      </c>
      <c r="I51" s="1" t="str">
        <f>VLOOKUP(D51,'Activity List CSI'!$C$4:$H$146,6,0)</f>
        <v>09900</v>
      </c>
      <c r="J51" s="1" t="str">
        <f>VLOOKUP($E51,'Activity List CSI'!$D$4:$J$146,J$1,0)</f>
        <v>Paints &amp; Coatings</v>
      </c>
      <c r="K51" s="1" t="s">
        <v>584</v>
      </c>
      <c r="L51" s="1">
        <v>320</v>
      </c>
      <c r="M51" s="13" t="str">
        <f t="shared" si="0"/>
        <v>09900320</v>
      </c>
      <c r="N51" s="12" t="s">
        <v>606</v>
      </c>
    </row>
    <row r="52" spans="4:14" x14ac:dyDescent="0.25">
      <c r="D52" s="11" t="s">
        <v>248</v>
      </c>
      <c r="E52" s="134" t="str">
        <f>VLOOKUP(F52,'Activity List CSI'!$B$4:$D$146,3,0)</f>
        <v>02700-10</v>
      </c>
      <c r="F52" s="1" t="s">
        <v>49</v>
      </c>
      <c r="G52" s="1" t="str">
        <f>VLOOKUP($E52,'Activity List CSI'!$D$4:$J$146,G$1,0)</f>
        <v>02</v>
      </c>
      <c r="H52" s="1" t="str">
        <f>VLOOKUP($E52,'Activity List CSI'!$D$4:$J$146,H$1,0)</f>
        <v>EarthWork</v>
      </c>
      <c r="I52" s="1" t="str">
        <f>VLOOKUP(D52,'Activity List CSI'!$C$4:$H$146,6,0)</f>
        <v>02700</v>
      </c>
      <c r="J52" s="1" t="str">
        <f>VLOOKUP($E52,'Activity List CSI'!$D$4:$J$146,J$1,0)</f>
        <v>Bases, Ballast,Pavement &amp; Appurtenances</v>
      </c>
      <c r="K52" s="1" t="s">
        <v>584</v>
      </c>
      <c r="L52" s="1">
        <v>320</v>
      </c>
      <c r="M52" s="13" t="str">
        <f t="shared" si="0"/>
        <v>02700320</v>
      </c>
      <c r="N52" s="12" t="s">
        <v>606</v>
      </c>
    </row>
    <row r="53" spans="4:14" x14ac:dyDescent="0.25">
      <c r="D53" s="11" t="s">
        <v>249</v>
      </c>
      <c r="E53" s="134" t="str">
        <f>VLOOKUP(F53,'Activity List CSI'!$B$4:$D$146,3,0)</f>
        <v>10100-02</v>
      </c>
      <c r="F53" s="1" t="s">
        <v>50</v>
      </c>
      <c r="G53" s="1" t="str">
        <f>VLOOKUP($E53,'Activity List CSI'!$D$4:$J$146,G$1,0)</f>
        <v>02</v>
      </c>
      <c r="H53" s="1" t="str">
        <f>VLOOKUP($E53,'Activity List CSI'!$D$4:$J$146,H$1,0)</f>
        <v>EarthWork</v>
      </c>
      <c r="I53" s="1" t="str">
        <f>VLOOKUP(D53,'Activity List CSI'!$C$4:$H$146,6,0)</f>
        <v>10100</v>
      </c>
      <c r="J53" s="1" t="str">
        <f>VLOOKUP($E53,'Activity List CSI'!$D$4:$J$146,J$1,0)</f>
        <v>Visual Display Boards</v>
      </c>
      <c r="K53" s="1" t="s">
        <v>584</v>
      </c>
      <c r="L53" s="1">
        <v>320</v>
      </c>
      <c r="M53" s="13" t="str">
        <f t="shared" si="0"/>
        <v>10100320</v>
      </c>
      <c r="N53" s="12" t="s">
        <v>606</v>
      </c>
    </row>
    <row r="54" spans="4:14" x14ac:dyDescent="0.25">
      <c r="D54" s="11" t="s">
        <v>250</v>
      </c>
      <c r="E54" s="134" t="str">
        <f>VLOOKUP(F54,'Activity List CSI'!$B$4:$D$146,3,0)</f>
        <v>05650-01</v>
      </c>
      <c r="F54" s="1" t="s">
        <v>51</v>
      </c>
      <c r="G54" s="1" t="str">
        <f>VLOOKUP($E54,'Activity List CSI'!$D$4:$J$146,G$1,0)</f>
        <v>02</v>
      </c>
      <c r="H54" s="1" t="str">
        <f>VLOOKUP($E54,'Activity List CSI'!$D$4:$J$146,H$1,0)</f>
        <v>EarthWork</v>
      </c>
      <c r="I54" s="1" t="str">
        <f>VLOOKUP(D54,'Activity List CSI'!$C$4:$H$146,6,0)</f>
        <v>05650</v>
      </c>
      <c r="J54" s="1" t="str">
        <f>VLOOKUP($E54,'Activity List CSI'!$D$4:$J$146,J$1,0)</f>
        <v>Railroad Track &amp; Accessories</v>
      </c>
      <c r="K54" s="1" t="s">
        <v>584</v>
      </c>
      <c r="L54" s="1">
        <v>320</v>
      </c>
      <c r="M54" s="13" t="str">
        <f t="shared" si="0"/>
        <v>05650320</v>
      </c>
      <c r="N54" s="12" t="s">
        <v>606</v>
      </c>
    </row>
    <row r="55" spans="4:14" x14ac:dyDescent="0.25">
      <c r="D55" s="11" t="s">
        <v>251</v>
      </c>
      <c r="E55" s="134" t="str">
        <f>VLOOKUP(F55,'Activity List CSI'!$B$4:$D$146,3,0)</f>
        <v>02200-01</v>
      </c>
      <c r="F55" s="1" t="s">
        <v>1</v>
      </c>
      <c r="G55" s="1" t="str">
        <f>VLOOKUP($E55,'Activity List CSI'!$D$4:$J$146,G$1,0)</f>
        <v>02</v>
      </c>
      <c r="H55" s="1" t="str">
        <f>VLOOKUP($E55,'Activity List CSI'!$D$4:$J$146,H$1,0)</f>
        <v>EarthWork</v>
      </c>
      <c r="I55" s="1" t="str">
        <f>VLOOKUP(D55,'Activity List CSI'!$C$4:$H$146,6,0)</f>
        <v>02200</v>
      </c>
      <c r="J55" s="1" t="str">
        <f>VLOOKUP($E55,'Activity List CSI'!$D$4:$J$146,J$1,0)</f>
        <v>Site Prepartion</v>
      </c>
      <c r="K55" s="1" t="s">
        <v>599</v>
      </c>
      <c r="L55" s="1">
        <v>305</v>
      </c>
      <c r="M55" s="13" t="str">
        <f t="shared" si="0"/>
        <v>02200305</v>
      </c>
      <c r="N55" s="12" t="s">
        <v>604</v>
      </c>
    </row>
    <row r="56" spans="4:14" x14ac:dyDescent="0.25">
      <c r="D56" s="11" t="s">
        <v>252</v>
      </c>
      <c r="E56" s="134" t="str">
        <f>VLOOKUP(F56,'Activity List CSI'!$B$4:$D$146,3,0)</f>
        <v>02200-02</v>
      </c>
      <c r="F56" s="1" t="s">
        <v>53</v>
      </c>
      <c r="G56" s="1" t="str">
        <f>VLOOKUP($E56,'Activity List CSI'!$D$4:$J$146,G$1,0)</f>
        <v>02</v>
      </c>
      <c r="H56" s="1" t="str">
        <f>VLOOKUP($E56,'Activity List CSI'!$D$4:$J$146,H$1,0)</f>
        <v>EarthWork</v>
      </c>
      <c r="I56" s="1" t="str">
        <f>VLOOKUP(D56,'Activity List CSI'!$C$4:$H$146,6,0)</f>
        <v>02200</v>
      </c>
      <c r="J56" s="1" t="str">
        <f>VLOOKUP($E56,'Activity List CSI'!$D$4:$J$146,J$1,0)</f>
        <v>Site Prepartion</v>
      </c>
      <c r="K56" s="1" t="s">
        <v>599</v>
      </c>
      <c r="L56" s="1">
        <v>305</v>
      </c>
      <c r="M56" s="13" t="str">
        <f t="shared" si="0"/>
        <v>02200305</v>
      </c>
      <c r="N56" s="12" t="s">
        <v>604</v>
      </c>
    </row>
    <row r="57" spans="4:14" x14ac:dyDescent="0.25">
      <c r="D57" s="11" t="s">
        <v>259</v>
      </c>
      <c r="E57" s="134" t="str">
        <f>VLOOKUP(F57,'Activity List CSI'!$B$4:$D$146,3,0)</f>
        <v>02200-03</v>
      </c>
      <c r="F57" s="1" t="s">
        <v>64</v>
      </c>
      <c r="G57" s="1" t="str">
        <f>VLOOKUP($E57,'Activity List CSI'!$D$4:$J$146,G$1,0)</f>
        <v>02</v>
      </c>
      <c r="H57" s="1" t="str">
        <f>VLOOKUP($E57,'Activity List CSI'!$D$4:$J$146,H$1,0)</f>
        <v>EarthWork</v>
      </c>
      <c r="I57" s="1" t="str">
        <f>VLOOKUP(D57,'Activity List CSI'!$C$4:$H$146,6,0)</f>
        <v>02200</v>
      </c>
      <c r="J57" s="1" t="str">
        <f>VLOOKUP($E57,'Activity List CSI'!$D$4:$J$146,J$1,0)</f>
        <v>Site Prepartion</v>
      </c>
      <c r="K57" s="1" t="s">
        <v>584</v>
      </c>
      <c r="L57" s="1">
        <v>320</v>
      </c>
      <c r="M57" s="13" t="str">
        <f t="shared" si="0"/>
        <v>02200320</v>
      </c>
      <c r="N57" s="12" t="s">
        <v>606</v>
      </c>
    </row>
    <row r="58" spans="4:14" x14ac:dyDescent="0.25">
      <c r="D58" s="11" t="s">
        <v>260</v>
      </c>
      <c r="E58" s="134" t="str">
        <f>VLOOKUP(F58,'Activity List CSI'!$B$4:$D$146,3,0)</f>
        <v>02200-04</v>
      </c>
      <c r="F58" s="1" t="s">
        <v>67</v>
      </c>
      <c r="G58" s="1" t="str">
        <f>VLOOKUP($E58,'Activity List CSI'!$D$4:$J$146,G$1,0)</f>
        <v>02</v>
      </c>
      <c r="H58" s="1" t="str">
        <f>VLOOKUP($E58,'Activity List CSI'!$D$4:$J$146,H$1,0)</f>
        <v>EarthWork</v>
      </c>
      <c r="I58" s="1" t="str">
        <f>VLOOKUP(D58,'Activity List CSI'!$C$4:$H$146,6,0)</f>
        <v>02200</v>
      </c>
      <c r="J58" s="1" t="str">
        <f>VLOOKUP($E58,'Activity List CSI'!$D$4:$J$146,J$1,0)</f>
        <v>Site Prepartion</v>
      </c>
      <c r="K58" s="1" t="s">
        <v>584</v>
      </c>
      <c r="L58" s="1">
        <v>320</v>
      </c>
      <c r="M58" s="13" t="str">
        <f t="shared" si="0"/>
        <v>02200320</v>
      </c>
      <c r="N58" s="12" t="s">
        <v>606</v>
      </c>
    </row>
    <row r="59" spans="4:14" x14ac:dyDescent="0.25">
      <c r="D59" s="11" t="s">
        <v>261</v>
      </c>
      <c r="E59" s="134" t="str">
        <f>VLOOKUP(F59,'Activity List CSI'!$B$4:$D$146,3,0)</f>
        <v>02200-05</v>
      </c>
      <c r="F59" s="1" t="s">
        <v>69</v>
      </c>
      <c r="G59" s="1" t="str">
        <f>VLOOKUP($E59,'Activity List CSI'!$D$4:$J$146,G$1,0)</f>
        <v>02</v>
      </c>
      <c r="H59" s="1" t="str">
        <f>VLOOKUP($E59,'Activity List CSI'!$D$4:$J$146,H$1,0)</f>
        <v>EarthWork</v>
      </c>
      <c r="I59" s="1" t="str">
        <f>VLOOKUP(D59,'Activity List CSI'!$C$4:$H$146,6,0)</f>
        <v>02200</v>
      </c>
      <c r="J59" s="1" t="str">
        <f>VLOOKUP($E59,'Activity List CSI'!$D$4:$J$146,J$1,0)</f>
        <v>Site Prepartion</v>
      </c>
      <c r="K59" s="1" t="s">
        <v>599</v>
      </c>
      <c r="L59" s="1">
        <v>305</v>
      </c>
      <c r="M59" s="13" t="str">
        <f t="shared" si="0"/>
        <v>02200305</v>
      </c>
      <c r="N59" s="12" t="s">
        <v>604</v>
      </c>
    </row>
    <row r="60" spans="4:14" x14ac:dyDescent="0.25">
      <c r="D60" s="11" t="s">
        <v>261</v>
      </c>
      <c r="E60" s="134" t="str">
        <f>VLOOKUP(F60,'Activity List CSI'!$B$4:$D$146,3,0)</f>
        <v>02200-05</v>
      </c>
      <c r="F60" s="1" t="s">
        <v>69</v>
      </c>
      <c r="G60" s="1" t="str">
        <f>VLOOKUP($E60,'Activity List CSI'!$D$4:$J$146,G$1,0)</f>
        <v>02</v>
      </c>
      <c r="H60" s="1" t="str">
        <f>VLOOKUP($E60,'Activity List CSI'!$D$4:$J$146,H$1,0)</f>
        <v>EarthWork</v>
      </c>
      <c r="I60" s="1" t="str">
        <f>VLOOKUP(D60,'Activity List CSI'!$C$4:$H$146,6,0)</f>
        <v>02200</v>
      </c>
      <c r="J60" s="1" t="str">
        <f>VLOOKUP($E60,'Activity List CSI'!$D$4:$J$146,J$1,0)</f>
        <v>Site Prepartion</v>
      </c>
      <c r="K60" s="1" t="s">
        <v>584</v>
      </c>
      <c r="L60" s="1">
        <v>320</v>
      </c>
      <c r="M60" s="13" t="str">
        <f t="shared" si="0"/>
        <v>02200320</v>
      </c>
      <c r="N60" s="12" t="s">
        <v>606</v>
      </c>
    </row>
    <row r="61" spans="4:14" x14ac:dyDescent="0.25">
      <c r="D61" s="11" t="s">
        <v>75</v>
      </c>
      <c r="E61" s="134" t="str">
        <f>VLOOKUP(F61,'Activity List CSI'!$B$4:$D$146,3,0)</f>
        <v>03300-01</v>
      </c>
      <c r="F61" s="1" t="s">
        <v>76</v>
      </c>
      <c r="G61" s="1" t="str">
        <f>VLOOKUP($E61,'Activity List CSI'!$D$4:$J$146,G$1,0)</f>
        <v>03</v>
      </c>
      <c r="H61" s="1" t="str">
        <f>VLOOKUP($E61,'Activity List CSI'!$D$4:$J$146,H$1,0)</f>
        <v>ConcreteWork</v>
      </c>
      <c r="I61" s="1" t="str">
        <f>VLOOKUP(D61,'Activity List CSI'!$C$4:$H$146,6,0)</f>
        <v>03300</v>
      </c>
      <c r="J61" s="1" t="str">
        <f>VLOOKUP($E61,'Activity List CSI'!$D$4:$J$146,J$1,0)</f>
        <v>Cast-In-Place Concrete</v>
      </c>
      <c r="K61" s="1" t="s">
        <v>581</v>
      </c>
      <c r="L61" s="1">
        <v>305</v>
      </c>
      <c r="M61" s="1" t="str">
        <f t="shared" si="0"/>
        <v>03300305</v>
      </c>
      <c r="N61" s="12" t="str">
        <f t="shared" ref="N61:N124" si="4">M61</f>
        <v>03300305</v>
      </c>
    </row>
    <row r="62" spans="4:14" x14ac:dyDescent="0.25">
      <c r="D62" s="11" t="s">
        <v>75</v>
      </c>
      <c r="E62" s="134" t="str">
        <f>VLOOKUP(F62,'Activity List CSI'!$B$4:$D$146,3,0)</f>
        <v>03300-01</v>
      </c>
      <c r="F62" s="1" t="s">
        <v>76</v>
      </c>
      <c r="G62" s="1" t="str">
        <f>VLOOKUP($E62,'Activity List CSI'!$D$4:$J$146,G$1,0)</f>
        <v>03</v>
      </c>
      <c r="H62" s="1" t="str">
        <f>VLOOKUP($E62,'Activity List CSI'!$D$4:$J$146,H$1,0)</f>
        <v>ConcreteWork</v>
      </c>
      <c r="I62" s="1" t="str">
        <f>VLOOKUP(D62,'Activity List CSI'!$C$4:$H$146,6,0)</f>
        <v>03300</v>
      </c>
      <c r="J62" s="1" t="str">
        <f>VLOOKUP($E62,'Activity List CSI'!$D$4:$J$146,J$1,0)</f>
        <v>Cast-In-Place Concrete</v>
      </c>
      <c r="K62" s="1" t="s">
        <v>591</v>
      </c>
      <c r="L62" s="1">
        <v>315</v>
      </c>
      <c r="M62" s="1" t="str">
        <f t="shared" si="0"/>
        <v>03300315</v>
      </c>
      <c r="N62" s="12" t="str">
        <f t="shared" si="4"/>
        <v>03300315</v>
      </c>
    </row>
    <row r="63" spans="4:14" x14ac:dyDescent="0.25">
      <c r="D63" s="11" t="s">
        <v>75</v>
      </c>
      <c r="E63" s="134" t="str">
        <f>VLOOKUP(F63,'Activity List CSI'!$B$4:$D$146,3,0)</f>
        <v>03300-01</v>
      </c>
      <c r="F63" s="1" t="s">
        <v>76</v>
      </c>
      <c r="G63" s="1" t="str">
        <f>VLOOKUP($E63,'Activity List CSI'!$D$4:$J$146,G$1,0)</f>
        <v>03</v>
      </c>
      <c r="H63" s="1" t="str">
        <f>VLOOKUP($E63,'Activity List CSI'!$D$4:$J$146,H$1,0)</f>
        <v>ConcreteWork</v>
      </c>
      <c r="I63" s="1" t="str">
        <f>VLOOKUP(D63,'Activity List CSI'!$C$4:$H$146,6,0)</f>
        <v>03300</v>
      </c>
      <c r="J63" s="1" t="str">
        <f>VLOOKUP($E63,'Activity List CSI'!$D$4:$J$146,J$1,0)</f>
        <v>Cast-In-Place Concrete</v>
      </c>
      <c r="K63" s="1" t="s">
        <v>581</v>
      </c>
      <c r="L63" s="1">
        <v>305</v>
      </c>
      <c r="M63" s="1" t="str">
        <f t="shared" si="0"/>
        <v>03300305</v>
      </c>
      <c r="N63" s="12" t="str">
        <f t="shared" si="4"/>
        <v>03300305</v>
      </c>
    </row>
    <row r="64" spans="4:14" x14ac:dyDescent="0.25">
      <c r="D64" s="11" t="s">
        <v>75</v>
      </c>
      <c r="E64" s="134" t="str">
        <f>VLOOKUP(F64,'Activity List CSI'!$B$4:$D$146,3,0)</f>
        <v>03300-01</v>
      </c>
      <c r="F64" s="1" t="s">
        <v>76</v>
      </c>
      <c r="G64" s="1" t="str">
        <f>VLOOKUP($E64,'Activity List CSI'!$D$4:$J$146,G$1,0)</f>
        <v>03</v>
      </c>
      <c r="H64" s="1" t="str">
        <f>VLOOKUP($E64,'Activity List CSI'!$D$4:$J$146,H$1,0)</f>
        <v>ConcreteWork</v>
      </c>
      <c r="I64" s="1" t="str">
        <f>VLOOKUP(D64,'Activity List CSI'!$C$4:$H$146,6,0)</f>
        <v>03300</v>
      </c>
      <c r="J64" s="1" t="str">
        <f>VLOOKUP($E64,'Activity List CSI'!$D$4:$J$146,J$1,0)</f>
        <v>Cast-In-Place Concrete</v>
      </c>
      <c r="K64" s="1" t="s">
        <v>591</v>
      </c>
      <c r="L64" s="1">
        <v>315</v>
      </c>
      <c r="M64" s="1" t="str">
        <f t="shared" si="0"/>
        <v>03300315</v>
      </c>
      <c r="N64" s="12" t="str">
        <f t="shared" si="4"/>
        <v>03300315</v>
      </c>
    </row>
    <row r="65" spans="4:14" x14ac:dyDescent="0.25">
      <c r="D65" s="11" t="s">
        <v>77</v>
      </c>
      <c r="E65" s="134" t="str">
        <f>VLOOKUP(F65,'Activity List CSI'!$B$4:$D$146,3,0)</f>
        <v>03300-02</v>
      </c>
      <c r="F65" s="1" t="s">
        <v>78</v>
      </c>
      <c r="G65" s="1" t="str">
        <f>VLOOKUP($E65,'Activity List CSI'!$D$4:$J$146,G$1,0)</f>
        <v>03</v>
      </c>
      <c r="H65" s="1" t="str">
        <f>VLOOKUP($E65,'Activity List CSI'!$D$4:$J$146,H$1,0)</f>
        <v>ConcreteWork</v>
      </c>
      <c r="I65" s="1" t="str">
        <f>VLOOKUP(D65,'Activity List CSI'!$C$4:$H$146,6,0)</f>
        <v>03300</v>
      </c>
      <c r="J65" s="1" t="str">
        <f>VLOOKUP($E65,'Activity List CSI'!$D$4:$J$146,J$1,0)</f>
        <v>Cast-In-Place Concrete</v>
      </c>
      <c r="K65" s="1" t="s">
        <v>581</v>
      </c>
      <c r="L65" s="1">
        <v>305</v>
      </c>
      <c r="M65" s="1" t="str">
        <f t="shared" si="0"/>
        <v>03300305</v>
      </c>
      <c r="N65" s="12" t="str">
        <f t="shared" si="4"/>
        <v>03300305</v>
      </c>
    </row>
    <row r="66" spans="4:14" x14ac:dyDescent="0.25">
      <c r="D66" s="11" t="s">
        <v>77</v>
      </c>
      <c r="E66" s="134" t="str">
        <f>VLOOKUP(F66,'Activity List CSI'!$B$4:$D$146,3,0)</f>
        <v>03300-02</v>
      </c>
      <c r="F66" s="1" t="s">
        <v>78</v>
      </c>
      <c r="G66" s="1" t="str">
        <f>VLOOKUP($E66,'Activity List CSI'!$D$4:$J$146,G$1,0)</f>
        <v>03</v>
      </c>
      <c r="H66" s="1" t="str">
        <f>VLOOKUP($E66,'Activity List CSI'!$D$4:$J$146,H$1,0)</f>
        <v>ConcreteWork</v>
      </c>
      <c r="I66" s="1" t="str">
        <f>VLOOKUP(D66,'Activity List CSI'!$C$4:$H$146,6,0)</f>
        <v>03300</v>
      </c>
      <c r="J66" s="1" t="str">
        <f>VLOOKUP($E66,'Activity List CSI'!$D$4:$J$146,J$1,0)</f>
        <v>Cast-In-Place Concrete</v>
      </c>
      <c r="K66" s="1" t="s">
        <v>596</v>
      </c>
      <c r="L66" s="1">
        <v>310</v>
      </c>
      <c r="M66" s="1" t="str">
        <f t="shared" si="0"/>
        <v>03300310</v>
      </c>
      <c r="N66" s="12" t="str">
        <f t="shared" si="4"/>
        <v>03300310</v>
      </c>
    </row>
    <row r="67" spans="4:14" x14ac:dyDescent="0.25">
      <c r="D67" s="11" t="s">
        <v>77</v>
      </c>
      <c r="E67" s="134" t="str">
        <f>VLOOKUP(F67,'Activity List CSI'!$B$4:$D$146,3,0)</f>
        <v>03300-02</v>
      </c>
      <c r="F67" s="1" t="s">
        <v>78</v>
      </c>
      <c r="G67" s="1" t="str">
        <f>VLOOKUP($E67,'Activity List CSI'!$D$4:$J$146,G$1,0)</f>
        <v>03</v>
      </c>
      <c r="H67" s="1" t="str">
        <f>VLOOKUP($E67,'Activity List CSI'!$D$4:$J$146,H$1,0)</f>
        <v>ConcreteWork</v>
      </c>
      <c r="I67" s="1" t="str">
        <f>VLOOKUP(D67,'Activity List CSI'!$C$4:$H$146,6,0)</f>
        <v>03300</v>
      </c>
      <c r="J67" s="1" t="str">
        <f>VLOOKUP($E67,'Activity List CSI'!$D$4:$J$146,J$1,0)</f>
        <v>Cast-In-Place Concrete</v>
      </c>
      <c r="K67" s="1" t="s">
        <v>591</v>
      </c>
      <c r="L67" s="1">
        <v>315</v>
      </c>
      <c r="M67" s="1" t="str">
        <f t="shared" si="0"/>
        <v>03300315</v>
      </c>
      <c r="N67" s="12" t="str">
        <f t="shared" si="4"/>
        <v>03300315</v>
      </c>
    </row>
    <row r="68" spans="4:14" x14ac:dyDescent="0.25">
      <c r="D68" s="11" t="s">
        <v>77</v>
      </c>
      <c r="E68" s="134" t="str">
        <f>VLOOKUP(F68,'Activity List CSI'!$B$4:$D$146,3,0)</f>
        <v>03300-02</v>
      </c>
      <c r="F68" s="1" t="s">
        <v>78</v>
      </c>
      <c r="G68" s="1" t="str">
        <f>VLOOKUP($E68,'Activity List CSI'!$D$4:$J$146,G$1,0)</f>
        <v>03</v>
      </c>
      <c r="H68" s="1" t="str">
        <f>VLOOKUP($E68,'Activity List CSI'!$D$4:$J$146,H$1,0)</f>
        <v>ConcreteWork</v>
      </c>
      <c r="I68" s="1" t="str">
        <f>VLOOKUP(D68,'Activity List CSI'!$C$4:$H$146,6,0)</f>
        <v>03300</v>
      </c>
      <c r="J68" s="1" t="str">
        <f>VLOOKUP($E68,'Activity List CSI'!$D$4:$J$146,J$1,0)</f>
        <v>Cast-In-Place Concrete</v>
      </c>
      <c r="K68" s="1" t="s">
        <v>581</v>
      </c>
      <c r="L68" s="1">
        <v>305</v>
      </c>
      <c r="M68" s="1" t="str">
        <f t="shared" si="0"/>
        <v>03300305</v>
      </c>
      <c r="N68" s="12" t="str">
        <f t="shared" si="4"/>
        <v>03300305</v>
      </c>
    </row>
    <row r="69" spans="4:14" x14ac:dyDescent="0.25">
      <c r="D69" s="11" t="s">
        <v>77</v>
      </c>
      <c r="E69" s="134" t="str">
        <f>VLOOKUP(F69,'Activity List CSI'!$B$4:$D$146,3,0)</f>
        <v>03300-02</v>
      </c>
      <c r="F69" s="1" t="s">
        <v>78</v>
      </c>
      <c r="G69" s="1" t="str">
        <f>VLOOKUP($E69,'Activity List CSI'!$D$4:$J$146,G$1,0)</f>
        <v>03</v>
      </c>
      <c r="H69" s="1" t="str">
        <f>VLOOKUP($E69,'Activity List CSI'!$D$4:$J$146,H$1,0)</f>
        <v>ConcreteWork</v>
      </c>
      <c r="I69" s="1" t="str">
        <f>VLOOKUP(D69,'Activity List CSI'!$C$4:$H$146,6,0)</f>
        <v>03300</v>
      </c>
      <c r="J69" s="1" t="str">
        <f>VLOOKUP($E69,'Activity List CSI'!$D$4:$J$146,J$1,0)</f>
        <v>Cast-In-Place Concrete</v>
      </c>
      <c r="K69" s="1" t="s">
        <v>596</v>
      </c>
      <c r="L69" s="1">
        <v>310</v>
      </c>
      <c r="M69" s="1" t="str">
        <f t="shared" ref="M69:M132" si="5">I69&amp;L69</f>
        <v>03300310</v>
      </c>
      <c r="N69" s="12" t="str">
        <f t="shared" si="4"/>
        <v>03300310</v>
      </c>
    </row>
    <row r="70" spans="4:14" x14ac:dyDescent="0.25">
      <c r="D70" s="11" t="s">
        <v>77</v>
      </c>
      <c r="E70" s="134" t="str">
        <f>VLOOKUP(F70,'Activity List CSI'!$B$4:$D$146,3,0)</f>
        <v>03300-02</v>
      </c>
      <c r="F70" s="1" t="s">
        <v>78</v>
      </c>
      <c r="G70" s="1" t="str">
        <f>VLOOKUP($E70,'Activity List CSI'!$D$4:$J$146,G$1,0)</f>
        <v>03</v>
      </c>
      <c r="H70" s="1" t="str">
        <f>VLOOKUP($E70,'Activity List CSI'!$D$4:$J$146,H$1,0)</f>
        <v>ConcreteWork</v>
      </c>
      <c r="I70" s="1" t="str">
        <f>VLOOKUP(D70,'Activity List CSI'!$C$4:$H$146,6,0)</f>
        <v>03300</v>
      </c>
      <c r="J70" s="1" t="str">
        <f>VLOOKUP($E70,'Activity List CSI'!$D$4:$J$146,J$1,0)</f>
        <v>Cast-In-Place Concrete</v>
      </c>
      <c r="K70" s="1" t="s">
        <v>591</v>
      </c>
      <c r="L70" s="1">
        <v>315</v>
      </c>
      <c r="M70" s="1" t="str">
        <f t="shared" si="5"/>
        <v>03300315</v>
      </c>
      <c r="N70" s="12" t="str">
        <f t="shared" si="4"/>
        <v>03300315</v>
      </c>
    </row>
    <row r="71" spans="4:14" x14ac:dyDescent="0.25">
      <c r="D71" s="11" t="s">
        <v>79</v>
      </c>
      <c r="E71" s="134" t="str">
        <f>VLOOKUP(F71,'Activity List CSI'!$B$4:$D$146,3,0)</f>
        <v>03300-03</v>
      </c>
      <c r="F71" s="1" t="s">
        <v>80</v>
      </c>
      <c r="G71" s="1" t="str">
        <f>VLOOKUP($E71,'Activity List CSI'!$D$4:$J$146,G$1,0)</f>
        <v>03</v>
      </c>
      <c r="H71" s="1" t="str">
        <f>VLOOKUP($E71,'Activity List CSI'!$D$4:$J$146,H$1,0)</f>
        <v>ConcreteWork</v>
      </c>
      <c r="I71" s="1" t="str">
        <f>VLOOKUP(D71,'Activity List CSI'!$C$4:$H$146,6,0)</f>
        <v>03300</v>
      </c>
      <c r="J71" s="1" t="str">
        <f>VLOOKUP($E71,'Activity List CSI'!$D$4:$J$146,J$1,0)</f>
        <v>Cast-In-Place Concrete</v>
      </c>
      <c r="K71" s="1" t="s">
        <v>581</v>
      </c>
      <c r="L71" s="1">
        <v>305</v>
      </c>
      <c r="M71" s="1" t="str">
        <f t="shared" si="5"/>
        <v>03300305</v>
      </c>
      <c r="N71" s="12" t="str">
        <f t="shared" si="4"/>
        <v>03300305</v>
      </c>
    </row>
    <row r="72" spans="4:14" x14ac:dyDescent="0.25">
      <c r="D72" s="11" t="s">
        <v>79</v>
      </c>
      <c r="E72" s="134" t="str">
        <f>VLOOKUP(F72,'Activity List CSI'!$B$4:$D$146,3,0)</f>
        <v>03300-03</v>
      </c>
      <c r="F72" s="1" t="s">
        <v>80</v>
      </c>
      <c r="G72" s="1" t="str">
        <f>VLOOKUP($E72,'Activity List CSI'!$D$4:$J$146,G$1,0)</f>
        <v>03</v>
      </c>
      <c r="H72" s="1" t="str">
        <f>VLOOKUP($E72,'Activity List CSI'!$D$4:$J$146,H$1,0)</f>
        <v>ConcreteWork</v>
      </c>
      <c r="I72" s="1" t="str">
        <f>VLOOKUP(D72,'Activity List CSI'!$C$4:$H$146,6,0)</f>
        <v>03300</v>
      </c>
      <c r="J72" s="1" t="str">
        <f>VLOOKUP($E72,'Activity List CSI'!$D$4:$J$146,J$1,0)</f>
        <v>Cast-In-Place Concrete</v>
      </c>
      <c r="K72" s="1" t="s">
        <v>596</v>
      </c>
      <c r="L72" s="1">
        <v>310</v>
      </c>
      <c r="M72" s="1" t="str">
        <f t="shared" si="5"/>
        <v>03300310</v>
      </c>
      <c r="N72" s="12" t="str">
        <f t="shared" si="4"/>
        <v>03300310</v>
      </c>
    </row>
    <row r="73" spans="4:14" x14ac:dyDescent="0.25">
      <c r="D73" s="11" t="s">
        <v>79</v>
      </c>
      <c r="E73" s="134" t="str">
        <f>VLOOKUP(F73,'Activity List CSI'!$B$4:$D$146,3,0)</f>
        <v>03300-03</v>
      </c>
      <c r="F73" s="1" t="s">
        <v>80</v>
      </c>
      <c r="G73" s="1" t="str">
        <f>VLOOKUP($E73,'Activity List CSI'!$D$4:$J$146,G$1,0)</f>
        <v>03</v>
      </c>
      <c r="H73" s="1" t="str">
        <f>VLOOKUP($E73,'Activity List CSI'!$D$4:$J$146,H$1,0)</f>
        <v>ConcreteWork</v>
      </c>
      <c r="I73" s="1" t="str">
        <f>VLOOKUP(D73,'Activity List CSI'!$C$4:$H$146,6,0)</f>
        <v>03300</v>
      </c>
      <c r="J73" s="1" t="str">
        <f>VLOOKUP($E73,'Activity List CSI'!$D$4:$J$146,J$1,0)</f>
        <v>Cast-In-Place Concrete</v>
      </c>
      <c r="K73" s="1" t="s">
        <v>591</v>
      </c>
      <c r="L73" s="1">
        <v>315</v>
      </c>
      <c r="M73" s="1" t="str">
        <f t="shared" si="5"/>
        <v>03300315</v>
      </c>
      <c r="N73" s="12" t="str">
        <f t="shared" si="4"/>
        <v>03300315</v>
      </c>
    </row>
    <row r="74" spans="4:14" x14ac:dyDescent="0.25">
      <c r="D74" s="11" t="s">
        <v>79</v>
      </c>
      <c r="E74" s="134" t="str">
        <f>VLOOKUP(F74,'Activity List CSI'!$B$4:$D$146,3,0)</f>
        <v>03300-03</v>
      </c>
      <c r="F74" s="1" t="s">
        <v>80</v>
      </c>
      <c r="G74" s="1" t="str">
        <f>VLOOKUP($E74,'Activity List CSI'!$D$4:$J$146,G$1,0)</f>
        <v>03</v>
      </c>
      <c r="H74" s="1" t="str">
        <f>VLOOKUP($E74,'Activity List CSI'!$D$4:$J$146,H$1,0)</f>
        <v>ConcreteWork</v>
      </c>
      <c r="I74" s="1" t="str">
        <f>VLOOKUP(D74,'Activity List CSI'!$C$4:$H$146,6,0)</f>
        <v>03300</v>
      </c>
      <c r="J74" s="1" t="str">
        <f>VLOOKUP($E74,'Activity List CSI'!$D$4:$J$146,J$1,0)</f>
        <v>Cast-In-Place Concrete</v>
      </c>
      <c r="K74" s="1" t="s">
        <v>581</v>
      </c>
      <c r="L74" s="1">
        <v>305</v>
      </c>
      <c r="M74" s="1" t="str">
        <f t="shared" si="5"/>
        <v>03300305</v>
      </c>
      <c r="N74" s="12" t="str">
        <f t="shared" si="4"/>
        <v>03300305</v>
      </c>
    </row>
    <row r="75" spans="4:14" x14ac:dyDescent="0.25">
      <c r="D75" s="11" t="s">
        <v>79</v>
      </c>
      <c r="E75" s="134" t="str">
        <f>VLOOKUP(F75,'Activity List CSI'!$B$4:$D$146,3,0)</f>
        <v>03300-03</v>
      </c>
      <c r="F75" s="1" t="s">
        <v>80</v>
      </c>
      <c r="G75" s="1" t="str">
        <f>VLOOKUP($E75,'Activity List CSI'!$D$4:$J$146,G$1,0)</f>
        <v>03</v>
      </c>
      <c r="H75" s="1" t="str">
        <f>VLOOKUP($E75,'Activity List CSI'!$D$4:$J$146,H$1,0)</f>
        <v>ConcreteWork</v>
      </c>
      <c r="I75" s="1" t="str">
        <f>VLOOKUP(D75,'Activity List CSI'!$C$4:$H$146,6,0)</f>
        <v>03300</v>
      </c>
      <c r="J75" s="1" t="str">
        <f>VLOOKUP($E75,'Activity List CSI'!$D$4:$J$146,J$1,0)</f>
        <v>Cast-In-Place Concrete</v>
      </c>
      <c r="K75" s="1" t="s">
        <v>596</v>
      </c>
      <c r="L75" s="1">
        <v>310</v>
      </c>
      <c r="M75" s="1" t="str">
        <f t="shared" si="5"/>
        <v>03300310</v>
      </c>
      <c r="N75" s="12" t="str">
        <f t="shared" si="4"/>
        <v>03300310</v>
      </c>
    </row>
    <row r="76" spans="4:14" x14ac:dyDescent="0.25">
      <c r="D76" s="11" t="s">
        <v>79</v>
      </c>
      <c r="E76" s="134" t="str">
        <f>VLOOKUP(F76,'Activity List CSI'!$B$4:$D$146,3,0)</f>
        <v>03300-03</v>
      </c>
      <c r="F76" s="1" t="s">
        <v>80</v>
      </c>
      <c r="G76" s="1" t="str">
        <f>VLOOKUP($E76,'Activity List CSI'!$D$4:$J$146,G$1,0)</f>
        <v>03</v>
      </c>
      <c r="H76" s="1" t="str">
        <f>VLOOKUP($E76,'Activity List CSI'!$D$4:$J$146,H$1,0)</f>
        <v>ConcreteWork</v>
      </c>
      <c r="I76" s="1" t="str">
        <f>VLOOKUP(D76,'Activity List CSI'!$C$4:$H$146,6,0)</f>
        <v>03300</v>
      </c>
      <c r="J76" s="1" t="str">
        <f>VLOOKUP($E76,'Activity List CSI'!$D$4:$J$146,J$1,0)</f>
        <v>Cast-In-Place Concrete</v>
      </c>
      <c r="K76" s="1" t="s">
        <v>591</v>
      </c>
      <c r="L76" s="1">
        <v>315</v>
      </c>
      <c r="M76" s="1" t="str">
        <f t="shared" si="5"/>
        <v>03300315</v>
      </c>
      <c r="N76" s="12" t="str">
        <f t="shared" si="4"/>
        <v>03300315</v>
      </c>
    </row>
    <row r="77" spans="4:14" x14ac:dyDescent="0.25">
      <c r="D77" s="11" t="s">
        <v>81</v>
      </c>
      <c r="E77" s="134" t="str">
        <f>VLOOKUP(F77,'Activity List CSI'!$B$4:$D$146,3,0)</f>
        <v>03300-04</v>
      </c>
      <c r="F77" s="1" t="s">
        <v>82</v>
      </c>
      <c r="G77" s="1" t="str">
        <f>VLOOKUP($E77,'Activity List CSI'!$D$4:$J$146,G$1,0)</f>
        <v>03</v>
      </c>
      <c r="H77" s="1" t="str">
        <f>VLOOKUP($E77,'Activity List CSI'!$D$4:$J$146,H$1,0)</f>
        <v>ConcreteWork</v>
      </c>
      <c r="I77" s="1" t="str">
        <f>VLOOKUP(D77,'Activity List CSI'!$C$4:$H$146,6,0)</f>
        <v>03300</v>
      </c>
      <c r="J77" s="1" t="str">
        <f>VLOOKUP($E77,'Activity List CSI'!$D$4:$J$146,J$1,0)</f>
        <v>Cast-In-Place Concrete</v>
      </c>
      <c r="K77" s="1" t="s">
        <v>581</v>
      </c>
      <c r="L77" s="1">
        <v>305</v>
      </c>
      <c r="M77" s="1" t="str">
        <f t="shared" si="5"/>
        <v>03300305</v>
      </c>
      <c r="N77" s="12" t="str">
        <f t="shared" si="4"/>
        <v>03300305</v>
      </c>
    </row>
    <row r="78" spans="4:14" x14ac:dyDescent="0.25">
      <c r="D78" s="11" t="s">
        <v>81</v>
      </c>
      <c r="E78" s="134" t="str">
        <f>VLOOKUP(F78,'Activity List CSI'!$B$4:$D$146,3,0)</f>
        <v>03300-04</v>
      </c>
      <c r="F78" s="1" t="s">
        <v>82</v>
      </c>
      <c r="G78" s="1" t="str">
        <f>VLOOKUP($E78,'Activity List CSI'!$D$4:$J$146,G$1,0)</f>
        <v>03</v>
      </c>
      <c r="H78" s="1" t="str">
        <f>VLOOKUP($E78,'Activity List CSI'!$D$4:$J$146,H$1,0)</f>
        <v>ConcreteWork</v>
      </c>
      <c r="I78" s="1" t="str">
        <f>VLOOKUP(D78,'Activity List CSI'!$C$4:$H$146,6,0)</f>
        <v>03300</v>
      </c>
      <c r="J78" s="1" t="str">
        <f>VLOOKUP($E78,'Activity List CSI'!$D$4:$J$146,J$1,0)</f>
        <v>Cast-In-Place Concrete</v>
      </c>
      <c r="K78" s="1" t="s">
        <v>596</v>
      </c>
      <c r="L78" s="1">
        <v>310</v>
      </c>
      <c r="M78" s="1" t="str">
        <f t="shared" si="5"/>
        <v>03300310</v>
      </c>
      <c r="N78" s="12" t="str">
        <f t="shared" si="4"/>
        <v>03300310</v>
      </c>
    </row>
    <row r="79" spans="4:14" x14ac:dyDescent="0.25">
      <c r="D79" s="11" t="s">
        <v>81</v>
      </c>
      <c r="E79" s="134" t="str">
        <f>VLOOKUP(F79,'Activity List CSI'!$B$4:$D$146,3,0)</f>
        <v>03300-04</v>
      </c>
      <c r="F79" s="1" t="s">
        <v>82</v>
      </c>
      <c r="G79" s="1" t="str">
        <f>VLOOKUP($E79,'Activity List CSI'!$D$4:$J$146,G$1,0)</f>
        <v>03</v>
      </c>
      <c r="H79" s="1" t="str">
        <f>VLOOKUP($E79,'Activity List CSI'!$D$4:$J$146,H$1,0)</f>
        <v>ConcreteWork</v>
      </c>
      <c r="I79" s="1" t="str">
        <f>VLOOKUP(D79,'Activity List CSI'!$C$4:$H$146,6,0)</f>
        <v>03300</v>
      </c>
      <c r="J79" s="1" t="str">
        <f>VLOOKUP($E79,'Activity List CSI'!$D$4:$J$146,J$1,0)</f>
        <v>Cast-In-Place Concrete</v>
      </c>
      <c r="K79" s="1" t="s">
        <v>591</v>
      </c>
      <c r="L79" s="1">
        <v>315</v>
      </c>
      <c r="M79" s="1" t="str">
        <f t="shared" si="5"/>
        <v>03300315</v>
      </c>
      <c r="N79" s="12" t="str">
        <f t="shared" si="4"/>
        <v>03300315</v>
      </c>
    </row>
    <row r="80" spans="4:14" x14ac:dyDescent="0.25">
      <c r="D80" s="11" t="s">
        <v>81</v>
      </c>
      <c r="E80" s="134" t="str">
        <f>VLOOKUP(F80,'Activity List CSI'!$B$4:$D$146,3,0)</f>
        <v>03300-04</v>
      </c>
      <c r="F80" s="1" t="s">
        <v>82</v>
      </c>
      <c r="G80" s="1" t="str">
        <f>VLOOKUP($E80,'Activity List CSI'!$D$4:$J$146,G$1,0)</f>
        <v>03</v>
      </c>
      <c r="H80" s="1" t="str">
        <f>VLOOKUP($E80,'Activity List CSI'!$D$4:$J$146,H$1,0)</f>
        <v>ConcreteWork</v>
      </c>
      <c r="I80" s="1" t="str">
        <f>VLOOKUP(D80,'Activity List CSI'!$C$4:$H$146,6,0)</f>
        <v>03300</v>
      </c>
      <c r="J80" s="1" t="str">
        <f>VLOOKUP($E80,'Activity List CSI'!$D$4:$J$146,J$1,0)</f>
        <v>Cast-In-Place Concrete</v>
      </c>
      <c r="K80" s="1" t="s">
        <v>581</v>
      </c>
      <c r="L80" s="1">
        <v>305</v>
      </c>
      <c r="M80" s="1" t="str">
        <f t="shared" si="5"/>
        <v>03300305</v>
      </c>
      <c r="N80" s="12" t="str">
        <f t="shared" si="4"/>
        <v>03300305</v>
      </c>
    </row>
    <row r="81" spans="4:14" x14ac:dyDescent="0.25">
      <c r="D81" s="11" t="s">
        <v>81</v>
      </c>
      <c r="E81" s="134" t="str">
        <f>VLOOKUP(F81,'Activity List CSI'!$B$4:$D$146,3,0)</f>
        <v>03300-04</v>
      </c>
      <c r="F81" s="1" t="s">
        <v>82</v>
      </c>
      <c r="G81" s="1" t="str">
        <f>VLOOKUP($E81,'Activity List CSI'!$D$4:$J$146,G$1,0)</f>
        <v>03</v>
      </c>
      <c r="H81" s="1" t="str">
        <f>VLOOKUP($E81,'Activity List CSI'!$D$4:$J$146,H$1,0)</f>
        <v>ConcreteWork</v>
      </c>
      <c r="I81" s="1" t="str">
        <f>VLOOKUP(D81,'Activity List CSI'!$C$4:$H$146,6,0)</f>
        <v>03300</v>
      </c>
      <c r="J81" s="1" t="str">
        <f>VLOOKUP($E81,'Activity List CSI'!$D$4:$J$146,J$1,0)</f>
        <v>Cast-In-Place Concrete</v>
      </c>
      <c r="K81" s="1" t="s">
        <v>596</v>
      </c>
      <c r="L81" s="1">
        <v>310</v>
      </c>
      <c r="M81" s="1" t="str">
        <f t="shared" si="5"/>
        <v>03300310</v>
      </c>
      <c r="N81" s="12" t="str">
        <f t="shared" si="4"/>
        <v>03300310</v>
      </c>
    </row>
    <row r="82" spans="4:14" x14ac:dyDescent="0.25">
      <c r="D82" s="11" t="s">
        <v>81</v>
      </c>
      <c r="E82" s="134" t="str">
        <f>VLOOKUP(F82,'Activity List CSI'!$B$4:$D$146,3,0)</f>
        <v>03300-04</v>
      </c>
      <c r="F82" s="1" t="s">
        <v>82</v>
      </c>
      <c r="G82" s="1" t="str">
        <f>VLOOKUP($E82,'Activity List CSI'!$D$4:$J$146,G$1,0)</f>
        <v>03</v>
      </c>
      <c r="H82" s="1" t="str">
        <f>VLOOKUP($E82,'Activity List CSI'!$D$4:$J$146,H$1,0)</f>
        <v>ConcreteWork</v>
      </c>
      <c r="I82" s="1" t="str">
        <f>VLOOKUP(D82,'Activity List CSI'!$C$4:$H$146,6,0)</f>
        <v>03300</v>
      </c>
      <c r="J82" s="1" t="str">
        <f>VLOOKUP($E82,'Activity List CSI'!$D$4:$J$146,J$1,0)</f>
        <v>Cast-In-Place Concrete</v>
      </c>
      <c r="K82" s="1" t="s">
        <v>591</v>
      </c>
      <c r="L82" s="1">
        <v>315</v>
      </c>
      <c r="M82" s="1" t="str">
        <f t="shared" si="5"/>
        <v>03300315</v>
      </c>
      <c r="N82" s="12" t="str">
        <f t="shared" si="4"/>
        <v>03300315</v>
      </c>
    </row>
    <row r="83" spans="4:14" x14ac:dyDescent="0.25">
      <c r="D83" s="11" t="s">
        <v>83</v>
      </c>
      <c r="E83" s="134" t="str">
        <f>VLOOKUP(F83,'Activity List CSI'!$B$4:$D$146,3,0)</f>
        <v>03300-05</v>
      </c>
      <c r="F83" s="1" t="s">
        <v>84</v>
      </c>
      <c r="G83" s="1" t="str">
        <f>VLOOKUP($E83,'Activity List CSI'!$D$4:$J$146,G$1,0)</f>
        <v>03</v>
      </c>
      <c r="H83" s="1" t="str">
        <f>VLOOKUP($E83,'Activity List CSI'!$D$4:$J$146,H$1,0)</f>
        <v>ConcreteWork</v>
      </c>
      <c r="I83" s="1" t="str">
        <f>VLOOKUP(D83,'Activity List CSI'!$C$4:$H$146,6,0)</f>
        <v>03300</v>
      </c>
      <c r="J83" s="1" t="str">
        <f>VLOOKUP($E83,'Activity List CSI'!$D$4:$J$146,J$1,0)</f>
        <v>Cast-In-Place Concrete</v>
      </c>
      <c r="K83" s="1" t="s">
        <v>581</v>
      </c>
      <c r="L83" s="1">
        <v>305</v>
      </c>
      <c r="M83" s="1" t="str">
        <f t="shared" si="5"/>
        <v>03300305</v>
      </c>
      <c r="N83" s="12" t="str">
        <f t="shared" si="4"/>
        <v>03300305</v>
      </c>
    </row>
    <row r="84" spans="4:14" x14ac:dyDescent="0.25">
      <c r="D84" s="11" t="s">
        <v>83</v>
      </c>
      <c r="E84" s="134" t="str">
        <f>VLOOKUP(F84,'Activity List CSI'!$B$4:$D$146,3,0)</f>
        <v>03300-05</v>
      </c>
      <c r="F84" s="1" t="s">
        <v>84</v>
      </c>
      <c r="G84" s="1" t="str">
        <f>VLOOKUP($E84,'Activity List CSI'!$D$4:$J$146,G$1,0)</f>
        <v>03</v>
      </c>
      <c r="H84" s="1" t="str">
        <f>VLOOKUP($E84,'Activity List CSI'!$D$4:$J$146,H$1,0)</f>
        <v>ConcreteWork</v>
      </c>
      <c r="I84" s="1" t="str">
        <f>VLOOKUP(D84,'Activity List CSI'!$C$4:$H$146,6,0)</f>
        <v>03300</v>
      </c>
      <c r="J84" s="1" t="str">
        <f>VLOOKUP($E84,'Activity List CSI'!$D$4:$J$146,J$1,0)</f>
        <v>Cast-In-Place Concrete</v>
      </c>
      <c r="K84" s="1" t="s">
        <v>596</v>
      </c>
      <c r="L84" s="1">
        <v>310</v>
      </c>
      <c r="M84" s="1" t="str">
        <f t="shared" si="5"/>
        <v>03300310</v>
      </c>
      <c r="N84" s="12" t="str">
        <f t="shared" si="4"/>
        <v>03300310</v>
      </c>
    </row>
    <row r="85" spans="4:14" x14ac:dyDescent="0.25">
      <c r="D85" s="11" t="s">
        <v>83</v>
      </c>
      <c r="E85" s="134" t="str">
        <f>VLOOKUP(F85,'Activity List CSI'!$B$4:$D$146,3,0)</f>
        <v>03300-05</v>
      </c>
      <c r="F85" s="1" t="s">
        <v>84</v>
      </c>
      <c r="G85" s="1" t="str">
        <f>VLOOKUP($E85,'Activity List CSI'!$D$4:$J$146,G$1,0)</f>
        <v>03</v>
      </c>
      <c r="H85" s="1" t="str">
        <f>VLOOKUP($E85,'Activity List CSI'!$D$4:$J$146,H$1,0)</f>
        <v>ConcreteWork</v>
      </c>
      <c r="I85" s="1" t="str">
        <f>VLOOKUP(D85,'Activity List CSI'!$C$4:$H$146,6,0)</f>
        <v>03300</v>
      </c>
      <c r="J85" s="1" t="str">
        <f>VLOOKUP($E85,'Activity List CSI'!$D$4:$J$146,J$1,0)</f>
        <v>Cast-In-Place Concrete</v>
      </c>
      <c r="K85" s="1" t="s">
        <v>591</v>
      </c>
      <c r="L85" s="1">
        <v>315</v>
      </c>
      <c r="M85" s="1" t="str">
        <f t="shared" si="5"/>
        <v>03300315</v>
      </c>
      <c r="N85" s="12" t="str">
        <f t="shared" si="4"/>
        <v>03300315</v>
      </c>
    </row>
    <row r="86" spans="4:14" x14ac:dyDescent="0.25">
      <c r="D86" s="11" t="s">
        <v>83</v>
      </c>
      <c r="E86" s="134" t="str">
        <f>VLOOKUP(F86,'Activity List CSI'!$B$4:$D$146,3,0)</f>
        <v>03300-05</v>
      </c>
      <c r="F86" s="1" t="s">
        <v>84</v>
      </c>
      <c r="G86" s="1" t="str">
        <f>VLOOKUP($E86,'Activity List CSI'!$D$4:$J$146,G$1,0)</f>
        <v>03</v>
      </c>
      <c r="H86" s="1" t="str">
        <f>VLOOKUP($E86,'Activity List CSI'!$D$4:$J$146,H$1,0)</f>
        <v>ConcreteWork</v>
      </c>
      <c r="I86" s="1" t="str">
        <f>VLOOKUP(D86,'Activity List CSI'!$C$4:$H$146,6,0)</f>
        <v>03300</v>
      </c>
      <c r="J86" s="1" t="str">
        <f>VLOOKUP($E86,'Activity List CSI'!$D$4:$J$146,J$1,0)</f>
        <v>Cast-In-Place Concrete</v>
      </c>
      <c r="K86" s="1" t="s">
        <v>581</v>
      </c>
      <c r="L86" s="1">
        <v>305</v>
      </c>
      <c r="M86" s="1" t="str">
        <f t="shared" si="5"/>
        <v>03300305</v>
      </c>
      <c r="N86" s="12" t="str">
        <f t="shared" si="4"/>
        <v>03300305</v>
      </c>
    </row>
    <row r="87" spans="4:14" x14ac:dyDescent="0.25">
      <c r="D87" s="11" t="s">
        <v>83</v>
      </c>
      <c r="E87" s="134" t="str">
        <f>VLOOKUP(F87,'Activity List CSI'!$B$4:$D$146,3,0)</f>
        <v>03300-05</v>
      </c>
      <c r="F87" s="1" t="s">
        <v>84</v>
      </c>
      <c r="G87" s="1" t="str">
        <f>VLOOKUP($E87,'Activity List CSI'!$D$4:$J$146,G$1,0)</f>
        <v>03</v>
      </c>
      <c r="H87" s="1" t="str">
        <f>VLOOKUP($E87,'Activity List CSI'!$D$4:$J$146,H$1,0)</f>
        <v>ConcreteWork</v>
      </c>
      <c r="I87" s="1" t="str">
        <f>VLOOKUP(D87,'Activity List CSI'!$C$4:$H$146,6,0)</f>
        <v>03300</v>
      </c>
      <c r="J87" s="1" t="str">
        <f>VLOOKUP($E87,'Activity List CSI'!$D$4:$J$146,J$1,0)</f>
        <v>Cast-In-Place Concrete</v>
      </c>
      <c r="K87" s="1" t="s">
        <v>596</v>
      </c>
      <c r="L87" s="1">
        <v>310</v>
      </c>
      <c r="M87" s="1" t="str">
        <f t="shared" si="5"/>
        <v>03300310</v>
      </c>
      <c r="N87" s="12" t="str">
        <f t="shared" si="4"/>
        <v>03300310</v>
      </c>
    </row>
    <row r="88" spans="4:14" x14ac:dyDescent="0.25">
      <c r="D88" s="11" t="s">
        <v>83</v>
      </c>
      <c r="E88" s="134" t="str">
        <f>VLOOKUP(F88,'Activity List CSI'!$B$4:$D$146,3,0)</f>
        <v>03300-05</v>
      </c>
      <c r="F88" s="1" t="s">
        <v>84</v>
      </c>
      <c r="G88" s="1" t="str">
        <f>VLOOKUP($E88,'Activity List CSI'!$D$4:$J$146,G$1,0)</f>
        <v>03</v>
      </c>
      <c r="H88" s="1" t="str">
        <f>VLOOKUP($E88,'Activity List CSI'!$D$4:$J$146,H$1,0)</f>
        <v>ConcreteWork</v>
      </c>
      <c r="I88" s="1" t="str">
        <f>VLOOKUP(D88,'Activity List CSI'!$C$4:$H$146,6,0)</f>
        <v>03300</v>
      </c>
      <c r="J88" s="1" t="str">
        <f>VLOOKUP($E88,'Activity List CSI'!$D$4:$J$146,J$1,0)</f>
        <v>Cast-In-Place Concrete</v>
      </c>
      <c r="K88" s="1" t="s">
        <v>591</v>
      </c>
      <c r="L88" s="1">
        <v>315</v>
      </c>
      <c r="M88" s="1" t="str">
        <f t="shared" si="5"/>
        <v>03300315</v>
      </c>
      <c r="N88" s="12" t="str">
        <f t="shared" si="4"/>
        <v>03300315</v>
      </c>
    </row>
    <row r="89" spans="4:14" x14ac:dyDescent="0.25">
      <c r="D89" s="11" t="s">
        <v>85</v>
      </c>
      <c r="E89" s="134" t="str">
        <f>VLOOKUP(F89,'Activity List CSI'!$B$4:$D$146,3,0)</f>
        <v>03300-06</v>
      </c>
      <c r="F89" s="1" t="s">
        <v>86</v>
      </c>
      <c r="G89" s="1" t="str">
        <f>VLOOKUP($E89,'Activity List CSI'!$D$4:$J$146,G$1,0)</f>
        <v>03</v>
      </c>
      <c r="H89" s="1" t="str">
        <f>VLOOKUP($E89,'Activity List CSI'!$D$4:$J$146,H$1,0)</f>
        <v>ConcreteWork</v>
      </c>
      <c r="I89" s="1" t="str">
        <f>VLOOKUP(D89,'Activity List CSI'!$C$4:$H$146,6,0)</f>
        <v>03300</v>
      </c>
      <c r="J89" s="1" t="str">
        <f>VLOOKUP($E89,'Activity List CSI'!$D$4:$J$146,J$1,0)</f>
        <v>Cast-In-Place Concrete</v>
      </c>
      <c r="K89" s="1" t="s">
        <v>581</v>
      </c>
      <c r="L89" s="1">
        <v>305</v>
      </c>
      <c r="M89" s="1" t="str">
        <f t="shared" si="5"/>
        <v>03300305</v>
      </c>
      <c r="N89" s="12" t="str">
        <f t="shared" si="4"/>
        <v>03300305</v>
      </c>
    </row>
    <row r="90" spans="4:14" x14ac:dyDescent="0.25">
      <c r="D90" s="11" t="s">
        <v>85</v>
      </c>
      <c r="E90" s="134" t="str">
        <f>VLOOKUP(F90,'Activity List CSI'!$B$4:$D$146,3,0)</f>
        <v>03300-06</v>
      </c>
      <c r="F90" s="1" t="s">
        <v>86</v>
      </c>
      <c r="G90" s="1" t="str">
        <f>VLOOKUP($E90,'Activity List CSI'!$D$4:$J$146,G$1,0)</f>
        <v>03</v>
      </c>
      <c r="H90" s="1" t="str">
        <f>VLOOKUP($E90,'Activity List CSI'!$D$4:$J$146,H$1,0)</f>
        <v>ConcreteWork</v>
      </c>
      <c r="I90" s="1" t="str">
        <f>VLOOKUP(D90,'Activity List CSI'!$C$4:$H$146,6,0)</f>
        <v>03300</v>
      </c>
      <c r="J90" s="1" t="str">
        <f>VLOOKUP($E90,'Activity List CSI'!$D$4:$J$146,J$1,0)</f>
        <v>Cast-In-Place Concrete</v>
      </c>
      <c r="K90" s="1" t="s">
        <v>596</v>
      </c>
      <c r="L90" s="1">
        <v>310</v>
      </c>
      <c r="M90" s="1" t="str">
        <f t="shared" si="5"/>
        <v>03300310</v>
      </c>
      <c r="N90" s="12" t="str">
        <f t="shared" si="4"/>
        <v>03300310</v>
      </c>
    </row>
    <row r="91" spans="4:14" x14ac:dyDescent="0.25">
      <c r="D91" s="11" t="s">
        <v>85</v>
      </c>
      <c r="E91" s="134" t="str">
        <f>VLOOKUP(F91,'Activity List CSI'!$B$4:$D$146,3,0)</f>
        <v>03300-06</v>
      </c>
      <c r="F91" s="1" t="s">
        <v>86</v>
      </c>
      <c r="G91" s="1" t="str">
        <f>VLOOKUP($E91,'Activity List CSI'!$D$4:$J$146,G$1,0)</f>
        <v>03</v>
      </c>
      <c r="H91" s="1" t="str">
        <f>VLOOKUP($E91,'Activity List CSI'!$D$4:$J$146,H$1,0)</f>
        <v>ConcreteWork</v>
      </c>
      <c r="I91" s="1" t="str">
        <f>VLOOKUP(D91,'Activity List CSI'!$C$4:$H$146,6,0)</f>
        <v>03300</v>
      </c>
      <c r="J91" s="1" t="str">
        <f>VLOOKUP($E91,'Activity List CSI'!$D$4:$J$146,J$1,0)</f>
        <v>Cast-In-Place Concrete</v>
      </c>
      <c r="K91" s="1" t="s">
        <v>591</v>
      </c>
      <c r="L91" s="1">
        <v>315</v>
      </c>
      <c r="M91" s="1" t="str">
        <f t="shared" si="5"/>
        <v>03300315</v>
      </c>
      <c r="N91" s="12" t="str">
        <f t="shared" si="4"/>
        <v>03300315</v>
      </c>
    </row>
    <row r="92" spans="4:14" x14ac:dyDescent="0.25">
      <c r="D92" s="11" t="s">
        <v>85</v>
      </c>
      <c r="E92" s="134" t="str">
        <f>VLOOKUP(F92,'Activity List CSI'!$B$4:$D$146,3,0)</f>
        <v>03300-06</v>
      </c>
      <c r="F92" s="1" t="s">
        <v>86</v>
      </c>
      <c r="G92" s="1" t="str">
        <f>VLOOKUP($E92,'Activity List CSI'!$D$4:$J$146,G$1,0)</f>
        <v>03</v>
      </c>
      <c r="H92" s="1" t="str">
        <f>VLOOKUP($E92,'Activity List CSI'!$D$4:$J$146,H$1,0)</f>
        <v>ConcreteWork</v>
      </c>
      <c r="I92" s="1" t="str">
        <f>VLOOKUP(D92,'Activity List CSI'!$C$4:$H$146,6,0)</f>
        <v>03300</v>
      </c>
      <c r="J92" s="1" t="str">
        <f>VLOOKUP($E92,'Activity List CSI'!$D$4:$J$146,J$1,0)</f>
        <v>Cast-In-Place Concrete</v>
      </c>
      <c r="K92" s="1" t="s">
        <v>581</v>
      </c>
      <c r="L92" s="1">
        <v>305</v>
      </c>
      <c r="M92" s="1" t="str">
        <f t="shared" si="5"/>
        <v>03300305</v>
      </c>
      <c r="N92" s="12" t="str">
        <f t="shared" si="4"/>
        <v>03300305</v>
      </c>
    </row>
    <row r="93" spans="4:14" x14ac:dyDescent="0.25">
      <c r="D93" s="11" t="s">
        <v>85</v>
      </c>
      <c r="E93" s="134" t="str">
        <f>VLOOKUP(F93,'Activity List CSI'!$B$4:$D$146,3,0)</f>
        <v>03300-06</v>
      </c>
      <c r="F93" s="1" t="s">
        <v>86</v>
      </c>
      <c r="G93" s="1" t="str">
        <f>VLOOKUP($E93,'Activity List CSI'!$D$4:$J$146,G$1,0)</f>
        <v>03</v>
      </c>
      <c r="H93" s="1" t="str">
        <f>VLOOKUP($E93,'Activity List CSI'!$D$4:$J$146,H$1,0)</f>
        <v>ConcreteWork</v>
      </c>
      <c r="I93" s="1" t="str">
        <f>VLOOKUP(D93,'Activity List CSI'!$C$4:$H$146,6,0)</f>
        <v>03300</v>
      </c>
      <c r="J93" s="1" t="str">
        <f>VLOOKUP($E93,'Activity List CSI'!$D$4:$J$146,J$1,0)</f>
        <v>Cast-In-Place Concrete</v>
      </c>
      <c r="K93" s="1" t="s">
        <v>596</v>
      </c>
      <c r="L93" s="1">
        <v>310</v>
      </c>
      <c r="M93" s="1" t="str">
        <f t="shared" si="5"/>
        <v>03300310</v>
      </c>
      <c r="N93" s="12" t="str">
        <f t="shared" si="4"/>
        <v>03300310</v>
      </c>
    </row>
    <row r="94" spans="4:14" x14ac:dyDescent="0.25">
      <c r="D94" s="11" t="s">
        <v>85</v>
      </c>
      <c r="E94" s="134" t="str">
        <f>VLOOKUP(F94,'Activity List CSI'!$B$4:$D$146,3,0)</f>
        <v>03300-06</v>
      </c>
      <c r="F94" s="1" t="s">
        <v>86</v>
      </c>
      <c r="G94" s="1" t="str">
        <f>VLOOKUP($E94,'Activity List CSI'!$D$4:$J$146,G$1,0)</f>
        <v>03</v>
      </c>
      <c r="H94" s="1" t="str">
        <f>VLOOKUP($E94,'Activity List CSI'!$D$4:$J$146,H$1,0)</f>
        <v>ConcreteWork</v>
      </c>
      <c r="I94" s="1" t="str">
        <f>VLOOKUP(D94,'Activity List CSI'!$C$4:$H$146,6,0)</f>
        <v>03300</v>
      </c>
      <c r="J94" s="1" t="str">
        <f>VLOOKUP($E94,'Activity List CSI'!$D$4:$J$146,J$1,0)</f>
        <v>Cast-In-Place Concrete</v>
      </c>
      <c r="K94" s="1" t="s">
        <v>591</v>
      </c>
      <c r="L94" s="1">
        <v>315</v>
      </c>
      <c r="M94" s="1" t="str">
        <f t="shared" si="5"/>
        <v>03300315</v>
      </c>
      <c r="N94" s="12" t="str">
        <f t="shared" si="4"/>
        <v>03300315</v>
      </c>
    </row>
    <row r="95" spans="4:14" x14ac:dyDescent="0.25">
      <c r="D95" s="11" t="s">
        <v>87</v>
      </c>
      <c r="E95" s="134" t="str">
        <f>VLOOKUP(F95,'Activity List CSI'!$B$4:$D$146,3,0)</f>
        <v>03300-07</v>
      </c>
      <c r="F95" s="1" t="s">
        <v>88</v>
      </c>
      <c r="G95" s="1" t="str">
        <f>VLOOKUP($E95,'Activity List CSI'!$D$4:$J$146,G$1,0)</f>
        <v>03</v>
      </c>
      <c r="H95" s="1" t="str">
        <f>VLOOKUP($E95,'Activity List CSI'!$D$4:$J$146,H$1,0)</f>
        <v>ConcreteWork</v>
      </c>
      <c r="I95" s="1" t="str">
        <f>VLOOKUP(D95,'Activity List CSI'!$C$4:$H$146,6,0)</f>
        <v>03300</v>
      </c>
      <c r="J95" s="1" t="str">
        <f>VLOOKUP($E95,'Activity List CSI'!$D$4:$J$146,J$1,0)</f>
        <v>Cast-In-Place Concrete</v>
      </c>
      <c r="K95" s="1" t="s">
        <v>581</v>
      </c>
      <c r="L95" s="1">
        <v>305</v>
      </c>
      <c r="M95" s="1" t="str">
        <f t="shared" si="5"/>
        <v>03300305</v>
      </c>
      <c r="N95" s="12" t="str">
        <f t="shared" si="4"/>
        <v>03300305</v>
      </c>
    </row>
    <row r="96" spans="4:14" x14ac:dyDescent="0.25">
      <c r="D96" s="11" t="s">
        <v>87</v>
      </c>
      <c r="E96" s="134" t="str">
        <f>VLOOKUP(F96,'Activity List CSI'!$B$4:$D$146,3,0)</f>
        <v>03300-07</v>
      </c>
      <c r="F96" s="1" t="s">
        <v>88</v>
      </c>
      <c r="G96" s="1" t="str">
        <f>VLOOKUP($E96,'Activity List CSI'!$D$4:$J$146,G$1,0)</f>
        <v>03</v>
      </c>
      <c r="H96" s="1" t="str">
        <f>VLOOKUP($E96,'Activity List CSI'!$D$4:$J$146,H$1,0)</f>
        <v>ConcreteWork</v>
      </c>
      <c r="I96" s="1" t="str">
        <f>VLOOKUP(D96,'Activity List CSI'!$C$4:$H$146,6,0)</f>
        <v>03300</v>
      </c>
      <c r="J96" s="1" t="str">
        <f>VLOOKUP($E96,'Activity List CSI'!$D$4:$J$146,J$1,0)</f>
        <v>Cast-In-Place Concrete</v>
      </c>
      <c r="K96" s="1" t="s">
        <v>596</v>
      </c>
      <c r="L96" s="1">
        <v>310</v>
      </c>
      <c r="M96" s="1" t="str">
        <f t="shared" si="5"/>
        <v>03300310</v>
      </c>
      <c r="N96" s="12" t="str">
        <f t="shared" si="4"/>
        <v>03300310</v>
      </c>
    </row>
    <row r="97" spans="4:14" x14ac:dyDescent="0.25">
      <c r="D97" s="11" t="s">
        <v>87</v>
      </c>
      <c r="E97" s="134" t="str">
        <f>VLOOKUP(F97,'Activity List CSI'!$B$4:$D$146,3,0)</f>
        <v>03300-07</v>
      </c>
      <c r="F97" s="1" t="s">
        <v>88</v>
      </c>
      <c r="G97" s="1" t="str">
        <f>VLOOKUP($E97,'Activity List CSI'!$D$4:$J$146,G$1,0)</f>
        <v>03</v>
      </c>
      <c r="H97" s="1" t="str">
        <f>VLOOKUP($E97,'Activity List CSI'!$D$4:$J$146,H$1,0)</f>
        <v>ConcreteWork</v>
      </c>
      <c r="I97" s="1" t="str">
        <f>VLOOKUP(D97,'Activity List CSI'!$C$4:$H$146,6,0)</f>
        <v>03300</v>
      </c>
      <c r="J97" s="1" t="str">
        <f>VLOOKUP($E97,'Activity List CSI'!$D$4:$J$146,J$1,0)</f>
        <v>Cast-In-Place Concrete</v>
      </c>
      <c r="K97" s="1" t="s">
        <v>591</v>
      </c>
      <c r="L97" s="1">
        <v>315</v>
      </c>
      <c r="M97" s="1" t="str">
        <f t="shared" si="5"/>
        <v>03300315</v>
      </c>
      <c r="N97" s="12" t="str">
        <f t="shared" si="4"/>
        <v>03300315</v>
      </c>
    </row>
    <row r="98" spans="4:14" x14ac:dyDescent="0.25">
      <c r="D98" s="11" t="s">
        <v>87</v>
      </c>
      <c r="E98" s="134" t="str">
        <f>VLOOKUP(F98,'Activity List CSI'!$B$4:$D$146,3,0)</f>
        <v>03300-07</v>
      </c>
      <c r="F98" s="1" t="s">
        <v>88</v>
      </c>
      <c r="G98" s="1" t="str">
        <f>VLOOKUP($E98,'Activity List CSI'!$D$4:$J$146,G$1,0)</f>
        <v>03</v>
      </c>
      <c r="H98" s="1" t="str">
        <f>VLOOKUP($E98,'Activity List CSI'!$D$4:$J$146,H$1,0)</f>
        <v>ConcreteWork</v>
      </c>
      <c r="I98" s="1" t="str">
        <f>VLOOKUP(D98,'Activity List CSI'!$C$4:$H$146,6,0)</f>
        <v>03300</v>
      </c>
      <c r="J98" s="1" t="str">
        <f>VLOOKUP($E98,'Activity List CSI'!$D$4:$J$146,J$1,0)</f>
        <v>Cast-In-Place Concrete</v>
      </c>
      <c r="K98" s="1" t="s">
        <v>581</v>
      </c>
      <c r="L98" s="1">
        <v>305</v>
      </c>
      <c r="M98" s="1" t="str">
        <f t="shared" si="5"/>
        <v>03300305</v>
      </c>
      <c r="N98" s="12" t="str">
        <f t="shared" si="4"/>
        <v>03300305</v>
      </c>
    </row>
    <row r="99" spans="4:14" x14ac:dyDescent="0.25">
      <c r="D99" s="11" t="s">
        <v>87</v>
      </c>
      <c r="E99" s="134" t="str">
        <f>VLOOKUP(F99,'Activity List CSI'!$B$4:$D$146,3,0)</f>
        <v>03300-07</v>
      </c>
      <c r="F99" s="1" t="s">
        <v>88</v>
      </c>
      <c r="G99" s="1" t="str">
        <f>VLOOKUP($E99,'Activity List CSI'!$D$4:$J$146,G$1,0)</f>
        <v>03</v>
      </c>
      <c r="H99" s="1" t="str">
        <f>VLOOKUP($E99,'Activity List CSI'!$D$4:$J$146,H$1,0)</f>
        <v>ConcreteWork</v>
      </c>
      <c r="I99" s="1" t="str">
        <f>VLOOKUP(D99,'Activity List CSI'!$C$4:$H$146,6,0)</f>
        <v>03300</v>
      </c>
      <c r="J99" s="1" t="str">
        <f>VLOOKUP($E99,'Activity List CSI'!$D$4:$J$146,J$1,0)</f>
        <v>Cast-In-Place Concrete</v>
      </c>
      <c r="K99" s="1" t="s">
        <v>596</v>
      </c>
      <c r="L99" s="1">
        <v>310</v>
      </c>
      <c r="M99" s="1" t="str">
        <f t="shared" si="5"/>
        <v>03300310</v>
      </c>
      <c r="N99" s="12" t="str">
        <f t="shared" si="4"/>
        <v>03300310</v>
      </c>
    </row>
    <row r="100" spans="4:14" x14ac:dyDescent="0.25">
      <c r="D100" s="11" t="s">
        <v>87</v>
      </c>
      <c r="E100" s="134" t="str">
        <f>VLOOKUP(F100,'Activity List CSI'!$B$4:$D$146,3,0)</f>
        <v>03300-07</v>
      </c>
      <c r="F100" s="1" t="s">
        <v>88</v>
      </c>
      <c r="G100" s="1" t="str">
        <f>VLOOKUP($E100,'Activity List CSI'!$D$4:$J$146,G$1,0)</f>
        <v>03</v>
      </c>
      <c r="H100" s="1" t="str">
        <f>VLOOKUP($E100,'Activity List CSI'!$D$4:$J$146,H$1,0)</f>
        <v>ConcreteWork</v>
      </c>
      <c r="I100" s="1" t="str">
        <f>VLOOKUP(D100,'Activity List CSI'!$C$4:$H$146,6,0)</f>
        <v>03300</v>
      </c>
      <c r="J100" s="1" t="str">
        <f>VLOOKUP($E100,'Activity List CSI'!$D$4:$J$146,J$1,0)</f>
        <v>Cast-In-Place Concrete</v>
      </c>
      <c r="K100" s="1" t="s">
        <v>591</v>
      </c>
      <c r="L100" s="1">
        <v>315</v>
      </c>
      <c r="M100" s="1" t="str">
        <f t="shared" si="5"/>
        <v>03300315</v>
      </c>
      <c r="N100" s="12" t="str">
        <f t="shared" si="4"/>
        <v>03300315</v>
      </c>
    </row>
    <row r="101" spans="4:14" x14ac:dyDescent="0.25">
      <c r="D101" s="11" t="s">
        <v>89</v>
      </c>
      <c r="E101" s="134" t="str">
        <f>VLOOKUP(F101,'Activity List CSI'!$B$4:$D$146,3,0)</f>
        <v>03300-08</v>
      </c>
      <c r="F101" s="1" t="s">
        <v>90</v>
      </c>
      <c r="G101" s="1" t="str">
        <f>VLOOKUP($E101,'Activity List CSI'!$D$4:$J$146,G$1,0)</f>
        <v>03</v>
      </c>
      <c r="H101" s="1" t="str">
        <f>VLOOKUP($E101,'Activity List CSI'!$D$4:$J$146,H$1,0)</f>
        <v>ConcreteWork</v>
      </c>
      <c r="I101" s="1" t="str">
        <f>VLOOKUP(D101,'Activity List CSI'!$C$4:$H$146,6,0)</f>
        <v>03300</v>
      </c>
      <c r="J101" s="1" t="str">
        <f>VLOOKUP($E101,'Activity List CSI'!$D$4:$J$146,J$1,0)</f>
        <v>Cast-In-Place Concrete</v>
      </c>
      <c r="K101" s="1" t="s">
        <v>581</v>
      </c>
      <c r="L101" s="1">
        <v>305</v>
      </c>
      <c r="M101" s="1" t="str">
        <f t="shared" si="5"/>
        <v>03300305</v>
      </c>
      <c r="N101" s="12" t="str">
        <f t="shared" si="4"/>
        <v>03300305</v>
      </c>
    </row>
    <row r="102" spans="4:14" x14ac:dyDescent="0.25">
      <c r="D102" s="11" t="s">
        <v>89</v>
      </c>
      <c r="E102" s="134" t="str">
        <f>VLOOKUP(F102,'Activity List CSI'!$B$4:$D$146,3,0)</f>
        <v>03300-08</v>
      </c>
      <c r="F102" s="1" t="s">
        <v>90</v>
      </c>
      <c r="G102" s="1" t="str">
        <f>VLOOKUP($E102,'Activity List CSI'!$D$4:$J$146,G$1,0)</f>
        <v>03</v>
      </c>
      <c r="H102" s="1" t="str">
        <f>VLOOKUP($E102,'Activity List CSI'!$D$4:$J$146,H$1,0)</f>
        <v>ConcreteWork</v>
      </c>
      <c r="I102" s="1" t="str">
        <f>VLOOKUP(D102,'Activity List CSI'!$C$4:$H$146,6,0)</f>
        <v>03300</v>
      </c>
      <c r="J102" s="1" t="str">
        <f>VLOOKUP($E102,'Activity List CSI'!$D$4:$J$146,J$1,0)</f>
        <v>Cast-In-Place Concrete</v>
      </c>
      <c r="K102" s="1" t="s">
        <v>596</v>
      </c>
      <c r="L102" s="1">
        <v>310</v>
      </c>
      <c r="M102" s="1" t="str">
        <f t="shared" si="5"/>
        <v>03300310</v>
      </c>
      <c r="N102" s="12" t="str">
        <f t="shared" si="4"/>
        <v>03300310</v>
      </c>
    </row>
    <row r="103" spans="4:14" x14ac:dyDescent="0.25">
      <c r="D103" s="11" t="s">
        <v>89</v>
      </c>
      <c r="E103" s="134" t="str">
        <f>VLOOKUP(F103,'Activity List CSI'!$B$4:$D$146,3,0)</f>
        <v>03300-08</v>
      </c>
      <c r="F103" s="1" t="s">
        <v>90</v>
      </c>
      <c r="G103" s="1" t="str">
        <f>VLOOKUP($E103,'Activity List CSI'!$D$4:$J$146,G$1,0)</f>
        <v>03</v>
      </c>
      <c r="H103" s="1" t="str">
        <f>VLOOKUP($E103,'Activity List CSI'!$D$4:$J$146,H$1,0)</f>
        <v>ConcreteWork</v>
      </c>
      <c r="I103" s="1" t="str">
        <f>VLOOKUP(D103,'Activity List CSI'!$C$4:$H$146,6,0)</f>
        <v>03300</v>
      </c>
      <c r="J103" s="1" t="str">
        <f>VLOOKUP($E103,'Activity List CSI'!$D$4:$J$146,J$1,0)</f>
        <v>Cast-In-Place Concrete</v>
      </c>
      <c r="K103" s="1" t="s">
        <v>591</v>
      </c>
      <c r="L103" s="1">
        <v>315</v>
      </c>
      <c r="M103" s="1" t="str">
        <f t="shared" si="5"/>
        <v>03300315</v>
      </c>
      <c r="N103" s="12" t="str">
        <f t="shared" si="4"/>
        <v>03300315</v>
      </c>
    </row>
    <row r="104" spans="4:14" x14ac:dyDescent="0.25">
      <c r="D104" s="11" t="s">
        <v>89</v>
      </c>
      <c r="E104" s="134" t="str">
        <f>VLOOKUP(F104,'Activity List CSI'!$B$4:$D$146,3,0)</f>
        <v>03300-08</v>
      </c>
      <c r="F104" s="1" t="s">
        <v>90</v>
      </c>
      <c r="G104" s="1" t="str">
        <f>VLOOKUP($E104,'Activity List CSI'!$D$4:$J$146,G$1,0)</f>
        <v>03</v>
      </c>
      <c r="H104" s="1" t="str">
        <f>VLOOKUP($E104,'Activity List CSI'!$D$4:$J$146,H$1,0)</f>
        <v>ConcreteWork</v>
      </c>
      <c r="I104" s="1" t="str">
        <f>VLOOKUP(D104,'Activity List CSI'!$C$4:$H$146,6,0)</f>
        <v>03300</v>
      </c>
      <c r="J104" s="1" t="str">
        <f>VLOOKUP($E104,'Activity List CSI'!$D$4:$J$146,J$1,0)</f>
        <v>Cast-In-Place Concrete</v>
      </c>
      <c r="K104" s="1" t="s">
        <v>581</v>
      </c>
      <c r="L104" s="1">
        <v>305</v>
      </c>
      <c r="M104" s="1" t="str">
        <f t="shared" si="5"/>
        <v>03300305</v>
      </c>
      <c r="N104" s="12" t="str">
        <f t="shared" si="4"/>
        <v>03300305</v>
      </c>
    </row>
    <row r="105" spans="4:14" x14ac:dyDescent="0.25">
      <c r="D105" s="11" t="s">
        <v>89</v>
      </c>
      <c r="E105" s="134" t="str">
        <f>VLOOKUP(F105,'Activity List CSI'!$B$4:$D$146,3,0)</f>
        <v>03300-08</v>
      </c>
      <c r="F105" s="1" t="s">
        <v>90</v>
      </c>
      <c r="G105" s="1" t="str">
        <f>VLOOKUP($E105,'Activity List CSI'!$D$4:$J$146,G$1,0)</f>
        <v>03</v>
      </c>
      <c r="H105" s="1" t="str">
        <f>VLOOKUP($E105,'Activity List CSI'!$D$4:$J$146,H$1,0)</f>
        <v>ConcreteWork</v>
      </c>
      <c r="I105" s="1" t="str">
        <f>VLOOKUP(D105,'Activity List CSI'!$C$4:$H$146,6,0)</f>
        <v>03300</v>
      </c>
      <c r="J105" s="1" t="str">
        <f>VLOOKUP($E105,'Activity List CSI'!$D$4:$J$146,J$1,0)</f>
        <v>Cast-In-Place Concrete</v>
      </c>
      <c r="K105" s="1" t="s">
        <v>596</v>
      </c>
      <c r="L105" s="1">
        <v>310</v>
      </c>
      <c r="M105" s="1" t="str">
        <f t="shared" si="5"/>
        <v>03300310</v>
      </c>
      <c r="N105" s="12" t="str">
        <f t="shared" si="4"/>
        <v>03300310</v>
      </c>
    </row>
    <row r="106" spans="4:14" x14ac:dyDescent="0.25">
      <c r="D106" s="11" t="s">
        <v>89</v>
      </c>
      <c r="E106" s="134" t="str">
        <f>VLOOKUP(F106,'Activity List CSI'!$B$4:$D$146,3,0)</f>
        <v>03300-08</v>
      </c>
      <c r="F106" s="1" t="s">
        <v>90</v>
      </c>
      <c r="G106" s="1" t="str">
        <f>VLOOKUP($E106,'Activity List CSI'!$D$4:$J$146,G$1,0)</f>
        <v>03</v>
      </c>
      <c r="H106" s="1" t="str">
        <f>VLOOKUP($E106,'Activity List CSI'!$D$4:$J$146,H$1,0)</f>
        <v>ConcreteWork</v>
      </c>
      <c r="I106" s="1" t="str">
        <f>VLOOKUP(D106,'Activity List CSI'!$C$4:$H$146,6,0)</f>
        <v>03300</v>
      </c>
      <c r="J106" s="1" t="str">
        <f>VLOOKUP($E106,'Activity List CSI'!$D$4:$J$146,J$1,0)</f>
        <v>Cast-In-Place Concrete</v>
      </c>
      <c r="K106" s="1" t="s">
        <v>591</v>
      </c>
      <c r="L106" s="1">
        <v>315</v>
      </c>
      <c r="M106" s="1" t="str">
        <f t="shared" si="5"/>
        <v>03300315</v>
      </c>
      <c r="N106" s="12" t="str">
        <f t="shared" si="4"/>
        <v>03300315</v>
      </c>
    </row>
    <row r="107" spans="4:14" x14ac:dyDescent="0.25">
      <c r="D107" s="11" t="s">
        <v>91</v>
      </c>
      <c r="E107" s="134" t="str">
        <f>VLOOKUP(F107,'Activity List CSI'!$B$4:$D$146,3,0)</f>
        <v>03300-09</v>
      </c>
      <c r="F107" s="1" t="s">
        <v>92</v>
      </c>
      <c r="G107" s="1" t="str">
        <f>VLOOKUP($E107,'Activity List CSI'!$D$4:$J$146,G$1,0)</f>
        <v>03</v>
      </c>
      <c r="H107" s="1" t="str">
        <f>VLOOKUP($E107,'Activity List CSI'!$D$4:$J$146,H$1,0)</f>
        <v>ConcreteWork</v>
      </c>
      <c r="I107" s="1" t="str">
        <f>VLOOKUP(D107,'Activity List CSI'!$C$4:$H$146,6,0)</f>
        <v>03300</v>
      </c>
      <c r="J107" s="1" t="str">
        <f>VLOOKUP($E107,'Activity List CSI'!$D$4:$J$146,J$1,0)</f>
        <v>Cast-In-Place Concrete</v>
      </c>
      <c r="K107" s="1" t="s">
        <v>581</v>
      </c>
      <c r="L107" s="1">
        <v>305</v>
      </c>
      <c r="M107" s="1" t="str">
        <f t="shared" si="5"/>
        <v>03300305</v>
      </c>
      <c r="N107" s="12" t="str">
        <f t="shared" si="4"/>
        <v>03300305</v>
      </c>
    </row>
    <row r="108" spans="4:14" x14ac:dyDescent="0.25">
      <c r="D108" s="11" t="s">
        <v>91</v>
      </c>
      <c r="E108" s="134" t="str">
        <f>VLOOKUP(F108,'Activity List CSI'!$B$4:$D$146,3,0)</f>
        <v>03300-09</v>
      </c>
      <c r="F108" s="1" t="s">
        <v>92</v>
      </c>
      <c r="G108" s="1" t="str">
        <f>VLOOKUP($E108,'Activity List CSI'!$D$4:$J$146,G$1,0)</f>
        <v>03</v>
      </c>
      <c r="H108" s="1" t="str">
        <f>VLOOKUP($E108,'Activity List CSI'!$D$4:$J$146,H$1,0)</f>
        <v>ConcreteWork</v>
      </c>
      <c r="I108" s="1" t="str">
        <f>VLOOKUP(D108,'Activity List CSI'!$C$4:$H$146,6,0)</f>
        <v>03300</v>
      </c>
      <c r="J108" s="1" t="str">
        <f>VLOOKUP($E108,'Activity List CSI'!$D$4:$J$146,J$1,0)</f>
        <v>Cast-In-Place Concrete</v>
      </c>
      <c r="K108" s="1" t="s">
        <v>596</v>
      </c>
      <c r="L108" s="1">
        <v>310</v>
      </c>
      <c r="M108" s="1" t="str">
        <f t="shared" si="5"/>
        <v>03300310</v>
      </c>
      <c r="N108" s="12" t="str">
        <f t="shared" si="4"/>
        <v>03300310</v>
      </c>
    </row>
    <row r="109" spans="4:14" x14ac:dyDescent="0.25">
      <c r="D109" s="11" t="s">
        <v>91</v>
      </c>
      <c r="E109" s="134" t="str">
        <f>VLOOKUP(F109,'Activity List CSI'!$B$4:$D$146,3,0)</f>
        <v>03300-09</v>
      </c>
      <c r="F109" s="1" t="s">
        <v>92</v>
      </c>
      <c r="G109" s="1" t="str">
        <f>VLOOKUP($E109,'Activity List CSI'!$D$4:$J$146,G$1,0)</f>
        <v>03</v>
      </c>
      <c r="H109" s="1" t="str">
        <f>VLOOKUP($E109,'Activity List CSI'!$D$4:$J$146,H$1,0)</f>
        <v>ConcreteWork</v>
      </c>
      <c r="I109" s="1" t="str">
        <f>VLOOKUP(D109,'Activity List CSI'!$C$4:$H$146,6,0)</f>
        <v>03300</v>
      </c>
      <c r="J109" s="1" t="str">
        <f>VLOOKUP($E109,'Activity List CSI'!$D$4:$J$146,J$1,0)</f>
        <v>Cast-In-Place Concrete</v>
      </c>
      <c r="K109" s="1" t="s">
        <v>591</v>
      </c>
      <c r="L109" s="1">
        <v>315</v>
      </c>
      <c r="M109" s="1" t="str">
        <f t="shared" si="5"/>
        <v>03300315</v>
      </c>
      <c r="N109" s="12" t="str">
        <f t="shared" si="4"/>
        <v>03300315</v>
      </c>
    </row>
    <row r="110" spans="4:14" x14ac:dyDescent="0.25">
      <c r="D110" s="11" t="s">
        <v>91</v>
      </c>
      <c r="E110" s="134" t="str">
        <f>VLOOKUP(F110,'Activity List CSI'!$B$4:$D$146,3,0)</f>
        <v>03300-09</v>
      </c>
      <c r="F110" s="1" t="s">
        <v>92</v>
      </c>
      <c r="G110" s="1" t="str">
        <f>VLOOKUP($E110,'Activity List CSI'!$D$4:$J$146,G$1,0)</f>
        <v>03</v>
      </c>
      <c r="H110" s="1" t="str">
        <f>VLOOKUP($E110,'Activity List CSI'!$D$4:$J$146,H$1,0)</f>
        <v>ConcreteWork</v>
      </c>
      <c r="I110" s="1" t="str">
        <f>VLOOKUP(D110,'Activity List CSI'!$C$4:$H$146,6,0)</f>
        <v>03300</v>
      </c>
      <c r="J110" s="1" t="str">
        <f>VLOOKUP($E110,'Activity List CSI'!$D$4:$J$146,J$1,0)</f>
        <v>Cast-In-Place Concrete</v>
      </c>
      <c r="K110" s="1" t="s">
        <v>581</v>
      </c>
      <c r="L110" s="1">
        <v>305</v>
      </c>
      <c r="M110" s="1" t="str">
        <f t="shared" si="5"/>
        <v>03300305</v>
      </c>
      <c r="N110" s="12" t="str">
        <f t="shared" si="4"/>
        <v>03300305</v>
      </c>
    </row>
    <row r="111" spans="4:14" x14ac:dyDescent="0.25">
      <c r="D111" s="11" t="s">
        <v>91</v>
      </c>
      <c r="E111" s="134" t="str">
        <f>VLOOKUP(F111,'Activity List CSI'!$B$4:$D$146,3,0)</f>
        <v>03300-09</v>
      </c>
      <c r="F111" s="1" t="s">
        <v>92</v>
      </c>
      <c r="G111" s="1" t="str">
        <f>VLOOKUP($E111,'Activity List CSI'!$D$4:$J$146,G$1,0)</f>
        <v>03</v>
      </c>
      <c r="H111" s="1" t="str">
        <f>VLOOKUP($E111,'Activity List CSI'!$D$4:$J$146,H$1,0)</f>
        <v>ConcreteWork</v>
      </c>
      <c r="I111" s="1" t="str">
        <f>VLOOKUP(D111,'Activity List CSI'!$C$4:$H$146,6,0)</f>
        <v>03300</v>
      </c>
      <c r="J111" s="1" t="str">
        <f>VLOOKUP($E111,'Activity List CSI'!$D$4:$J$146,J$1,0)</f>
        <v>Cast-In-Place Concrete</v>
      </c>
      <c r="K111" s="1" t="s">
        <v>596</v>
      </c>
      <c r="L111" s="1">
        <v>310</v>
      </c>
      <c r="M111" s="1" t="str">
        <f t="shared" si="5"/>
        <v>03300310</v>
      </c>
      <c r="N111" s="12" t="str">
        <f t="shared" si="4"/>
        <v>03300310</v>
      </c>
    </row>
    <row r="112" spans="4:14" x14ac:dyDescent="0.25">
      <c r="D112" s="11" t="s">
        <v>91</v>
      </c>
      <c r="E112" s="134" t="str">
        <f>VLOOKUP(F112,'Activity List CSI'!$B$4:$D$146,3,0)</f>
        <v>03300-09</v>
      </c>
      <c r="F112" s="1" t="s">
        <v>92</v>
      </c>
      <c r="G112" s="1" t="str">
        <f>VLOOKUP($E112,'Activity List CSI'!$D$4:$J$146,G$1,0)</f>
        <v>03</v>
      </c>
      <c r="H112" s="1" t="str">
        <f>VLOOKUP($E112,'Activity List CSI'!$D$4:$J$146,H$1,0)</f>
        <v>ConcreteWork</v>
      </c>
      <c r="I112" s="1" t="str">
        <f>VLOOKUP(D112,'Activity List CSI'!$C$4:$H$146,6,0)</f>
        <v>03300</v>
      </c>
      <c r="J112" s="1" t="str">
        <f>VLOOKUP($E112,'Activity List CSI'!$D$4:$J$146,J$1,0)</f>
        <v>Cast-In-Place Concrete</v>
      </c>
      <c r="K112" s="1" t="s">
        <v>591</v>
      </c>
      <c r="L112" s="1">
        <v>315</v>
      </c>
      <c r="M112" s="1" t="str">
        <f t="shared" si="5"/>
        <v>03300315</v>
      </c>
      <c r="N112" s="12" t="str">
        <f t="shared" si="4"/>
        <v>03300315</v>
      </c>
    </row>
    <row r="113" spans="4:14" x14ac:dyDescent="0.25">
      <c r="D113" s="11" t="s">
        <v>93</v>
      </c>
      <c r="E113" s="134" t="str">
        <f>VLOOKUP(F113,'Activity List CSI'!$B$4:$D$146,3,0)</f>
        <v>03300-10</v>
      </c>
      <c r="F113" s="1" t="s">
        <v>94</v>
      </c>
      <c r="G113" s="1" t="str">
        <f>VLOOKUP($E113,'Activity List CSI'!$D$4:$J$146,G$1,0)</f>
        <v>03</v>
      </c>
      <c r="H113" s="1" t="str">
        <f>VLOOKUP($E113,'Activity List CSI'!$D$4:$J$146,H$1,0)</f>
        <v>ConcreteWork</v>
      </c>
      <c r="I113" s="1" t="str">
        <f>VLOOKUP(D113,'Activity List CSI'!$C$4:$H$146,6,0)</f>
        <v>03300</v>
      </c>
      <c r="J113" s="1" t="str">
        <f>VLOOKUP($E113,'Activity List CSI'!$D$4:$J$146,J$1,0)</f>
        <v>Cast-In-Place Concrete</v>
      </c>
      <c r="K113" s="1" t="s">
        <v>581</v>
      </c>
      <c r="L113" s="1">
        <v>305</v>
      </c>
      <c r="M113" s="1" t="str">
        <f t="shared" si="5"/>
        <v>03300305</v>
      </c>
      <c r="N113" s="12" t="str">
        <f t="shared" si="4"/>
        <v>03300305</v>
      </c>
    </row>
    <row r="114" spans="4:14" x14ac:dyDescent="0.25">
      <c r="D114" s="11" t="s">
        <v>93</v>
      </c>
      <c r="E114" s="134" t="str">
        <f>VLOOKUP(F114,'Activity List CSI'!$B$4:$D$146,3,0)</f>
        <v>03300-10</v>
      </c>
      <c r="F114" s="1" t="s">
        <v>94</v>
      </c>
      <c r="G114" s="1" t="str">
        <f>VLOOKUP($E114,'Activity List CSI'!$D$4:$J$146,G$1,0)</f>
        <v>03</v>
      </c>
      <c r="H114" s="1" t="str">
        <f>VLOOKUP($E114,'Activity List CSI'!$D$4:$J$146,H$1,0)</f>
        <v>ConcreteWork</v>
      </c>
      <c r="I114" s="1" t="str">
        <f>VLOOKUP(D114,'Activity List CSI'!$C$4:$H$146,6,0)</f>
        <v>03300</v>
      </c>
      <c r="J114" s="1" t="str">
        <f>VLOOKUP($E114,'Activity List CSI'!$D$4:$J$146,J$1,0)</f>
        <v>Cast-In-Place Concrete</v>
      </c>
      <c r="K114" s="1" t="s">
        <v>596</v>
      </c>
      <c r="L114" s="1">
        <v>310</v>
      </c>
      <c r="M114" s="1" t="str">
        <f t="shared" si="5"/>
        <v>03300310</v>
      </c>
      <c r="N114" s="12" t="str">
        <f t="shared" si="4"/>
        <v>03300310</v>
      </c>
    </row>
    <row r="115" spans="4:14" x14ac:dyDescent="0.25">
      <c r="D115" s="11" t="s">
        <v>93</v>
      </c>
      <c r="E115" s="134" t="str">
        <f>VLOOKUP(F115,'Activity List CSI'!$B$4:$D$146,3,0)</f>
        <v>03300-10</v>
      </c>
      <c r="F115" s="1" t="s">
        <v>94</v>
      </c>
      <c r="G115" s="1" t="str">
        <f>VLOOKUP($E115,'Activity List CSI'!$D$4:$J$146,G$1,0)</f>
        <v>03</v>
      </c>
      <c r="H115" s="1" t="str">
        <f>VLOOKUP($E115,'Activity List CSI'!$D$4:$J$146,H$1,0)</f>
        <v>ConcreteWork</v>
      </c>
      <c r="I115" s="1" t="str">
        <f>VLOOKUP(D115,'Activity List CSI'!$C$4:$H$146,6,0)</f>
        <v>03300</v>
      </c>
      <c r="J115" s="1" t="str">
        <f>VLOOKUP($E115,'Activity List CSI'!$D$4:$J$146,J$1,0)</f>
        <v>Cast-In-Place Concrete</v>
      </c>
      <c r="K115" s="1" t="s">
        <v>591</v>
      </c>
      <c r="L115" s="1">
        <v>315</v>
      </c>
      <c r="M115" s="1" t="str">
        <f t="shared" si="5"/>
        <v>03300315</v>
      </c>
      <c r="N115" s="12" t="str">
        <f t="shared" si="4"/>
        <v>03300315</v>
      </c>
    </row>
    <row r="116" spans="4:14" x14ac:dyDescent="0.25">
      <c r="D116" s="11" t="s">
        <v>93</v>
      </c>
      <c r="E116" s="134" t="str">
        <f>VLOOKUP(F116,'Activity List CSI'!$B$4:$D$146,3,0)</f>
        <v>03300-10</v>
      </c>
      <c r="F116" s="1" t="s">
        <v>94</v>
      </c>
      <c r="G116" s="1" t="str">
        <f>VLOOKUP($E116,'Activity List CSI'!$D$4:$J$146,G$1,0)</f>
        <v>03</v>
      </c>
      <c r="H116" s="1" t="str">
        <f>VLOOKUP($E116,'Activity List CSI'!$D$4:$J$146,H$1,0)</f>
        <v>ConcreteWork</v>
      </c>
      <c r="I116" s="1" t="str">
        <f>VLOOKUP(D116,'Activity List CSI'!$C$4:$H$146,6,0)</f>
        <v>03300</v>
      </c>
      <c r="J116" s="1" t="str">
        <f>VLOOKUP($E116,'Activity List CSI'!$D$4:$J$146,J$1,0)</f>
        <v>Cast-In-Place Concrete</v>
      </c>
      <c r="K116" s="1" t="s">
        <v>581</v>
      </c>
      <c r="L116" s="1">
        <v>305</v>
      </c>
      <c r="M116" s="1" t="str">
        <f t="shared" si="5"/>
        <v>03300305</v>
      </c>
      <c r="N116" s="12" t="str">
        <f t="shared" si="4"/>
        <v>03300305</v>
      </c>
    </row>
    <row r="117" spans="4:14" x14ac:dyDescent="0.25">
      <c r="D117" s="11" t="s">
        <v>93</v>
      </c>
      <c r="E117" s="134" t="str">
        <f>VLOOKUP(F117,'Activity List CSI'!$B$4:$D$146,3,0)</f>
        <v>03300-10</v>
      </c>
      <c r="F117" s="1" t="s">
        <v>94</v>
      </c>
      <c r="G117" s="1" t="str">
        <f>VLOOKUP($E117,'Activity List CSI'!$D$4:$J$146,G$1,0)</f>
        <v>03</v>
      </c>
      <c r="H117" s="1" t="str">
        <f>VLOOKUP($E117,'Activity List CSI'!$D$4:$J$146,H$1,0)</f>
        <v>ConcreteWork</v>
      </c>
      <c r="I117" s="1" t="str">
        <f>VLOOKUP(D117,'Activity List CSI'!$C$4:$H$146,6,0)</f>
        <v>03300</v>
      </c>
      <c r="J117" s="1" t="str">
        <f>VLOOKUP($E117,'Activity List CSI'!$D$4:$J$146,J$1,0)</f>
        <v>Cast-In-Place Concrete</v>
      </c>
      <c r="K117" s="1" t="s">
        <v>596</v>
      </c>
      <c r="L117" s="1">
        <v>310</v>
      </c>
      <c r="M117" s="1" t="str">
        <f t="shared" si="5"/>
        <v>03300310</v>
      </c>
      <c r="N117" s="12" t="str">
        <f t="shared" si="4"/>
        <v>03300310</v>
      </c>
    </row>
    <row r="118" spans="4:14" x14ac:dyDescent="0.25">
      <c r="D118" s="11" t="s">
        <v>93</v>
      </c>
      <c r="E118" s="134" t="str">
        <f>VLOOKUP(F118,'Activity List CSI'!$B$4:$D$146,3,0)</f>
        <v>03300-10</v>
      </c>
      <c r="F118" s="1" t="s">
        <v>94</v>
      </c>
      <c r="G118" s="1" t="str">
        <f>VLOOKUP($E118,'Activity List CSI'!$D$4:$J$146,G$1,0)</f>
        <v>03</v>
      </c>
      <c r="H118" s="1" t="str">
        <f>VLOOKUP($E118,'Activity List CSI'!$D$4:$J$146,H$1,0)</f>
        <v>ConcreteWork</v>
      </c>
      <c r="I118" s="1" t="str">
        <f>VLOOKUP(D118,'Activity List CSI'!$C$4:$H$146,6,0)</f>
        <v>03300</v>
      </c>
      <c r="J118" s="1" t="str">
        <f>VLOOKUP($E118,'Activity List CSI'!$D$4:$J$146,J$1,0)</f>
        <v>Cast-In-Place Concrete</v>
      </c>
      <c r="K118" s="1" t="s">
        <v>591</v>
      </c>
      <c r="L118" s="1">
        <v>315</v>
      </c>
      <c r="M118" s="1" t="str">
        <f t="shared" si="5"/>
        <v>03300315</v>
      </c>
      <c r="N118" s="12" t="str">
        <f t="shared" si="4"/>
        <v>03300315</v>
      </c>
    </row>
    <row r="119" spans="4:14" x14ac:dyDescent="0.25">
      <c r="D119" s="11" t="s">
        <v>95</v>
      </c>
      <c r="E119" s="134" t="str">
        <f>VLOOKUP(F119,'Activity List CSI'!$B$4:$D$146,3,0)</f>
        <v>03300-11</v>
      </c>
      <c r="F119" s="1" t="s">
        <v>96</v>
      </c>
      <c r="G119" s="1" t="str">
        <f>VLOOKUP($E119,'Activity List CSI'!$D$4:$J$146,G$1,0)</f>
        <v>03</v>
      </c>
      <c r="H119" s="1" t="str">
        <f>VLOOKUP($E119,'Activity List CSI'!$D$4:$J$146,H$1,0)</f>
        <v>ConcreteWork</v>
      </c>
      <c r="I119" s="1" t="str">
        <f>VLOOKUP(D119,'Activity List CSI'!$C$4:$H$146,6,0)</f>
        <v>03300</v>
      </c>
      <c r="J119" s="1" t="str">
        <f>VLOOKUP($E119,'Activity List CSI'!$D$4:$J$146,J$1,0)</f>
        <v>Cast-In-Place Concrete</v>
      </c>
      <c r="K119" s="1" t="s">
        <v>581</v>
      </c>
      <c r="L119" s="1">
        <v>305</v>
      </c>
      <c r="M119" s="1" t="str">
        <f t="shared" si="5"/>
        <v>03300305</v>
      </c>
      <c r="N119" s="12" t="str">
        <f t="shared" si="4"/>
        <v>03300305</v>
      </c>
    </row>
    <row r="120" spans="4:14" x14ac:dyDescent="0.25">
      <c r="D120" s="11" t="s">
        <v>95</v>
      </c>
      <c r="E120" s="134" t="str">
        <f>VLOOKUP(F120,'Activity List CSI'!$B$4:$D$146,3,0)</f>
        <v>03300-11</v>
      </c>
      <c r="F120" s="1" t="s">
        <v>96</v>
      </c>
      <c r="G120" s="1" t="str">
        <f>VLOOKUP($E120,'Activity List CSI'!$D$4:$J$146,G$1,0)</f>
        <v>03</v>
      </c>
      <c r="H120" s="1" t="str">
        <f>VLOOKUP($E120,'Activity List CSI'!$D$4:$J$146,H$1,0)</f>
        <v>ConcreteWork</v>
      </c>
      <c r="I120" s="1" t="str">
        <f>VLOOKUP(D120,'Activity List CSI'!$C$4:$H$146,6,0)</f>
        <v>03300</v>
      </c>
      <c r="J120" s="1" t="str">
        <f>VLOOKUP($E120,'Activity List CSI'!$D$4:$J$146,J$1,0)</f>
        <v>Cast-In-Place Concrete</v>
      </c>
      <c r="K120" s="1" t="s">
        <v>596</v>
      </c>
      <c r="L120" s="1">
        <v>310</v>
      </c>
      <c r="M120" s="1" t="str">
        <f t="shared" si="5"/>
        <v>03300310</v>
      </c>
      <c r="N120" s="12" t="str">
        <f t="shared" si="4"/>
        <v>03300310</v>
      </c>
    </row>
    <row r="121" spans="4:14" x14ac:dyDescent="0.25">
      <c r="D121" s="11" t="s">
        <v>95</v>
      </c>
      <c r="E121" s="134" t="str">
        <f>VLOOKUP(F121,'Activity List CSI'!$B$4:$D$146,3,0)</f>
        <v>03300-11</v>
      </c>
      <c r="F121" s="1" t="s">
        <v>96</v>
      </c>
      <c r="G121" s="1" t="str">
        <f>VLOOKUP($E121,'Activity List CSI'!$D$4:$J$146,G$1,0)</f>
        <v>03</v>
      </c>
      <c r="H121" s="1" t="str">
        <f>VLOOKUP($E121,'Activity List CSI'!$D$4:$J$146,H$1,0)</f>
        <v>ConcreteWork</v>
      </c>
      <c r="I121" s="1" t="str">
        <f>VLOOKUP(D121,'Activity List CSI'!$C$4:$H$146,6,0)</f>
        <v>03300</v>
      </c>
      <c r="J121" s="1" t="str">
        <f>VLOOKUP($E121,'Activity List CSI'!$D$4:$J$146,J$1,0)</f>
        <v>Cast-In-Place Concrete</v>
      </c>
      <c r="K121" s="1" t="s">
        <v>591</v>
      </c>
      <c r="L121" s="1">
        <v>315</v>
      </c>
      <c r="M121" s="1" t="str">
        <f t="shared" si="5"/>
        <v>03300315</v>
      </c>
      <c r="N121" s="12" t="str">
        <f t="shared" si="4"/>
        <v>03300315</v>
      </c>
    </row>
    <row r="122" spans="4:14" x14ac:dyDescent="0.25">
      <c r="D122" s="11" t="s">
        <v>95</v>
      </c>
      <c r="E122" s="134" t="str">
        <f>VLOOKUP(F122,'Activity List CSI'!$B$4:$D$146,3,0)</f>
        <v>03300-11</v>
      </c>
      <c r="F122" s="1" t="s">
        <v>96</v>
      </c>
      <c r="G122" s="1" t="str">
        <f>VLOOKUP($E122,'Activity List CSI'!$D$4:$J$146,G$1,0)</f>
        <v>03</v>
      </c>
      <c r="H122" s="1" t="str">
        <f>VLOOKUP($E122,'Activity List CSI'!$D$4:$J$146,H$1,0)</f>
        <v>ConcreteWork</v>
      </c>
      <c r="I122" s="1" t="str">
        <f>VLOOKUP(D122,'Activity List CSI'!$C$4:$H$146,6,0)</f>
        <v>03300</v>
      </c>
      <c r="J122" s="1" t="str">
        <f>VLOOKUP($E122,'Activity List CSI'!$D$4:$J$146,J$1,0)</f>
        <v>Cast-In-Place Concrete</v>
      </c>
      <c r="K122" s="1" t="s">
        <v>581</v>
      </c>
      <c r="L122" s="1">
        <v>305</v>
      </c>
      <c r="M122" s="1" t="str">
        <f t="shared" si="5"/>
        <v>03300305</v>
      </c>
      <c r="N122" s="12" t="str">
        <f t="shared" si="4"/>
        <v>03300305</v>
      </c>
    </row>
    <row r="123" spans="4:14" x14ac:dyDescent="0.25">
      <c r="D123" s="11" t="s">
        <v>95</v>
      </c>
      <c r="E123" s="134" t="str">
        <f>VLOOKUP(F123,'Activity List CSI'!$B$4:$D$146,3,0)</f>
        <v>03300-11</v>
      </c>
      <c r="F123" s="1" t="s">
        <v>96</v>
      </c>
      <c r="G123" s="1" t="str">
        <f>VLOOKUP($E123,'Activity List CSI'!$D$4:$J$146,G$1,0)</f>
        <v>03</v>
      </c>
      <c r="H123" s="1" t="str">
        <f>VLOOKUP($E123,'Activity List CSI'!$D$4:$J$146,H$1,0)</f>
        <v>ConcreteWork</v>
      </c>
      <c r="I123" s="1" t="str">
        <f>VLOOKUP(D123,'Activity List CSI'!$C$4:$H$146,6,0)</f>
        <v>03300</v>
      </c>
      <c r="J123" s="1" t="str">
        <f>VLOOKUP($E123,'Activity List CSI'!$D$4:$J$146,J$1,0)</f>
        <v>Cast-In-Place Concrete</v>
      </c>
      <c r="K123" s="1" t="s">
        <v>596</v>
      </c>
      <c r="L123" s="1">
        <v>310</v>
      </c>
      <c r="M123" s="1" t="str">
        <f t="shared" si="5"/>
        <v>03300310</v>
      </c>
      <c r="N123" s="12" t="str">
        <f t="shared" si="4"/>
        <v>03300310</v>
      </c>
    </row>
    <row r="124" spans="4:14" x14ac:dyDescent="0.25">
      <c r="D124" s="11" t="s">
        <v>95</v>
      </c>
      <c r="E124" s="134" t="str">
        <f>VLOOKUP(F124,'Activity List CSI'!$B$4:$D$146,3,0)</f>
        <v>03300-11</v>
      </c>
      <c r="F124" s="1" t="s">
        <v>96</v>
      </c>
      <c r="G124" s="1" t="str">
        <f>VLOOKUP($E124,'Activity List CSI'!$D$4:$J$146,G$1,0)</f>
        <v>03</v>
      </c>
      <c r="H124" s="1" t="str">
        <f>VLOOKUP($E124,'Activity List CSI'!$D$4:$J$146,H$1,0)</f>
        <v>ConcreteWork</v>
      </c>
      <c r="I124" s="1" t="str">
        <f>VLOOKUP(D124,'Activity List CSI'!$C$4:$H$146,6,0)</f>
        <v>03300</v>
      </c>
      <c r="J124" s="1" t="str">
        <f>VLOOKUP($E124,'Activity List CSI'!$D$4:$J$146,J$1,0)</f>
        <v>Cast-In-Place Concrete</v>
      </c>
      <c r="K124" s="1" t="s">
        <v>591</v>
      </c>
      <c r="L124" s="1">
        <v>315</v>
      </c>
      <c r="M124" s="1" t="str">
        <f t="shared" si="5"/>
        <v>03300315</v>
      </c>
      <c r="N124" s="12" t="str">
        <f t="shared" si="4"/>
        <v>03300315</v>
      </c>
    </row>
    <row r="125" spans="4:14" x14ac:dyDescent="0.25">
      <c r="D125" s="11" t="s">
        <v>97</v>
      </c>
      <c r="E125" s="134" t="str">
        <f>VLOOKUP(F125,'Activity List CSI'!$B$4:$D$146,3,0)</f>
        <v>03300-12</v>
      </c>
      <c r="F125" s="1" t="s">
        <v>98</v>
      </c>
      <c r="G125" s="1" t="str">
        <f>VLOOKUP($E125,'Activity List CSI'!$D$4:$J$146,G$1,0)</f>
        <v>03</v>
      </c>
      <c r="H125" s="1" t="str">
        <f>VLOOKUP($E125,'Activity List CSI'!$D$4:$J$146,H$1,0)</f>
        <v>ConcreteWork</v>
      </c>
      <c r="I125" s="1" t="str">
        <f>VLOOKUP(D125,'Activity List CSI'!$C$4:$H$146,6,0)</f>
        <v>03300</v>
      </c>
      <c r="J125" s="1" t="str">
        <f>VLOOKUP($E125,'Activity List CSI'!$D$4:$J$146,J$1,0)</f>
        <v>Cast-In-Place Concrete</v>
      </c>
      <c r="K125" s="1" t="s">
        <v>581</v>
      </c>
      <c r="L125" s="1">
        <v>305</v>
      </c>
      <c r="M125" s="1" t="str">
        <f t="shared" si="5"/>
        <v>03300305</v>
      </c>
      <c r="N125" s="12" t="str">
        <f t="shared" ref="N125:N146" si="6">M125</f>
        <v>03300305</v>
      </c>
    </row>
    <row r="126" spans="4:14" x14ac:dyDescent="0.25">
      <c r="D126" s="11" t="s">
        <v>97</v>
      </c>
      <c r="E126" s="134" t="str">
        <f>VLOOKUP(F126,'Activity List CSI'!$B$4:$D$146,3,0)</f>
        <v>03300-12</v>
      </c>
      <c r="F126" s="1" t="s">
        <v>98</v>
      </c>
      <c r="G126" s="1" t="str">
        <f>VLOOKUP($E126,'Activity List CSI'!$D$4:$J$146,G$1,0)</f>
        <v>03</v>
      </c>
      <c r="H126" s="1" t="str">
        <f>VLOOKUP($E126,'Activity List CSI'!$D$4:$J$146,H$1,0)</f>
        <v>ConcreteWork</v>
      </c>
      <c r="I126" s="1" t="str">
        <f>VLOOKUP(D126,'Activity List CSI'!$C$4:$H$146,6,0)</f>
        <v>03300</v>
      </c>
      <c r="J126" s="1" t="str">
        <f>VLOOKUP($E126,'Activity List CSI'!$D$4:$J$146,J$1,0)</f>
        <v>Cast-In-Place Concrete</v>
      </c>
      <c r="K126" s="1" t="s">
        <v>596</v>
      </c>
      <c r="L126" s="1">
        <v>310</v>
      </c>
      <c r="M126" s="1" t="str">
        <f t="shared" si="5"/>
        <v>03300310</v>
      </c>
      <c r="N126" s="12" t="str">
        <f t="shared" si="6"/>
        <v>03300310</v>
      </c>
    </row>
    <row r="127" spans="4:14" x14ac:dyDescent="0.25">
      <c r="D127" s="11" t="s">
        <v>97</v>
      </c>
      <c r="E127" s="134" t="str">
        <f>VLOOKUP(F127,'Activity List CSI'!$B$4:$D$146,3,0)</f>
        <v>03300-12</v>
      </c>
      <c r="F127" s="1" t="s">
        <v>98</v>
      </c>
      <c r="G127" s="1" t="str">
        <f>VLOOKUP($E127,'Activity List CSI'!$D$4:$J$146,G$1,0)</f>
        <v>03</v>
      </c>
      <c r="H127" s="1" t="str">
        <f>VLOOKUP($E127,'Activity List CSI'!$D$4:$J$146,H$1,0)</f>
        <v>ConcreteWork</v>
      </c>
      <c r="I127" s="1" t="str">
        <f>VLOOKUP(D127,'Activity List CSI'!$C$4:$H$146,6,0)</f>
        <v>03300</v>
      </c>
      <c r="J127" s="1" t="str">
        <f>VLOOKUP($E127,'Activity List CSI'!$D$4:$J$146,J$1,0)</f>
        <v>Cast-In-Place Concrete</v>
      </c>
      <c r="K127" s="1" t="s">
        <v>591</v>
      </c>
      <c r="L127" s="1">
        <v>315</v>
      </c>
      <c r="M127" s="1" t="str">
        <f t="shared" si="5"/>
        <v>03300315</v>
      </c>
      <c r="N127" s="12" t="str">
        <f t="shared" si="6"/>
        <v>03300315</v>
      </c>
    </row>
    <row r="128" spans="4:14" x14ac:dyDescent="0.25">
      <c r="D128" s="11" t="s">
        <v>97</v>
      </c>
      <c r="E128" s="134" t="str">
        <f>VLOOKUP(F128,'Activity List CSI'!$B$4:$D$146,3,0)</f>
        <v>03300-12</v>
      </c>
      <c r="F128" s="1" t="s">
        <v>98</v>
      </c>
      <c r="G128" s="1" t="str">
        <f>VLOOKUP($E128,'Activity List CSI'!$D$4:$J$146,G$1,0)</f>
        <v>03</v>
      </c>
      <c r="H128" s="1" t="str">
        <f>VLOOKUP($E128,'Activity List CSI'!$D$4:$J$146,H$1,0)</f>
        <v>ConcreteWork</v>
      </c>
      <c r="I128" s="1" t="str">
        <f>VLOOKUP(D128,'Activity List CSI'!$C$4:$H$146,6,0)</f>
        <v>03300</v>
      </c>
      <c r="J128" s="1" t="str">
        <f>VLOOKUP($E128,'Activity List CSI'!$D$4:$J$146,J$1,0)</f>
        <v>Cast-In-Place Concrete</v>
      </c>
      <c r="K128" s="1" t="s">
        <v>581</v>
      </c>
      <c r="L128" s="1">
        <v>305</v>
      </c>
      <c r="M128" s="1" t="str">
        <f t="shared" si="5"/>
        <v>03300305</v>
      </c>
      <c r="N128" s="12" t="str">
        <f t="shared" si="6"/>
        <v>03300305</v>
      </c>
    </row>
    <row r="129" spans="4:14" x14ac:dyDescent="0.25">
      <c r="D129" s="11" t="s">
        <v>97</v>
      </c>
      <c r="E129" s="134" t="str">
        <f>VLOOKUP(F129,'Activity List CSI'!$B$4:$D$146,3,0)</f>
        <v>03300-12</v>
      </c>
      <c r="F129" s="1" t="s">
        <v>98</v>
      </c>
      <c r="G129" s="1" t="str">
        <f>VLOOKUP($E129,'Activity List CSI'!$D$4:$J$146,G$1,0)</f>
        <v>03</v>
      </c>
      <c r="H129" s="1" t="str">
        <f>VLOOKUP($E129,'Activity List CSI'!$D$4:$J$146,H$1,0)</f>
        <v>ConcreteWork</v>
      </c>
      <c r="I129" s="1" t="str">
        <f>VLOOKUP(D129,'Activity List CSI'!$C$4:$H$146,6,0)</f>
        <v>03300</v>
      </c>
      <c r="J129" s="1" t="str">
        <f>VLOOKUP($E129,'Activity List CSI'!$D$4:$J$146,J$1,0)</f>
        <v>Cast-In-Place Concrete</v>
      </c>
      <c r="K129" s="1" t="s">
        <v>596</v>
      </c>
      <c r="L129" s="1">
        <v>310</v>
      </c>
      <c r="M129" s="1" t="str">
        <f t="shared" si="5"/>
        <v>03300310</v>
      </c>
      <c r="N129" s="12" t="str">
        <f t="shared" si="6"/>
        <v>03300310</v>
      </c>
    </row>
    <row r="130" spans="4:14" x14ac:dyDescent="0.25">
      <c r="D130" s="11" t="s">
        <v>97</v>
      </c>
      <c r="E130" s="134" t="str">
        <f>VLOOKUP(F130,'Activity List CSI'!$B$4:$D$146,3,0)</f>
        <v>03300-12</v>
      </c>
      <c r="F130" s="1" t="s">
        <v>98</v>
      </c>
      <c r="G130" s="1" t="str">
        <f>VLOOKUP($E130,'Activity List CSI'!$D$4:$J$146,G$1,0)</f>
        <v>03</v>
      </c>
      <c r="H130" s="1" t="str">
        <f>VLOOKUP($E130,'Activity List CSI'!$D$4:$J$146,H$1,0)</f>
        <v>ConcreteWork</v>
      </c>
      <c r="I130" s="1" t="str">
        <f>VLOOKUP(D130,'Activity List CSI'!$C$4:$H$146,6,0)</f>
        <v>03300</v>
      </c>
      <c r="J130" s="1" t="str">
        <f>VLOOKUP($E130,'Activity List CSI'!$D$4:$J$146,J$1,0)</f>
        <v>Cast-In-Place Concrete</v>
      </c>
      <c r="K130" s="1" t="s">
        <v>591</v>
      </c>
      <c r="L130" s="1">
        <v>315</v>
      </c>
      <c r="M130" s="1" t="str">
        <f t="shared" si="5"/>
        <v>03300315</v>
      </c>
      <c r="N130" s="12" t="str">
        <f t="shared" si="6"/>
        <v>03300315</v>
      </c>
    </row>
    <row r="131" spans="4:14" x14ac:dyDescent="0.25">
      <c r="D131" s="11" t="s">
        <v>99</v>
      </c>
      <c r="E131" s="134" t="str">
        <f>VLOOKUP(F131,'Activity List CSI'!$B$4:$D$146,3,0)</f>
        <v>03400-01</v>
      </c>
      <c r="F131" s="1" t="s">
        <v>100</v>
      </c>
      <c r="G131" s="1" t="str">
        <f>VLOOKUP($E131,'Activity List CSI'!$D$4:$J$146,G$1,0)</f>
        <v>03</v>
      </c>
      <c r="H131" s="1" t="str">
        <f>VLOOKUP($E131,'Activity List CSI'!$D$4:$J$146,H$1,0)</f>
        <v>ConcreteWork</v>
      </c>
      <c r="I131" s="1" t="str">
        <f>VLOOKUP(D131,'Activity List CSI'!$C$4:$H$146,6,0)</f>
        <v>03400</v>
      </c>
      <c r="J131" s="1" t="str">
        <f>VLOOKUP($E131,'Activity List CSI'!$D$4:$J$146,J$1,0)</f>
        <v>Precast Concrete</v>
      </c>
      <c r="K131" s="1" t="s">
        <v>597</v>
      </c>
      <c r="L131" s="1">
        <v>305</v>
      </c>
      <c r="M131" s="1" t="str">
        <f t="shared" si="5"/>
        <v>03400305</v>
      </c>
      <c r="N131" s="12" t="str">
        <f t="shared" si="6"/>
        <v>03400305</v>
      </c>
    </row>
    <row r="132" spans="4:14" x14ac:dyDescent="0.25">
      <c r="D132" s="11" t="s">
        <v>101</v>
      </c>
      <c r="E132" s="134" t="str">
        <f>VLOOKUP(F132,'Activity List CSI'!$B$4:$D$146,3,0)</f>
        <v>03400-02</v>
      </c>
      <c r="F132" s="1" t="s">
        <v>435</v>
      </c>
      <c r="G132" s="1" t="str">
        <f>VLOOKUP($E132,'Activity List CSI'!$D$4:$J$146,G$1,0)</f>
        <v>03</v>
      </c>
      <c r="H132" s="1" t="str">
        <f>VLOOKUP($E132,'Activity List CSI'!$D$4:$J$146,H$1,0)</f>
        <v>ConcreteWork</v>
      </c>
      <c r="I132" s="1" t="str">
        <f>VLOOKUP(D132,'Activity List CSI'!$C$4:$H$146,6,0)</f>
        <v>03400</v>
      </c>
      <c r="J132" s="1" t="str">
        <f>VLOOKUP($E132,'Activity List CSI'!$D$4:$J$146,J$1,0)</f>
        <v>Precast Concrete</v>
      </c>
      <c r="K132" s="1" t="s">
        <v>597</v>
      </c>
      <c r="L132" s="1">
        <v>305</v>
      </c>
      <c r="M132" s="1" t="str">
        <f t="shared" si="5"/>
        <v>03400305</v>
      </c>
      <c r="N132" s="12" t="str">
        <f t="shared" si="6"/>
        <v>03400305</v>
      </c>
    </row>
    <row r="133" spans="4:14" x14ac:dyDescent="0.25">
      <c r="D133" s="11" t="s">
        <v>102</v>
      </c>
      <c r="E133" s="134" t="str">
        <f>VLOOKUP(F133,'Activity List CSI'!$B$4:$D$146,3,0)</f>
        <v>03300-13</v>
      </c>
      <c r="F133" s="1" t="s">
        <v>103</v>
      </c>
      <c r="G133" s="1" t="str">
        <f>VLOOKUP($E133,'Activity List CSI'!$D$4:$J$146,G$1,0)</f>
        <v>03</v>
      </c>
      <c r="H133" s="1" t="str">
        <f>VLOOKUP($E133,'Activity List CSI'!$D$4:$J$146,H$1,0)</f>
        <v>ConcreteWork</v>
      </c>
      <c r="I133" s="1" t="str">
        <f>VLOOKUP(D133,'Activity List CSI'!$C$4:$H$146,6,0)</f>
        <v>03300</v>
      </c>
      <c r="J133" s="1" t="str">
        <f>VLOOKUP($E133,'Activity List CSI'!$D$4:$J$146,J$1,0)</f>
        <v>Cast-In-Place Concrete</v>
      </c>
      <c r="K133" s="1" t="s">
        <v>581</v>
      </c>
      <c r="L133" s="1">
        <v>305</v>
      </c>
      <c r="M133" s="1" t="str">
        <f t="shared" ref="M133:M194" si="7">I133&amp;L133</f>
        <v>03300305</v>
      </c>
      <c r="N133" s="12" t="str">
        <f t="shared" si="6"/>
        <v>03300305</v>
      </c>
    </row>
    <row r="134" spans="4:14" x14ac:dyDescent="0.25">
      <c r="D134" s="11" t="s">
        <v>102</v>
      </c>
      <c r="E134" s="134" t="str">
        <f>VLOOKUP(F134,'Activity List CSI'!$B$4:$D$146,3,0)</f>
        <v>03300-13</v>
      </c>
      <c r="F134" s="1" t="s">
        <v>103</v>
      </c>
      <c r="G134" s="1" t="str">
        <f>VLOOKUP($E134,'Activity List CSI'!$D$4:$J$146,G$1,0)</f>
        <v>03</v>
      </c>
      <c r="H134" s="1" t="str">
        <f>VLOOKUP($E134,'Activity List CSI'!$D$4:$J$146,H$1,0)</f>
        <v>ConcreteWork</v>
      </c>
      <c r="I134" s="1" t="str">
        <f>VLOOKUP(D134,'Activity List CSI'!$C$4:$H$146,6,0)</f>
        <v>03300</v>
      </c>
      <c r="J134" s="1" t="str">
        <f>VLOOKUP($E134,'Activity List CSI'!$D$4:$J$146,J$1,0)</f>
        <v>Cast-In-Place Concrete</v>
      </c>
      <c r="K134" s="1" t="s">
        <v>596</v>
      </c>
      <c r="L134" s="1">
        <v>310</v>
      </c>
      <c r="M134" s="1" t="str">
        <f t="shared" si="7"/>
        <v>03300310</v>
      </c>
      <c r="N134" s="12" t="str">
        <f t="shared" si="6"/>
        <v>03300310</v>
      </c>
    </row>
    <row r="135" spans="4:14" x14ac:dyDescent="0.25">
      <c r="D135" s="11" t="s">
        <v>102</v>
      </c>
      <c r="E135" s="134" t="str">
        <f>VLOOKUP(F135,'Activity List CSI'!$B$4:$D$146,3,0)</f>
        <v>03300-13</v>
      </c>
      <c r="F135" s="1" t="s">
        <v>103</v>
      </c>
      <c r="G135" s="1" t="str">
        <f>VLOOKUP($E135,'Activity List CSI'!$D$4:$J$146,G$1,0)</f>
        <v>03</v>
      </c>
      <c r="H135" s="1" t="str">
        <f>VLOOKUP($E135,'Activity List CSI'!$D$4:$J$146,H$1,0)</f>
        <v>ConcreteWork</v>
      </c>
      <c r="I135" s="1" t="str">
        <f>VLOOKUP(D135,'Activity List CSI'!$C$4:$H$146,6,0)</f>
        <v>03300</v>
      </c>
      <c r="J135" s="1" t="str">
        <f>VLOOKUP($E135,'Activity List CSI'!$D$4:$J$146,J$1,0)</f>
        <v>Cast-In-Place Concrete</v>
      </c>
      <c r="K135" s="1" t="s">
        <v>591</v>
      </c>
      <c r="L135" s="1">
        <v>315</v>
      </c>
      <c r="M135" s="1" t="str">
        <f t="shared" si="7"/>
        <v>03300315</v>
      </c>
      <c r="N135" s="12" t="str">
        <f t="shared" si="6"/>
        <v>03300315</v>
      </c>
    </row>
    <row r="136" spans="4:14" x14ac:dyDescent="0.25">
      <c r="D136" s="11" t="s">
        <v>102</v>
      </c>
      <c r="E136" s="134" t="str">
        <f>VLOOKUP(F136,'Activity List CSI'!$B$4:$D$146,3,0)</f>
        <v>03300-13</v>
      </c>
      <c r="F136" s="1" t="s">
        <v>103</v>
      </c>
      <c r="G136" s="1" t="str">
        <f>VLOOKUP($E136,'Activity List CSI'!$D$4:$J$146,G$1,0)</f>
        <v>03</v>
      </c>
      <c r="H136" s="1" t="str">
        <f>VLOOKUP($E136,'Activity List CSI'!$D$4:$J$146,H$1,0)</f>
        <v>ConcreteWork</v>
      </c>
      <c r="I136" s="1" t="str">
        <f>VLOOKUP(D136,'Activity List CSI'!$C$4:$H$146,6,0)</f>
        <v>03300</v>
      </c>
      <c r="J136" s="1" t="str">
        <f>VLOOKUP($E136,'Activity List CSI'!$D$4:$J$146,J$1,0)</f>
        <v>Cast-In-Place Concrete</v>
      </c>
      <c r="K136" s="1" t="s">
        <v>581</v>
      </c>
      <c r="L136" s="1">
        <v>305</v>
      </c>
      <c r="M136" s="1" t="str">
        <f t="shared" si="7"/>
        <v>03300305</v>
      </c>
      <c r="N136" s="12" t="str">
        <f t="shared" si="6"/>
        <v>03300305</v>
      </c>
    </row>
    <row r="137" spans="4:14" x14ac:dyDescent="0.25">
      <c r="D137" s="11" t="s">
        <v>102</v>
      </c>
      <c r="E137" s="134" t="str">
        <f>VLOOKUP(F137,'Activity List CSI'!$B$4:$D$146,3,0)</f>
        <v>03300-13</v>
      </c>
      <c r="F137" s="1" t="s">
        <v>103</v>
      </c>
      <c r="G137" s="1" t="str">
        <f>VLOOKUP($E137,'Activity List CSI'!$D$4:$J$146,G$1,0)</f>
        <v>03</v>
      </c>
      <c r="H137" s="1" t="str">
        <f>VLOOKUP($E137,'Activity List CSI'!$D$4:$J$146,H$1,0)</f>
        <v>ConcreteWork</v>
      </c>
      <c r="I137" s="1" t="str">
        <f>VLOOKUP(D137,'Activity List CSI'!$C$4:$H$146,6,0)</f>
        <v>03300</v>
      </c>
      <c r="J137" s="1" t="str">
        <f>VLOOKUP($E137,'Activity List CSI'!$D$4:$J$146,J$1,0)</f>
        <v>Cast-In-Place Concrete</v>
      </c>
      <c r="K137" s="1" t="s">
        <v>596</v>
      </c>
      <c r="L137" s="1">
        <v>310</v>
      </c>
      <c r="M137" s="1" t="str">
        <f t="shared" si="7"/>
        <v>03300310</v>
      </c>
      <c r="N137" s="12" t="str">
        <f t="shared" si="6"/>
        <v>03300310</v>
      </c>
    </row>
    <row r="138" spans="4:14" x14ac:dyDescent="0.25">
      <c r="D138" s="11" t="s">
        <v>102</v>
      </c>
      <c r="E138" s="134" t="str">
        <f>VLOOKUP(F138,'Activity List CSI'!$B$4:$D$146,3,0)</f>
        <v>03300-13</v>
      </c>
      <c r="F138" s="1" t="s">
        <v>103</v>
      </c>
      <c r="G138" s="1" t="str">
        <f>VLOOKUP($E138,'Activity List CSI'!$D$4:$J$146,G$1,0)</f>
        <v>03</v>
      </c>
      <c r="H138" s="1" t="str">
        <f>VLOOKUP($E138,'Activity List CSI'!$D$4:$J$146,H$1,0)</f>
        <v>ConcreteWork</v>
      </c>
      <c r="I138" s="1" t="str">
        <f>VLOOKUP(D138,'Activity List CSI'!$C$4:$H$146,6,0)</f>
        <v>03300</v>
      </c>
      <c r="J138" s="1" t="str">
        <f>VLOOKUP($E138,'Activity List CSI'!$D$4:$J$146,J$1,0)</f>
        <v>Cast-In-Place Concrete</v>
      </c>
      <c r="K138" s="1" t="s">
        <v>591</v>
      </c>
      <c r="L138" s="1">
        <v>315</v>
      </c>
      <c r="M138" s="1" t="str">
        <f t="shared" si="7"/>
        <v>03300315</v>
      </c>
      <c r="N138" s="12" t="str">
        <f t="shared" si="6"/>
        <v>03300315</v>
      </c>
    </row>
    <row r="139" spans="4:14" x14ac:dyDescent="0.25">
      <c r="D139" s="11" t="s">
        <v>228</v>
      </c>
      <c r="E139" s="134" t="str">
        <f>VLOOKUP(F139,'Activity List CSI'!$B$4:$D$146,3,0)</f>
        <v>03300-14</v>
      </c>
      <c r="F139" s="1" t="s">
        <v>437</v>
      </c>
      <c r="G139" s="1" t="str">
        <f>VLOOKUP($E139,'Activity List CSI'!$D$4:$J$146,G$1,0)</f>
        <v>03</v>
      </c>
      <c r="H139" s="1" t="str">
        <f>VLOOKUP($E139,'Activity List CSI'!$D$4:$J$146,H$1,0)</f>
        <v>ConcreteWork</v>
      </c>
      <c r="I139" s="1" t="str">
        <f>VLOOKUP(D139,'Activity List CSI'!$C$4:$H$146,6,0)</f>
        <v>03300</v>
      </c>
      <c r="J139" s="1" t="str">
        <f>VLOOKUP($E139,'Activity List CSI'!$D$4:$J$146,J$1,0)</f>
        <v>Cast-In-Place Concrete</v>
      </c>
      <c r="K139" s="1" t="s">
        <v>581</v>
      </c>
      <c r="L139" s="1">
        <v>305</v>
      </c>
      <c r="M139" s="1" t="str">
        <f t="shared" si="7"/>
        <v>03300305</v>
      </c>
      <c r="N139" s="12" t="str">
        <f t="shared" si="6"/>
        <v>03300305</v>
      </c>
    </row>
    <row r="140" spans="4:14" x14ac:dyDescent="0.25">
      <c r="D140" s="11" t="s">
        <v>228</v>
      </c>
      <c r="E140" s="134" t="str">
        <f>VLOOKUP(F140,'Activity List CSI'!$B$4:$D$146,3,0)</f>
        <v>03300-14</v>
      </c>
      <c r="F140" s="1" t="s">
        <v>437</v>
      </c>
      <c r="G140" s="1" t="str">
        <f>VLOOKUP($E140,'Activity List CSI'!$D$4:$J$146,G$1,0)</f>
        <v>03</v>
      </c>
      <c r="H140" s="1" t="str">
        <f>VLOOKUP($E140,'Activity List CSI'!$D$4:$J$146,H$1,0)</f>
        <v>ConcreteWork</v>
      </c>
      <c r="I140" s="1" t="str">
        <f>VLOOKUP(D140,'Activity List CSI'!$C$4:$H$146,6,0)</f>
        <v>03300</v>
      </c>
      <c r="J140" s="1" t="str">
        <f>VLOOKUP($E140,'Activity List CSI'!$D$4:$J$146,J$1,0)</f>
        <v>Cast-In-Place Concrete</v>
      </c>
      <c r="K140" s="1" t="s">
        <v>596</v>
      </c>
      <c r="L140" s="1">
        <v>310</v>
      </c>
      <c r="M140" s="1" t="str">
        <f t="shared" si="7"/>
        <v>03300310</v>
      </c>
      <c r="N140" s="12" t="str">
        <f t="shared" si="6"/>
        <v>03300310</v>
      </c>
    </row>
    <row r="141" spans="4:14" x14ac:dyDescent="0.25">
      <c r="D141" s="11" t="s">
        <v>228</v>
      </c>
      <c r="E141" s="134" t="str">
        <f>VLOOKUP(F141,'Activity List CSI'!$B$4:$D$146,3,0)</f>
        <v>03300-14</v>
      </c>
      <c r="F141" s="1" t="s">
        <v>437</v>
      </c>
      <c r="G141" s="1" t="str">
        <f>VLOOKUP($E141,'Activity List CSI'!$D$4:$J$146,G$1,0)</f>
        <v>03</v>
      </c>
      <c r="H141" s="1" t="str">
        <f>VLOOKUP($E141,'Activity List CSI'!$D$4:$J$146,H$1,0)</f>
        <v>ConcreteWork</v>
      </c>
      <c r="I141" s="1" t="str">
        <f>VLOOKUP(D141,'Activity List CSI'!$C$4:$H$146,6,0)</f>
        <v>03300</v>
      </c>
      <c r="J141" s="1" t="str">
        <f>VLOOKUP($E141,'Activity List CSI'!$D$4:$J$146,J$1,0)</f>
        <v>Cast-In-Place Concrete</v>
      </c>
      <c r="K141" s="1" t="s">
        <v>591</v>
      </c>
      <c r="L141" s="1">
        <v>315</v>
      </c>
      <c r="M141" s="1" t="str">
        <f t="shared" si="7"/>
        <v>03300315</v>
      </c>
      <c r="N141" s="12" t="str">
        <f t="shared" si="6"/>
        <v>03300315</v>
      </c>
    </row>
    <row r="142" spans="4:14" x14ac:dyDescent="0.25">
      <c r="D142" s="11" t="s">
        <v>228</v>
      </c>
      <c r="E142" s="134" t="str">
        <f>VLOOKUP(F142,'Activity List CSI'!$B$4:$D$146,3,0)</f>
        <v>03300-14</v>
      </c>
      <c r="F142" s="1" t="s">
        <v>437</v>
      </c>
      <c r="G142" s="1" t="str">
        <f>VLOOKUP($E142,'Activity List CSI'!$D$4:$J$146,G$1,0)</f>
        <v>03</v>
      </c>
      <c r="H142" s="1" t="str">
        <f>VLOOKUP($E142,'Activity List CSI'!$D$4:$J$146,H$1,0)</f>
        <v>ConcreteWork</v>
      </c>
      <c r="I142" s="1" t="str">
        <f>VLOOKUP(D142,'Activity List CSI'!$C$4:$H$146,6,0)</f>
        <v>03300</v>
      </c>
      <c r="J142" s="1" t="str">
        <f>VLOOKUP($E142,'Activity List CSI'!$D$4:$J$146,J$1,0)</f>
        <v>Cast-In-Place Concrete</v>
      </c>
      <c r="K142" s="1" t="s">
        <v>581</v>
      </c>
      <c r="L142" s="1">
        <v>305</v>
      </c>
      <c r="M142" s="1" t="str">
        <f t="shared" si="7"/>
        <v>03300305</v>
      </c>
      <c r="N142" s="12" t="str">
        <f t="shared" si="6"/>
        <v>03300305</v>
      </c>
    </row>
    <row r="143" spans="4:14" x14ac:dyDescent="0.25">
      <c r="D143" s="11" t="s">
        <v>228</v>
      </c>
      <c r="E143" s="134" t="str">
        <f>VLOOKUP(F143,'Activity List CSI'!$B$4:$D$146,3,0)</f>
        <v>03300-14</v>
      </c>
      <c r="F143" s="1" t="s">
        <v>437</v>
      </c>
      <c r="G143" s="1" t="str">
        <f>VLOOKUP($E143,'Activity List CSI'!$D$4:$J$146,G$1,0)</f>
        <v>03</v>
      </c>
      <c r="H143" s="1" t="str">
        <f>VLOOKUP($E143,'Activity List CSI'!$D$4:$J$146,H$1,0)</f>
        <v>ConcreteWork</v>
      </c>
      <c r="I143" s="1" t="str">
        <f>VLOOKUP(D143,'Activity List CSI'!$C$4:$H$146,6,0)</f>
        <v>03300</v>
      </c>
      <c r="J143" s="1" t="str">
        <f>VLOOKUP($E143,'Activity List CSI'!$D$4:$J$146,J$1,0)</f>
        <v>Cast-In-Place Concrete</v>
      </c>
      <c r="K143" s="1" t="s">
        <v>596</v>
      </c>
      <c r="L143" s="1">
        <v>310</v>
      </c>
      <c r="M143" s="1" t="str">
        <f t="shared" si="7"/>
        <v>03300310</v>
      </c>
      <c r="N143" s="12" t="str">
        <f t="shared" si="6"/>
        <v>03300310</v>
      </c>
    </row>
    <row r="144" spans="4:14" x14ac:dyDescent="0.25">
      <c r="D144" s="11" t="s">
        <v>228</v>
      </c>
      <c r="E144" s="134" t="str">
        <f>VLOOKUP(F144,'Activity List CSI'!$B$4:$D$146,3,0)</f>
        <v>03300-14</v>
      </c>
      <c r="F144" s="1" t="s">
        <v>437</v>
      </c>
      <c r="G144" s="1" t="str">
        <f>VLOOKUP($E144,'Activity List CSI'!$D$4:$J$146,G$1,0)</f>
        <v>03</v>
      </c>
      <c r="H144" s="1" t="str">
        <f>VLOOKUP($E144,'Activity List CSI'!$D$4:$J$146,H$1,0)</f>
        <v>ConcreteWork</v>
      </c>
      <c r="I144" s="1" t="str">
        <f>VLOOKUP(D144,'Activity List CSI'!$C$4:$H$146,6,0)</f>
        <v>03300</v>
      </c>
      <c r="J144" s="1" t="str">
        <f>VLOOKUP($E144,'Activity List CSI'!$D$4:$J$146,J$1,0)</f>
        <v>Cast-In-Place Concrete</v>
      </c>
      <c r="K144" s="1" t="s">
        <v>591</v>
      </c>
      <c r="L144" s="1">
        <v>315</v>
      </c>
      <c r="M144" s="1" t="str">
        <f t="shared" si="7"/>
        <v>03300315</v>
      </c>
      <c r="N144" s="12" t="str">
        <f t="shared" si="6"/>
        <v>03300315</v>
      </c>
    </row>
    <row r="145" spans="4:14" x14ac:dyDescent="0.25">
      <c r="D145" s="11" t="s">
        <v>104</v>
      </c>
      <c r="E145" s="134" t="str">
        <f>VLOOKUP(F145,'Activity List CSI'!$B$4:$D$146,3,0)</f>
        <v>04200-01</v>
      </c>
      <c r="F145" s="1" t="s">
        <v>4</v>
      </c>
      <c r="G145" s="1" t="str">
        <f>VLOOKUP($E145,'Activity List CSI'!$D$4:$J$146,G$1,0)</f>
        <v>04</v>
      </c>
      <c r="H145" s="1" t="str">
        <f>VLOOKUP($E145,'Activity List CSI'!$D$4:$J$146,H$1,0)</f>
        <v>BlockWork</v>
      </c>
      <c r="I145" s="1" t="str">
        <f>VLOOKUP(D145,'Activity List CSI'!$C$4:$H$146,6,0)</f>
        <v>04200</v>
      </c>
      <c r="J145" s="1" t="str">
        <f>VLOOKUP($E145,'Activity List CSI'!$D$4:$J$146,J$1,0)</f>
        <v>Masonary Units</v>
      </c>
      <c r="K145" s="1" t="s">
        <v>586</v>
      </c>
      <c r="L145" s="1">
        <v>305</v>
      </c>
      <c r="M145" s="1" t="str">
        <f t="shared" si="7"/>
        <v>04200305</v>
      </c>
      <c r="N145" s="12" t="str">
        <f t="shared" si="6"/>
        <v>04200305</v>
      </c>
    </row>
    <row r="146" spans="4:14" x14ac:dyDescent="0.25">
      <c r="D146" s="11" t="s">
        <v>105</v>
      </c>
      <c r="E146" s="134" t="str">
        <f>VLOOKUP(F146,'Activity List CSI'!$B$4:$D$146,3,0)</f>
        <v>04200-02</v>
      </c>
      <c r="F146" s="1" t="s">
        <v>106</v>
      </c>
      <c r="G146" s="1" t="str">
        <f>VLOOKUP($E146,'Activity List CSI'!$D$4:$J$146,G$1,0)</f>
        <v>04</v>
      </c>
      <c r="H146" s="1" t="str">
        <f>VLOOKUP($E146,'Activity List CSI'!$D$4:$J$146,H$1,0)</f>
        <v>BlockWork</v>
      </c>
      <c r="I146" s="1" t="str">
        <f>VLOOKUP(D146,'Activity List CSI'!$C$4:$H$146,6,0)</f>
        <v>04200</v>
      </c>
      <c r="J146" s="1" t="str">
        <f>VLOOKUP($E146,'Activity List CSI'!$D$4:$J$146,J$1,0)</f>
        <v>Masonary Units</v>
      </c>
      <c r="K146" s="1" t="s">
        <v>586</v>
      </c>
      <c r="L146" s="1">
        <v>305</v>
      </c>
      <c r="M146" s="1" t="str">
        <f t="shared" si="7"/>
        <v>04200305</v>
      </c>
      <c r="N146" s="12" t="str">
        <f t="shared" si="6"/>
        <v>04200305</v>
      </c>
    </row>
    <row r="147" spans="4:14" x14ac:dyDescent="0.25">
      <c r="D147" s="11" t="s">
        <v>107</v>
      </c>
      <c r="E147" s="134" t="str">
        <f>VLOOKUP(F147,'Activity List CSI'!$B$4:$D$146,3,0)</f>
        <v>04400-01</v>
      </c>
      <c r="F147" s="1" t="s">
        <v>108</v>
      </c>
      <c r="G147" s="1" t="str">
        <f>VLOOKUP($E147,'Activity List CSI'!$D$4:$J$146,G$1,0)</f>
        <v>04</v>
      </c>
      <c r="H147" s="1" t="str">
        <f>VLOOKUP($E147,'Activity List CSI'!$D$4:$J$146,H$1,0)</f>
        <v>BlockWork</v>
      </c>
      <c r="I147" s="1" t="str">
        <f>VLOOKUP(D147,'Activity List CSI'!$C$4:$H$146,6,0)</f>
        <v>04400</v>
      </c>
      <c r="J147" s="1" t="str">
        <f>VLOOKUP($E147,'Activity List CSI'!$D$4:$J$146,J$1,0)</f>
        <v>Stone</v>
      </c>
      <c r="K147" s="1" t="s">
        <v>586</v>
      </c>
      <c r="L147" s="1">
        <v>305</v>
      </c>
      <c r="M147" s="13" t="str">
        <f t="shared" si="7"/>
        <v>04400305</v>
      </c>
      <c r="N147" s="12" t="s">
        <v>607</v>
      </c>
    </row>
    <row r="148" spans="4:14" x14ac:dyDescent="0.25">
      <c r="D148" s="11" t="s">
        <v>122</v>
      </c>
      <c r="E148" s="134" t="str">
        <f>VLOOKUP(F148,'Activity List CSI'!$B$4:$D$146,3,0)</f>
        <v>07100-01</v>
      </c>
      <c r="F148" s="1" t="s">
        <v>123</v>
      </c>
      <c r="G148" s="1" t="str">
        <f>VLOOKUP($E148,'Activity List CSI'!$D$4:$J$146,G$1,0)</f>
        <v>07</v>
      </c>
      <c r="H148" s="1" t="str">
        <f>VLOOKUP($E148,'Activity List CSI'!$D$4:$J$146,H$1,0)</f>
        <v>Insulation</v>
      </c>
      <c r="I148" s="1" t="str">
        <f>VLOOKUP(D148,'Activity List CSI'!$C$4:$H$146,6,0)</f>
        <v>07100</v>
      </c>
      <c r="J148" s="1" t="str">
        <f>VLOOKUP($E148,'Activity List CSI'!$D$4:$J$146,J$1,0)</f>
        <v>Damproofing &amp; Waterproofing</v>
      </c>
      <c r="K148" s="1" t="s">
        <v>584</v>
      </c>
      <c r="L148" s="1">
        <v>320</v>
      </c>
      <c r="M148" s="13" t="str">
        <f t="shared" si="7"/>
        <v>07100320</v>
      </c>
      <c r="N148" s="12" t="s">
        <v>606</v>
      </c>
    </row>
    <row r="149" spans="4:14" x14ac:dyDescent="0.25">
      <c r="D149" s="11" t="s">
        <v>124</v>
      </c>
      <c r="E149" s="134" t="str">
        <f>VLOOKUP(F149,'Activity List CSI'!$B$4:$D$146,3,0)</f>
        <v>07100-02</v>
      </c>
      <c r="F149" s="1" t="s">
        <v>125</v>
      </c>
      <c r="G149" s="1" t="str">
        <f>VLOOKUP($E149,'Activity List CSI'!$D$4:$J$146,G$1,0)</f>
        <v>07</v>
      </c>
      <c r="H149" s="1" t="str">
        <f>VLOOKUP($E149,'Activity List CSI'!$D$4:$J$146,H$1,0)</f>
        <v>Insulation</v>
      </c>
      <c r="I149" s="1" t="str">
        <f>VLOOKUP(D149,'Activity List CSI'!$C$4:$H$146,6,0)</f>
        <v>07100</v>
      </c>
      <c r="J149" s="1" t="str">
        <f>VLOOKUP($E149,'Activity List CSI'!$D$4:$J$146,J$1,0)</f>
        <v>Damproofing &amp; Waterproofing</v>
      </c>
      <c r="K149" s="1" t="s">
        <v>584</v>
      </c>
      <c r="L149" s="1">
        <v>320</v>
      </c>
      <c r="M149" s="13" t="str">
        <f t="shared" si="7"/>
        <v>07100320</v>
      </c>
      <c r="N149" s="12" t="s">
        <v>606</v>
      </c>
    </row>
    <row r="150" spans="4:14" x14ac:dyDescent="0.25">
      <c r="D150" s="11" t="s">
        <v>126</v>
      </c>
      <c r="E150" s="134" t="str">
        <f>VLOOKUP(F150,'Activity List CSI'!$B$4:$D$146,3,0)</f>
        <v>07100-03</v>
      </c>
      <c r="F150" s="1" t="s">
        <v>127</v>
      </c>
      <c r="G150" s="1" t="str">
        <f>VLOOKUP($E150,'Activity List CSI'!$D$4:$J$146,G$1,0)</f>
        <v>07</v>
      </c>
      <c r="H150" s="1" t="str">
        <f>VLOOKUP($E150,'Activity List CSI'!$D$4:$J$146,H$1,0)</f>
        <v>Insulation</v>
      </c>
      <c r="I150" s="1" t="str">
        <f>VLOOKUP(D150,'Activity List CSI'!$C$4:$H$146,6,0)</f>
        <v>07100</v>
      </c>
      <c r="J150" s="1" t="str">
        <f>VLOOKUP($E150,'Activity List CSI'!$D$4:$J$146,J$1,0)</f>
        <v>Damproofing &amp; Waterproofing</v>
      </c>
      <c r="K150" s="1" t="s">
        <v>584</v>
      </c>
      <c r="L150" s="1">
        <v>320</v>
      </c>
      <c r="M150" s="13" t="str">
        <f t="shared" si="7"/>
        <v>07100320</v>
      </c>
      <c r="N150" s="12" t="s">
        <v>606</v>
      </c>
    </row>
    <row r="151" spans="4:14" x14ac:dyDescent="0.25">
      <c r="D151" s="11" t="s">
        <v>128</v>
      </c>
      <c r="E151" s="134" t="str">
        <f>VLOOKUP(F151,'Activity List CSI'!$B$4:$D$146,3,0)</f>
        <v>07100-04</v>
      </c>
      <c r="F151" s="1" t="s">
        <v>129</v>
      </c>
      <c r="G151" s="1" t="str">
        <f>VLOOKUP($E151,'Activity List CSI'!$D$4:$J$146,G$1,0)</f>
        <v>07</v>
      </c>
      <c r="H151" s="1" t="str">
        <f>VLOOKUP($E151,'Activity List CSI'!$D$4:$J$146,H$1,0)</f>
        <v>Insulation</v>
      </c>
      <c r="I151" s="1" t="str">
        <f>VLOOKUP(D151,'Activity List CSI'!$C$4:$H$146,6,0)</f>
        <v>07100</v>
      </c>
      <c r="J151" s="1" t="str">
        <f>VLOOKUP($E151,'Activity List CSI'!$D$4:$J$146,J$1,0)</f>
        <v>Damproofing &amp; Waterproofing</v>
      </c>
      <c r="K151" s="1" t="s">
        <v>584</v>
      </c>
      <c r="L151" s="1">
        <v>320</v>
      </c>
      <c r="M151" s="13" t="str">
        <f t="shared" si="7"/>
        <v>07100320</v>
      </c>
      <c r="N151" s="12" t="s">
        <v>606</v>
      </c>
    </row>
    <row r="152" spans="4:14" x14ac:dyDescent="0.25">
      <c r="D152" s="11" t="s">
        <v>130</v>
      </c>
      <c r="E152" s="134" t="str">
        <f>VLOOKUP(F152,'Activity List CSI'!$B$4:$D$146,3,0)</f>
        <v>07200-01</v>
      </c>
      <c r="F152" s="1" t="s">
        <v>131</v>
      </c>
      <c r="G152" s="1" t="str">
        <f>VLOOKUP($E152,'Activity List CSI'!$D$4:$J$146,G$1,0)</f>
        <v>07</v>
      </c>
      <c r="H152" s="1" t="str">
        <f>VLOOKUP($E152,'Activity List CSI'!$D$4:$J$146,H$1,0)</f>
        <v>Insulation</v>
      </c>
      <c r="I152" s="1" t="str">
        <f>VLOOKUP(D152,'Activity List CSI'!$C$4:$H$146,6,0)</f>
        <v>07200</v>
      </c>
      <c r="J152" s="1" t="str">
        <f>VLOOKUP($E152,'Activity List CSI'!$D$4:$J$146,J$1,0)</f>
        <v>Thermal Protection</v>
      </c>
      <c r="K152" s="1" t="s">
        <v>584</v>
      </c>
      <c r="L152" s="1">
        <v>320</v>
      </c>
      <c r="M152" s="13" t="str">
        <f t="shared" si="7"/>
        <v>07200320</v>
      </c>
      <c r="N152" s="12" t="s">
        <v>606</v>
      </c>
    </row>
    <row r="153" spans="4:14" x14ac:dyDescent="0.25">
      <c r="D153" s="11" t="s">
        <v>132</v>
      </c>
      <c r="E153" s="134" t="str">
        <f>VLOOKUP(F153,'Activity List CSI'!$B$4:$D$146,3,0)</f>
        <v>07400-01</v>
      </c>
      <c r="F153" s="1" t="s">
        <v>133</v>
      </c>
      <c r="G153" s="1" t="str">
        <f>VLOOKUP($E153,'Activity List CSI'!$D$4:$J$146,G$1,0)</f>
        <v>07</v>
      </c>
      <c r="H153" s="1" t="str">
        <f>VLOOKUP($E153,'Activity List CSI'!$D$4:$J$146,H$1,0)</f>
        <v>Insulation</v>
      </c>
      <c r="I153" s="1" t="str">
        <f>VLOOKUP(D153,'Activity List CSI'!$C$4:$H$146,6,0)</f>
        <v>07400</v>
      </c>
      <c r="J153" s="1" t="str">
        <f>VLOOKUP($E153,'Activity List CSI'!$D$4:$J$146,J$1,0)</f>
        <v>Roofing &amp; Siding Panels</v>
      </c>
      <c r="K153" s="1" t="s">
        <v>584</v>
      </c>
      <c r="L153" s="1">
        <v>320</v>
      </c>
      <c r="M153" s="13" t="str">
        <f t="shared" si="7"/>
        <v>07400320</v>
      </c>
      <c r="N153" s="12" t="s">
        <v>606</v>
      </c>
    </row>
    <row r="154" spans="4:14" x14ac:dyDescent="0.25">
      <c r="D154" s="11" t="s">
        <v>134</v>
      </c>
      <c r="E154" s="134" t="str">
        <f>VLOOKUP(F154,'Activity List CSI'!$B$4:$D$146,3,0)</f>
        <v>07200-03</v>
      </c>
      <c r="F154" s="1" t="s">
        <v>135</v>
      </c>
      <c r="G154" s="1" t="str">
        <f>VLOOKUP($E154,'Activity List CSI'!$D$4:$J$146,G$1,0)</f>
        <v>07</v>
      </c>
      <c r="H154" s="1" t="str">
        <f>VLOOKUP($E154,'Activity List CSI'!$D$4:$J$146,H$1,0)</f>
        <v>Insulation</v>
      </c>
      <c r="I154" s="1" t="str">
        <f>VLOOKUP(D154,'Activity List CSI'!$C$4:$H$146,6,0)</f>
        <v>07200</v>
      </c>
      <c r="J154" s="1" t="str">
        <f>VLOOKUP($E154,'Activity List CSI'!$D$4:$J$146,J$1,0)</f>
        <v>Thermal Protection</v>
      </c>
      <c r="K154" s="1" t="s">
        <v>591</v>
      </c>
      <c r="L154" s="1">
        <v>315</v>
      </c>
      <c r="M154" s="13" t="str">
        <f t="shared" si="7"/>
        <v>07200315</v>
      </c>
      <c r="N154" s="12" t="s">
        <v>608</v>
      </c>
    </row>
    <row r="155" spans="4:14" x14ac:dyDescent="0.25">
      <c r="D155" s="11" t="s">
        <v>134</v>
      </c>
      <c r="E155" s="134" t="str">
        <f>VLOOKUP(F155,'Activity List CSI'!$B$4:$D$146,3,0)</f>
        <v>07200-03</v>
      </c>
      <c r="F155" s="1" t="s">
        <v>135</v>
      </c>
      <c r="G155" s="1" t="str">
        <f>VLOOKUP($E155,'Activity List CSI'!$D$4:$J$146,G$1,0)</f>
        <v>07</v>
      </c>
      <c r="H155" s="1" t="str">
        <f>VLOOKUP($E155,'Activity List CSI'!$D$4:$J$146,H$1,0)</f>
        <v>Insulation</v>
      </c>
      <c r="I155" s="1" t="str">
        <f>VLOOKUP(D155,'Activity List CSI'!$C$4:$H$146,6,0)</f>
        <v>07200</v>
      </c>
      <c r="J155" s="1" t="str">
        <f>VLOOKUP($E155,'Activity List CSI'!$D$4:$J$146,J$1,0)</f>
        <v>Thermal Protection</v>
      </c>
      <c r="K155" s="1" t="s">
        <v>591</v>
      </c>
      <c r="L155" s="1">
        <v>315</v>
      </c>
      <c r="M155" s="13" t="str">
        <f t="shared" si="7"/>
        <v>07200315</v>
      </c>
      <c r="N155" s="12" t="s">
        <v>608</v>
      </c>
    </row>
    <row r="156" spans="4:14" x14ac:dyDescent="0.25">
      <c r="D156" s="11" t="s">
        <v>157</v>
      </c>
      <c r="E156" s="134" t="str">
        <f>VLOOKUP(F156,'Activity List CSI'!$B$4:$D$146,3,0)</f>
        <v>09600-01</v>
      </c>
      <c r="F156" s="1" t="s">
        <v>158</v>
      </c>
      <c r="G156" s="1" t="str">
        <f>VLOOKUP($E156,'Activity List CSI'!$D$4:$J$146,G$1,0)</f>
        <v>09</v>
      </c>
      <c r="H156" s="1" t="str">
        <f>VLOOKUP($E156,'Activity List CSI'!$D$4:$J$146,H$1,0)</f>
        <v>Finishing</v>
      </c>
      <c r="I156" s="1" t="str">
        <f>VLOOKUP(D156,'Activity List CSI'!$C$4:$H$146,6,0)</f>
        <v>09600</v>
      </c>
      <c r="J156" s="1" t="str">
        <f>VLOOKUP($E156,'Activity List CSI'!$D$4:$J$146,J$1,0)</f>
        <v>Flooring</v>
      </c>
      <c r="K156" s="1" t="s">
        <v>584</v>
      </c>
      <c r="L156" s="1">
        <v>320</v>
      </c>
      <c r="M156" s="13" t="str">
        <f t="shared" si="7"/>
        <v>09600320</v>
      </c>
      <c r="N156" s="12" t="s">
        <v>606</v>
      </c>
    </row>
    <row r="157" spans="4:14" x14ac:dyDescent="0.25">
      <c r="D157" s="11" t="s">
        <v>159</v>
      </c>
      <c r="E157" s="134" t="str">
        <f>VLOOKUP(F157,'Activity List CSI'!$B$4:$D$146,3,0)</f>
        <v>09600-02</v>
      </c>
      <c r="F157" s="1" t="s">
        <v>160</v>
      </c>
      <c r="G157" s="1" t="str">
        <f>VLOOKUP($E157,'Activity List CSI'!$D$4:$J$146,G$1,0)</f>
        <v>09</v>
      </c>
      <c r="H157" s="1" t="str">
        <f>VLOOKUP($E157,'Activity List CSI'!$D$4:$J$146,H$1,0)</f>
        <v>Finishing</v>
      </c>
      <c r="I157" s="1" t="str">
        <f>VLOOKUP(D157,'Activity List CSI'!$C$4:$H$146,6,0)</f>
        <v>09600</v>
      </c>
      <c r="J157" s="1" t="str">
        <f>VLOOKUP($E157,'Activity List CSI'!$D$4:$J$146,J$1,0)</f>
        <v>Flooring</v>
      </c>
      <c r="K157" s="1" t="s">
        <v>600</v>
      </c>
      <c r="L157" s="1">
        <v>305</v>
      </c>
      <c r="M157" s="13" t="str">
        <f t="shared" si="7"/>
        <v>09600305</v>
      </c>
      <c r="N157" s="12" t="s">
        <v>609</v>
      </c>
    </row>
    <row r="158" spans="4:14" x14ac:dyDescent="0.25">
      <c r="D158" s="11" t="s">
        <v>161</v>
      </c>
      <c r="E158" s="134" t="str">
        <f>VLOOKUP(F158,'Activity List CSI'!$B$4:$D$146,3,0)</f>
        <v>09600-03</v>
      </c>
      <c r="F158" s="1" t="s">
        <v>162</v>
      </c>
      <c r="G158" s="1" t="str">
        <f>VLOOKUP($E158,'Activity List CSI'!$D$4:$J$146,G$1,0)</f>
        <v>09</v>
      </c>
      <c r="H158" s="1" t="str">
        <f>VLOOKUP($E158,'Activity List CSI'!$D$4:$J$146,H$1,0)</f>
        <v>Finishing</v>
      </c>
      <c r="I158" s="1" t="str">
        <f>VLOOKUP(D158,'Activity List CSI'!$C$4:$H$146,6,0)</f>
        <v>09600</v>
      </c>
      <c r="J158" s="1" t="str">
        <f>VLOOKUP($E158,'Activity List CSI'!$D$4:$J$146,J$1,0)</f>
        <v>Flooring</v>
      </c>
      <c r="K158" s="1" t="s">
        <v>600</v>
      </c>
      <c r="L158" s="1">
        <v>305</v>
      </c>
      <c r="M158" s="13" t="str">
        <f t="shared" si="7"/>
        <v>09600305</v>
      </c>
      <c r="N158" s="12" t="s">
        <v>609</v>
      </c>
    </row>
    <row r="159" spans="4:14" x14ac:dyDescent="0.25">
      <c r="D159" s="11" t="s">
        <v>163</v>
      </c>
      <c r="E159" s="134" t="str">
        <f>VLOOKUP(F159,'Activity List CSI'!$B$4:$D$146,3,0)</f>
        <v>09600-04</v>
      </c>
      <c r="F159" s="1" t="s">
        <v>164</v>
      </c>
      <c r="G159" s="1" t="str">
        <f>VLOOKUP($E159,'Activity List CSI'!$D$4:$J$146,G$1,0)</f>
        <v>09</v>
      </c>
      <c r="H159" s="1" t="str">
        <f>VLOOKUP($E159,'Activity List CSI'!$D$4:$J$146,H$1,0)</f>
        <v>Finishing</v>
      </c>
      <c r="I159" s="1" t="str">
        <f>VLOOKUP(D159,'Activity List CSI'!$C$4:$H$146,6,0)</f>
        <v>09600</v>
      </c>
      <c r="J159" s="1" t="str">
        <f>VLOOKUP($E159,'Activity List CSI'!$D$4:$J$146,J$1,0)</f>
        <v>Flooring</v>
      </c>
      <c r="K159" s="1" t="s">
        <v>585</v>
      </c>
      <c r="L159" s="1">
        <v>310</v>
      </c>
      <c r="M159" s="13" t="str">
        <f t="shared" si="7"/>
        <v>09600310</v>
      </c>
      <c r="N159" s="12" t="s">
        <v>610</v>
      </c>
    </row>
    <row r="160" spans="4:14" x14ac:dyDescent="0.25">
      <c r="D160" s="11" t="s">
        <v>165</v>
      </c>
      <c r="E160" s="134" t="str">
        <f>VLOOKUP(F160,'Activity List CSI'!$B$4:$D$146,3,0)</f>
        <v>09600-05</v>
      </c>
      <c r="F160" s="1" t="s">
        <v>166</v>
      </c>
      <c r="G160" s="1" t="str">
        <f>VLOOKUP($E160,'Activity List CSI'!$D$4:$J$146,G$1,0)</f>
        <v>09</v>
      </c>
      <c r="H160" s="1" t="str">
        <f>VLOOKUP($E160,'Activity List CSI'!$D$4:$J$146,H$1,0)</f>
        <v>Finishing</v>
      </c>
      <c r="I160" s="1" t="str">
        <f>VLOOKUP(D160,'Activity List CSI'!$C$4:$H$146,6,0)</f>
        <v>09600</v>
      </c>
      <c r="J160" s="1" t="str">
        <f>VLOOKUP($E160,'Activity List CSI'!$D$4:$J$146,J$1,0)</f>
        <v>Flooring</v>
      </c>
      <c r="K160" s="1" t="s">
        <v>581</v>
      </c>
      <c r="L160" s="1">
        <v>305</v>
      </c>
      <c r="M160" s="13" t="str">
        <f t="shared" si="7"/>
        <v>09600305</v>
      </c>
      <c r="N160" s="12" t="s">
        <v>611</v>
      </c>
    </row>
    <row r="161" spans="4:14" x14ac:dyDescent="0.25">
      <c r="D161" s="11" t="s">
        <v>167</v>
      </c>
      <c r="E161" s="134" t="str">
        <f>VLOOKUP(F161,'Activity List CSI'!$B$4:$D$146,3,0)</f>
        <v>09300-01</v>
      </c>
      <c r="F161" s="1" t="s">
        <v>168</v>
      </c>
      <c r="G161" s="1" t="str">
        <f>VLOOKUP($E161,'Activity List CSI'!$D$4:$J$146,G$1,0)</f>
        <v>09</v>
      </c>
      <c r="H161" s="1" t="str">
        <f>VLOOKUP($E161,'Activity List CSI'!$D$4:$J$146,H$1,0)</f>
        <v>Finishing</v>
      </c>
      <c r="I161" s="1" t="str">
        <f>VLOOKUP(D161,'Activity List CSI'!$C$4:$H$146,6,0)</f>
        <v>09300</v>
      </c>
      <c r="J161" s="1" t="str">
        <f>VLOOKUP($E161,'Activity List CSI'!$D$4:$J$146,J$1,0)</f>
        <v>Tile</v>
      </c>
      <c r="K161" s="1" t="s">
        <v>600</v>
      </c>
      <c r="L161" s="1">
        <v>305</v>
      </c>
      <c r="M161" s="1" t="str">
        <f t="shared" si="7"/>
        <v>09300305</v>
      </c>
      <c r="N161" s="12" t="str">
        <f t="shared" ref="N161:N163" si="8">M161</f>
        <v>09300305</v>
      </c>
    </row>
    <row r="162" spans="4:14" x14ac:dyDescent="0.25">
      <c r="D162" s="11" t="s">
        <v>169</v>
      </c>
      <c r="E162" s="134" t="str">
        <f>VLOOKUP(F162,'Activity List CSI'!$B$4:$D$146,3,0)</f>
        <v>09300-02</v>
      </c>
      <c r="F162" s="1" t="s">
        <v>170</v>
      </c>
      <c r="G162" s="1" t="str">
        <f>VLOOKUP($E162,'Activity List CSI'!$D$4:$J$146,G$1,0)</f>
        <v>09</v>
      </c>
      <c r="H162" s="1" t="str">
        <f>VLOOKUP($E162,'Activity List CSI'!$D$4:$J$146,H$1,0)</f>
        <v>Finishing</v>
      </c>
      <c r="I162" s="1" t="str">
        <f>VLOOKUP(D162,'Activity List CSI'!$C$4:$H$146,6,0)</f>
        <v>09300</v>
      </c>
      <c r="J162" s="1" t="str">
        <f>VLOOKUP($E162,'Activity List CSI'!$D$4:$J$146,J$1,0)</f>
        <v>Tile</v>
      </c>
      <c r="K162" s="1" t="s">
        <v>600</v>
      </c>
      <c r="L162" s="1">
        <v>305</v>
      </c>
      <c r="M162" s="1" t="str">
        <f t="shared" si="7"/>
        <v>09300305</v>
      </c>
      <c r="N162" s="12" t="str">
        <f t="shared" si="8"/>
        <v>09300305</v>
      </c>
    </row>
    <row r="163" spans="4:14" x14ac:dyDescent="0.25">
      <c r="D163" s="11" t="s">
        <v>171</v>
      </c>
      <c r="E163" s="134" t="str">
        <f>VLOOKUP(F163,'Activity List CSI'!$B$4:$D$146,3,0)</f>
        <v>09300-03</v>
      </c>
      <c r="F163" s="1" t="s">
        <v>172</v>
      </c>
      <c r="G163" s="1" t="str">
        <f>VLOOKUP($E163,'Activity List CSI'!$D$4:$J$146,G$1,0)</f>
        <v>09</v>
      </c>
      <c r="H163" s="1" t="str">
        <f>VLOOKUP($E163,'Activity List CSI'!$D$4:$J$146,H$1,0)</f>
        <v>Finishing</v>
      </c>
      <c r="I163" s="1" t="str">
        <f>VLOOKUP(D163,'Activity List CSI'!$C$4:$H$146,6,0)</f>
        <v>09300</v>
      </c>
      <c r="J163" s="1" t="str">
        <f>VLOOKUP($E163,'Activity List CSI'!$D$4:$J$146,J$1,0)</f>
        <v>Tile</v>
      </c>
      <c r="K163" s="1" t="s">
        <v>585</v>
      </c>
      <c r="L163" s="1">
        <v>310</v>
      </c>
      <c r="M163" s="1" t="str">
        <f t="shared" si="7"/>
        <v>09300310</v>
      </c>
      <c r="N163" s="12" t="str">
        <f t="shared" si="8"/>
        <v>09300310</v>
      </c>
    </row>
    <row r="164" spans="4:14" x14ac:dyDescent="0.25">
      <c r="D164" s="11" t="s">
        <v>173</v>
      </c>
      <c r="E164" s="134" t="str">
        <f>VLOOKUP(F164,'Activity List CSI'!$B$4:$D$146,3,0)</f>
        <v>09300-04</v>
      </c>
      <c r="F164" s="1" t="s">
        <v>174</v>
      </c>
      <c r="G164" s="1" t="str">
        <f>VLOOKUP($E164,'Activity List CSI'!$D$4:$J$146,G$1,0)</f>
        <v>09</v>
      </c>
      <c r="H164" s="1" t="str">
        <f>VLOOKUP($E164,'Activity List CSI'!$D$4:$J$146,H$1,0)</f>
        <v>Finishing</v>
      </c>
      <c r="I164" s="1" t="str">
        <f>VLOOKUP(D164,'Activity List CSI'!$C$4:$H$146,6,0)</f>
        <v>09300</v>
      </c>
      <c r="J164" s="1" t="str">
        <f>VLOOKUP($E164,'Activity List CSI'!$D$4:$J$146,J$1,0)</f>
        <v>Tile</v>
      </c>
      <c r="K164" s="1" t="s">
        <v>581</v>
      </c>
      <c r="L164" s="1">
        <v>305</v>
      </c>
      <c r="M164" s="13" t="str">
        <f t="shared" si="7"/>
        <v>09300305</v>
      </c>
      <c r="N164" s="12" t="s">
        <v>611</v>
      </c>
    </row>
    <row r="165" spans="4:14" x14ac:dyDescent="0.25">
      <c r="D165" s="11" t="s">
        <v>175</v>
      </c>
      <c r="E165" s="134" t="str">
        <f>VLOOKUP(F165,'Activity List CSI'!$B$4:$D$146,3,0)</f>
        <v>09300-05</v>
      </c>
      <c r="F165" s="1" t="s">
        <v>176</v>
      </c>
      <c r="G165" s="1" t="str">
        <f>VLOOKUP($E165,'Activity List CSI'!$D$4:$J$146,G$1,0)</f>
        <v>09</v>
      </c>
      <c r="H165" s="1" t="str">
        <f>VLOOKUP($E165,'Activity List CSI'!$D$4:$J$146,H$1,0)</f>
        <v>Finishing</v>
      </c>
      <c r="I165" s="1" t="str">
        <f>VLOOKUP(D165,'Activity List CSI'!$C$4:$H$146,6,0)</f>
        <v>09300</v>
      </c>
      <c r="J165" s="1" t="str">
        <f>VLOOKUP($E165,'Activity List CSI'!$D$4:$J$146,J$1,0)</f>
        <v>Tile</v>
      </c>
      <c r="K165" s="1" t="s">
        <v>600</v>
      </c>
      <c r="L165" s="1">
        <v>305</v>
      </c>
      <c r="M165" s="1" t="str">
        <f t="shared" si="7"/>
        <v>09300305</v>
      </c>
      <c r="N165" s="12" t="str">
        <f t="shared" ref="N165:N167" si="9">M165</f>
        <v>09300305</v>
      </c>
    </row>
    <row r="166" spans="4:14" x14ac:dyDescent="0.25">
      <c r="D166" s="11" t="s">
        <v>177</v>
      </c>
      <c r="E166" s="134" t="str">
        <f>VLOOKUP(F166,'Activity List CSI'!$B$4:$D$146,3,0)</f>
        <v>09300-06</v>
      </c>
      <c r="F166" s="1" t="s">
        <v>178</v>
      </c>
      <c r="G166" s="1" t="str">
        <f>VLOOKUP($E166,'Activity List CSI'!$D$4:$J$146,G$1,0)</f>
        <v>09</v>
      </c>
      <c r="H166" s="1" t="str">
        <f>VLOOKUP($E166,'Activity List CSI'!$D$4:$J$146,H$1,0)</f>
        <v>Finishing</v>
      </c>
      <c r="I166" s="1" t="str">
        <f>VLOOKUP(D166,'Activity List CSI'!$C$4:$H$146,6,0)</f>
        <v>09300</v>
      </c>
      <c r="J166" s="1" t="str">
        <f>VLOOKUP($E166,'Activity List CSI'!$D$4:$J$146,J$1,0)</f>
        <v>Tile</v>
      </c>
      <c r="K166" s="1" t="s">
        <v>600</v>
      </c>
      <c r="L166" s="1">
        <v>305</v>
      </c>
      <c r="M166" s="1" t="str">
        <f t="shared" si="7"/>
        <v>09300305</v>
      </c>
      <c r="N166" s="12" t="str">
        <f t="shared" si="9"/>
        <v>09300305</v>
      </c>
    </row>
    <row r="167" spans="4:14" x14ac:dyDescent="0.25">
      <c r="D167" s="11" t="s">
        <v>179</v>
      </c>
      <c r="E167" s="134" t="str">
        <f>VLOOKUP(F167,'Activity List CSI'!$B$4:$D$146,3,0)</f>
        <v>09300-07</v>
      </c>
      <c r="F167" s="1" t="s">
        <v>180</v>
      </c>
      <c r="G167" s="1" t="str">
        <f>VLOOKUP($E167,'Activity List CSI'!$D$4:$J$146,G$1,0)</f>
        <v>09</v>
      </c>
      <c r="H167" s="1" t="str">
        <f>VLOOKUP($E167,'Activity List CSI'!$D$4:$J$146,H$1,0)</f>
        <v>Finishing</v>
      </c>
      <c r="I167" s="1" t="str">
        <f>VLOOKUP(D167,'Activity List CSI'!$C$4:$H$146,6,0)</f>
        <v>09300</v>
      </c>
      <c r="J167" s="1" t="str">
        <f>VLOOKUP($E167,'Activity List CSI'!$D$4:$J$146,J$1,0)</f>
        <v>Tile</v>
      </c>
      <c r="K167" s="1" t="s">
        <v>585</v>
      </c>
      <c r="L167" s="1">
        <v>310</v>
      </c>
      <c r="M167" s="1" t="str">
        <f t="shared" si="7"/>
        <v>09300310</v>
      </c>
      <c r="N167" s="12" t="str">
        <f t="shared" si="9"/>
        <v>09300310</v>
      </c>
    </row>
    <row r="168" spans="4:14" x14ac:dyDescent="0.25">
      <c r="D168" s="11" t="s">
        <v>181</v>
      </c>
      <c r="E168" s="134" t="str">
        <f>VLOOKUP(F168,'Activity List CSI'!$B$4:$D$146,3,0)</f>
        <v>09700-01</v>
      </c>
      <c r="F168" s="1" t="s">
        <v>182</v>
      </c>
      <c r="G168" s="1" t="str">
        <f>VLOOKUP($E168,'Activity List CSI'!$D$4:$J$146,G$1,0)</f>
        <v>09</v>
      </c>
      <c r="H168" s="1" t="str">
        <f>VLOOKUP($E168,'Activity List CSI'!$D$4:$J$146,H$1,0)</f>
        <v>Finishing</v>
      </c>
      <c r="I168" s="1" t="str">
        <f>VLOOKUP(D168,'Activity List CSI'!$C$4:$H$146,6,0)</f>
        <v>09700</v>
      </c>
      <c r="J168" s="1" t="str">
        <f>VLOOKUP($E168,'Activity List CSI'!$D$4:$J$146,J$1,0)</f>
        <v>Wall Finishes</v>
      </c>
      <c r="K168" s="1" t="s">
        <v>581</v>
      </c>
      <c r="L168" s="1">
        <v>305</v>
      </c>
      <c r="M168" s="13" t="str">
        <f t="shared" si="7"/>
        <v>09700305</v>
      </c>
      <c r="N168" s="12" t="s">
        <v>611</v>
      </c>
    </row>
    <row r="169" spans="4:14" x14ac:dyDescent="0.25">
      <c r="D169" s="11" t="s">
        <v>183</v>
      </c>
      <c r="E169" s="134" t="str">
        <f>VLOOKUP(F169,'Activity List CSI'!$B$4:$D$146,3,0)</f>
        <v>09700-02</v>
      </c>
      <c r="F169" s="1" t="s">
        <v>184</v>
      </c>
      <c r="G169" s="1" t="str">
        <f>VLOOKUP($E169,'Activity List CSI'!$D$4:$J$146,G$1,0)</f>
        <v>09</v>
      </c>
      <c r="H169" s="1" t="str">
        <f>VLOOKUP($E169,'Activity List CSI'!$D$4:$J$146,H$1,0)</f>
        <v>Finishing</v>
      </c>
      <c r="I169" s="1" t="str">
        <f>VLOOKUP(D169,'Activity List CSI'!$C$4:$H$146,6,0)</f>
        <v>09700</v>
      </c>
      <c r="J169" s="1" t="str">
        <f>VLOOKUP($E169,'Activity List CSI'!$D$4:$J$146,J$1,0)</f>
        <v>Wall Finishes</v>
      </c>
      <c r="K169" s="1" t="s">
        <v>589</v>
      </c>
      <c r="L169" s="1">
        <v>305</v>
      </c>
      <c r="M169" s="13" t="str">
        <f t="shared" si="7"/>
        <v>09700305</v>
      </c>
      <c r="N169" s="12" t="s">
        <v>612</v>
      </c>
    </row>
    <row r="170" spans="4:14" x14ac:dyDescent="0.25">
      <c r="D170" s="11" t="s">
        <v>185</v>
      </c>
      <c r="E170" s="134" t="str">
        <f>VLOOKUP(F170,'Activity List CSI'!$B$4:$D$146,3,0)</f>
        <v>09200-01</v>
      </c>
      <c r="F170" s="1" t="s">
        <v>186</v>
      </c>
      <c r="G170" s="1" t="str">
        <f>VLOOKUP($E170,'Activity List CSI'!$D$4:$J$146,G$1,0)</f>
        <v>09</v>
      </c>
      <c r="H170" s="1" t="str">
        <f>VLOOKUP($E170,'Activity List CSI'!$D$4:$J$146,H$1,0)</f>
        <v>Finishing</v>
      </c>
      <c r="I170" s="1" t="str">
        <f>VLOOKUP(D170,'Activity List CSI'!$C$4:$H$146,6,0)</f>
        <v>09200</v>
      </c>
      <c r="J170" s="1" t="str">
        <f>VLOOKUP($E170,'Activity List CSI'!$D$4:$J$146,J$1,0)</f>
        <v>Plaster &amp; Gypsum Board</v>
      </c>
      <c r="K170" s="1" t="s">
        <v>589</v>
      </c>
      <c r="L170" s="1">
        <v>305</v>
      </c>
      <c r="M170" s="1" t="str">
        <f t="shared" si="7"/>
        <v>09200305</v>
      </c>
      <c r="N170" s="12" t="str">
        <f t="shared" ref="N170:N171" si="10">M170</f>
        <v>09200305</v>
      </c>
    </row>
    <row r="171" spans="4:14" x14ac:dyDescent="0.25">
      <c r="D171" s="11" t="s">
        <v>187</v>
      </c>
      <c r="E171" s="134" t="str">
        <f>VLOOKUP(F171,'Activity List CSI'!$B$4:$D$146,3,0)</f>
        <v>09200-02</v>
      </c>
      <c r="F171" s="1" t="s">
        <v>188</v>
      </c>
      <c r="G171" s="1" t="str">
        <f>VLOOKUP($E171,'Activity List CSI'!$D$4:$J$146,G$1,0)</f>
        <v>09</v>
      </c>
      <c r="H171" s="1" t="str">
        <f>VLOOKUP($E171,'Activity List CSI'!$D$4:$J$146,H$1,0)</f>
        <v>Finishing</v>
      </c>
      <c r="I171" s="1" t="str">
        <f>VLOOKUP(D171,'Activity List CSI'!$C$4:$H$146,6,0)</f>
        <v>09200</v>
      </c>
      <c r="J171" s="1" t="str">
        <f>VLOOKUP($E171,'Activity List CSI'!$D$4:$J$146,J$1,0)</f>
        <v>Plaster &amp; Gypsum Board</v>
      </c>
      <c r="K171" s="1" t="s">
        <v>589</v>
      </c>
      <c r="L171" s="1">
        <v>305</v>
      </c>
      <c r="M171" s="1" t="str">
        <f t="shared" si="7"/>
        <v>09200305</v>
      </c>
      <c r="N171" s="12" t="str">
        <f t="shared" si="10"/>
        <v>09200305</v>
      </c>
    </row>
    <row r="172" spans="4:14" x14ac:dyDescent="0.25">
      <c r="D172" s="11" t="s">
        <v>189</v>
      </c>
      <c r="E172" s="134" t="str">
        <f>VLOOKUP(F172,'Activity List CSI'!$B$4:$D$146,3,0)</f>
        <v>09200-03</v>
      </c>
      <c r="F172" s="1" t="s">
        <v>190</v>
      </c>
      <c r="G172" s="1" t="str">
        <f>VLOOKUP($E172,'Activity List CSI'!$D$4:$J$146,G$1,0)</f>
        <v>09</v>
      </c>
      <c r="H172" s="1" t="str">
        <f>VLOOKUP($E172,'Activity List CSI'!$D$4:$J$146,H$1,0)</f>
        <v>Finishing</v>
      </c>
      <c r="I172" s="1" t="str">
        <f>VLOOKUP(D172,'Activity List CSI'!$C$4:$H$146,6,0)</f>
        <v>09200</v>
      </c>
      <c r="J172" s="1" t="str">
        <f>VLOOKUP($E172,'Activity List CSI'!$D$4:$J$146,J$1,0)</f>
        <v>Plaster &amp; Gypsum Board</v>
      </c>
      <c r="K172" s="1" t="s">
        <v>581</v>
      </c>
      <c r="L172" s="1">
        <v>305</v>
      </c>
      <c r="M172" s="13" t="str">
        <f t="shared" si="7"/>
        <v>09200305</v>
      </c>
      <c r="N172" s="12" t="s">
        <v>611</v>
      </c>
    </row>
    <row r="173" spans="4:14" x14ac:dyDescent="0.25">
      <c r="D173" s="11" t="s">
        <v>191</v>
      </c>
      <c r="E173" s="134" t="str">
        <f>VLOOKUP(F173,'Activity List CSI'!$B$4:$D$146,3,0)</f>
        <v>09200-04</v>
      </c>
      <c r="F173" s="1" t="s">
        <v>192</v>
      </c>
      <c r="G173" s="1" t="str">
        <f>VLOOKUP($E173,'Activity List CSI'!$D$4:$J$146,G$1,0)</f>
        <v>09</v>
      </c>
      <c r="H173" s="1" t="str">
        <f>VLOOKUP($E173,'Activity List CSI'!$D$4:$J$146,H$1,0)</f>
        <v>Finishing</v>
      </c>
      <c r="I173" s="1" t="str">
        <f>VLOOKUP(D173,'Activity List CSI'!$C$4:$H$146,6,0)</f>
        <v>09200</v>
      </c>
      <c r="J173" s="1" t="str">
        <f>VLOOKUP($E173,'Activity List CSI'!$D$4:$J$146,J$1,0)</f>
        <v>Plaster &amp; Gypsum Board</v>
      </c>
      <c r="K173" s="1" t="s">
        <v>581</v>
      </c>
      <c r="L173" s="1">
        <v>305</v>
      </c>
      <c r="M173" s="13" t="str">
        <f t="shared" si="7"/>
        <v>09200305</v>
      </c>
      <c r="N173" s="12" t="s">
        <v>611</v>
      </c>
    </row>
    <row r="174" spans="4:14" x14ac:dyDescent="0.25">
      <c r="D174" s="11" t="s">
        <v>193</v>
      </c>
      <c r="E174" s="134" t="str">
        <f>VLOOKUP(F174,'Activity List CSI'!$B$4:$D$146,3,0)</f>
        <v>09200-05</v>
      </c>
      <c r="F174" s="1" t="s">
        <v>194</v>
      </c>
      <c r="G174" s="1" t="str">
        <f>VLOOKUP($E174,'Activity List CSI'!$D$4:$J$146,G$1,0)</f>
        <v>09</v>
      </c>
      <c r="H174" s="1" t="str">
        <f>VLOOKUP($E174,'Activity List CSI'!$D$4:$J$146,H$1,0)</f>
        <v>Finishing</v>
      </c>
      <c r="I174" s="1" t="str">
        <f>VLOOKUP(D174,'Activity List CSI'!$C$4:$H$146,6,0)</f>
        <v>09200</v>
      </c>
      <c r="J174" s="1" t="str">
        <f>VLOOKUP($E174,'Activity List CSI'!$D$4:$J$146,J$1,0)</f>
        <v>Plaster &amp; Gypsum Board</v>
      </c>
      <c r="K174" s="1" t="s">
        <v>581</v>
      </c>
      <c r="L174" s="1">
        <v>305</v>
      </c>
      <c r="M174" s="13" t="str">
        <f t="shared" si="7"/>
        <v>09200305</v>
      </c>
      <c r="N174" s="12" t="s">
        <v>611</v>
      </c>
    </row>
    <row r="175" spans="4:14" x14ac:dyDescent="0.25">
      <c r="D175" s="11" t="s">
        <v>195</v>
      </c>
      <c r="E175" s="134" t="str">
        <f>VLOOKUP(F175,'Activity List CSI'!$B$4:$D$146,3,0)</f>
        <v>09900-01</v>
      </c>
      <c r="F175" s="1" t="s">
        <v>465</v>
      </c>
      <c r="G175" s="1" t="str">
        <f>VLOOKUP($E175,'Activity List CSI'!$D$4:$J$146,G$1,0)</f>
        <v>09</v>
      </c>
      <c r="H175" s="1" t="str">
        <f>VLOOKUP($E175,'Activity List CSI'!$D$4:$J$146,H$1,0)</f>
        <v>Finishing</v>
      </c>
      <c r="I175" s="1" t="str">
        <f>VLOOKUP(D175,'Activity List CSI'!$C$4:$H$146,6,0)</f>
        <v>09900</v>
      </c>
      <c r="J175" s="1" t="str">
        <f>VLOOKUP($E175,'Activity List CSI'!$D$4:$J$146,J$1,0)</f>
        <v>Paints &amp; Coatings</v>
      </c>
      <c r="K175" s="1" t="s">
        <v>588</v>
      </c>
      <c r="L175" s="1">
        <v>305</v>
      </c>
      <c r="M175" s="1" t="str">
        <f t="shared" si="7"/>
        <v>09900305</v>
      </c>
      <c r="N175" s="12" t="str">
        <f t="shared" ref="N175:N178" si="11">M175</f>
        <v>09900305</v>
      </c>
    </row>
    <row r="176" spans="4:14" x14ac:dyDescent="0.25">
      <c r="D176" s="11" t="s">
        <v>196</v>
      </c>
      <c r="E176" s="134" t="str">
        <f>VLOOKUP(F176,'Activity List CSI'!$B$4:$D$146,3,0)</f>
        <v>09900-02</v>
      </c>
      <c r="F176" s="1" t="s">
        <v>197</v>
      </c>
      <c r="G176" s="1" t="str">
        <f>VLOOKUP($E176,'Activity List CSI'!$D$4:$J$146,G$1,0)</f>
        <v>09</v>
      </c>
      <c r="H176" s="1" t="str">
        <f>VLOOKUP($E176,'Activity List CSI'!$D$4:$J$146,H$1,0)</f>
        <v>Finishing</v>
      </c>
      <c r="I176" s="1" t="str">
        <f>VLOOKUP(D176,'Activity List CSI'!$C$4:$H$146,6,0)</f>
        <v>09900</v>
      </c>
      <c r="J176" s="1" t="str">
        <f>VLOOKUP($E176,'Activity List CSI'!$D$4:$J$146,J$1,0)</f>
        <v>Paints &amp; Coatings</v>
      </c>
      <c r="K176" s="1" t="s">
        <v>588</v>
      </c>
      <c r="L176" s="1">
        <v>305</v>
      </c>
      <c r="M176" s="1" t="str">
        <f t="shared" si="7"/>
        <v>09900305</v>
      </c>
      <c r="N176" s="12" t="str">
        <f t="shared" si="11"/>
        <v>09900305</v>
      </c>
    </row>
    <row r="177" spans="4:14" x14ac:dyDescent="0.25">
      <c r="D177" s="11" t="s">
        <v>198</v>
      </c>
      <c r="E177" s="134" t="str">
        <f>VLOOKUP(F177,'Activity List CSI'!$B$4:$D$146,3,0)</f>
        <v>09200-06</v>
      </c>
      <c r="F177" s="1" t="s">
        <v>199</v>
      </c>
      <c r="G177" s="1" t="str">
        <f>VLOOKUP($E177,'Activity List CSI'!$D$4:$J$146,G$1,0)</f>
        <v>09</v>
      </c>
      <c r="H177" s="1" t="str">
        <f>VLOOKUP($E177,'Activity List CSI'!$D$4:$J$146,H$1,0)</f>
        <v>Finishing</v>
      </c>
      <c r="I177" s="1" t="str">
        <f>VLOOKUP(D177,'Activity List CSI'!$C$4:$H$146,6,0)</f>
        <v>09200</v>
      </c>
      <c r="J177" s="1" t="str">
        <f>VLOOKUP($E177,'Activity List CSI'!$D$4:$J$146,J$1,0)</f>
        <v>Plaster &amp; Gypsum Board</v>
      </c>
      <c r="K177" s="1" t="s">
        <v>589</v>
      </c>
      <c r="L177" s="1">
        <v>305</v>
      </c>
      <c r="M177" s="1" t="str">
        <f t="shared" si="7"/>
        <v>09200305</v>
      </c>
      <c r="N177" s="12" t="str">
        <f t="shared" si="11"/>
        <v>09200305</v>
      </c>
    </row>
    <row r="178" spans="4:14" x14ac:dyDescent="0.25">
      <c r="D178" s="11" t="s">
        <v>200</v>
      </c>
      <c r="E178" s="134" t="str">
        <f>VLOOKUP(F178,'Activity List CSI'!$B$4:$D$146,3,0)</f>
        <v>09900-03</v>
      </c>
      <c r="F178" s="1" t="s">
        <v>201</v>
      </c>
      <c r="G178" s="1" t="str">
        <f>VLOOKUP($E178,'Activity List CSI'!$D$4:$J$146,G$1,0)</f>
        <v>09</v>
      </c>
      <c r="H178" s="1" t="str">
        <f>VLOOKUP($E178,'Activity List CSI'!$D$4:$J$146,H$1,0)</f>
        <v>Finishing</v>
      </c>
      <c r="I178" s="1" t="str">
        <f>VLOOKUP(D178,'Activity List CSI'!$C$4:$H$146,6,0)</f>
        <v>09900</v>
      </c>
      <c r="J178" s="1" t="str">
        <f>VLOOKUP($E178,'Activity List CSI'!$D$4:$J$146,J$1,0)</f>
        <v>Paints &amp; Coatings</v>
      </c>
      <c r="K178" s="1" t="s">
        <v>588</v>
      </c>
      <c r="L178" s="1">
        <v>305</v>
      </c>
      <c r="M178" s="1" t="str">
        <f t="shared" si="7"/>
        <v>09900305</v>
      </c>
      <c r="N178" s="12" t="str">
        <f t="shared" si="11"/>
        <v>09900305</v>
      </c>
    </row>
    <row r="179" spans="4:14" x14ac:dyDescent="0.25">
      <c r="D179" s="11" t="s">
        <v>202</v>
      </c>
      <c r="E179" s="134" t="str">
        <f>VLOOKUP(F179,'Activity List CSI'!$B$4:$D$146,3,0)</f>
        <v>09700-03</v>
      </c>
      <c r="F179" s="1" t="s">
        <v>203</v>
      </c>
      <c r="G179" s="1" t="str">
        <f>VLOOKUP($E179,'Activity List CSI'!$D$4:$J$146,G$1,0)</f>
        <v>09</v>
      </c>
      <c r="H179" s="1" t="str">
        <f>VLOOKUP($E179,'Activity List CSI'!$D$4:$J$146,H$1,0)</f>
        <v>Finishing</v>
      </c>
      <c r="I179" s="1" t="str">
        <f>VLOOKUP(D179,'Activity List CSI'!$C$4:$H$146,6,0)</f>
        <v>09700</v>
      </c>
      <c r="J179" s="1" t="str">
        <f>VLOOKUP($E179,'Activity List CSI'!$D$4:$J$146,J$1,0)</f>
        <v>Wall Finishes</v>
      </c>
      <c r="K179" s="1" t="s">
        <v>600</v>
      </c>
      <c r="L179" s="1">
        <v>305</v>
      </c>
      <c r="M179" s="13" t="str">
        <f t="shared" si="7"/>
        <v>09700305</v>
      </c>
      <c r="N179" s="12" t="s">
        <v>609</v>
      </c>
    </row>
    <row r="180" spans="4:14" x14ac:dyDescent="0.25">
      <c r="D180" s="11" t="s">
        <v>204</v>
      </c>
      <c r="E180" s="134" t="str">
        <f>VLOOKUP(F180,'Activity List CSI'!$B$4:$D$146,3,0)</f>
        <v>09700-04</v>
      </c>
      <c r="F180" s="1" t="s">
        <v>205</v>
      </c>
      <c r="G180" s="1" t="str">
        <f>VLOOKUP($E180,'Activity List CSI'!$D$4:$J$146,G$1,0)</f>
        <v>09</v>
      </c>
      <c r="H180" s="1" t="str">
        <f>VLOOKUP($E180,'Activity List CSI'!$D$4:$J$146,H$1,0)</f>
        <v>Finishing</v>
      </c>
      <c r="I180" s="1" t="str">
        <f>VLOOKUP(D180,'Activity List CSI'!$C$4:$H$146,6,0)</f>
        <v>09700</v>
      </c>
      <c r="J180" s="1" t="str">
        <f>VLOOKUP($E180,'Activity List CSI'!$D$4:$J$146,J$1,0)</f>
        <v>Wall Finishes</v>
      </c>
      <c r="K180" s="1" t="s">
        <v>600</v>
      </c>
      <c r="L180" s="1">
        <v>305</v>
      </c>
      <c r="M180" s="13" t="str">
        <f t="shared" si="7"/>
        <v>09700305</v>
      </c>
      <c r="N180" s="12" t="s">
        <v>609</v>
      </c>
    </row>
    <row r="181" spans="4:14" x14ac:dyDescent="0.25">
      <c r="D181" s="11" t="s">
        <v>206</v>
      </c>
      <c r="E181" s="134" t="str">
        <f>VLOOKUP(F181,'Activity List CSI'!$B$4:$D$146,3,0)</f>
        <v>09700-05</v>
      </c>
      <c r="F181" s="1" t="s">
        <v>469</v>
      </c>
      <c r="G181" s="1" t="str">
        <f>VLOOKUP($E181,'Activity List CSI'!$D$4:$J$146,G$1,0)</f>
        <v>09</v>
      </c>
      <c r="H181" s="1" t="str">
        <f>VLOOKUP($E181,'Activity List CSI'!$D$4:$J$146,H$1,0)</f>
        <v>Finishing</v>
      </c>
      <c r="I181" s="1" t="str">
        <f>VLOOKUP(D181,'Activity List CSI'!$C$4:$H$146,6,0)</f>
        <v>09700</v>
      </c>
      <c r="J181" s="1" t="str">
        <f>VLOOKUP($E181,'Activity List CSI'!$D$4:$J$146,J$1,0)</f>
        <v>Wall Finishes</v>
      </c>
      <c r="K181" s="1" t="s">
        <v>600</v>
      </c>
      <c r="L181" s="1">
        <v>305</v>
      </c>
      <c r="M181" s="13" t="str">
        <f t="shared" si="7"/>
        <v>09700305</v>
      </c>
      <c r="N181" s="12" t="s">
        <v>609</v>
      </c>
    </row>
    <row r="182" spans="4:14" x14ac:dyDescent="0.25">
      <c r="D182" s="11" t="s">
        <v>292</v>
      </c>
      <c r="E182" s="134" t="str">
        <f>VLOOKUP(F182,'Activity List CSI'!$B$4:$D$146,3,0)</f>
        <v>15100-01</v>
      </c>
      <c r="F182" s="1" t="s">
        <v>288</v>
      </c>
      <c r="G182" s="1" t="str">
        <f>VLOOKUP($E182,'Activity List CSI'!$D$4:$J$146,G$1,0)</f>
        <v>15</v>
      </c>
      <c r="H182" s="1" t="str">
        <f>VLOOKUP($E182,'Activity List CSI'!$D$4:$J$146,H$1,0)</f>
        <v>Mechanical Work</v>
      </c>
      <c r="I182" s="1" t="str">
        <f>VLOOKUP(D182,'Activity List CSI'!$C$4:$H$146,6,0)</f>
        <v>15100</v>
      </c>
      <c r="J182" s="1" t="str">
        <f>VLOOKUP($E182,'Activity List CSI'!$D$4:$J$146,J$1,0)</f>
        <v>Buliding Service Piping</v>
      </c>
      <c r="K182" s="1" t="s">
        <v>590</v>
      </c>
      <c r="L182" s="1">
        <v>305</v>
      </c>
      <c r="M182" s="1" t="str">
        <f t="shared" si="7"/>
        <v>15100305</v>
      </c>
      <c r="N182" s="12" t="str">
        <f t="shared" ref="N182:N190" si="12">M182</f>
        <v>15100305</v>
      </c>
    </row>
    <row r="183" spans="4:14" x14ac:dyDescent="0.25">
      <c r="D183" s="11" t="s">
        <v>293</v>
      </c>
      <c r="E183" s="134" t="str">
        <f>VLOOKUP(F183,'Activity List CSI'!$B$4:$D$146,3,0)</f>
        <v>15100-02</v>
      </c>
      <c r="F183" s="1" t="s">
        <v>289</v>
      </c>
      <c r="G183" s="1" t="str">
        <f>VLOOKUP($E183,'Activity List CSI'!$D$4:$J$146,G$1,0)</f>
        <v>15</v>
      </c>
      <c r="H183" s="1" t="str">
        <f>VLOOKUP($E183,'Activity List CSI'!$D$4:$J$146,H$1,0)</f>
        <v>Mechanical Work</v>
      </c>
      <c r="I183" s="1" t="str">
        <f>VLOOKUP(D183,'Activity List CSI'!$C$4:$H$146,6,0)</f>
        <v>15100</v>
      </c>
      <c r="J183" s="1" t="str">
        <f>VLOOKUP($E183,'Activity List CSI'!$D$4:$J$146,J$1,0)</f>
        <v>Buliding Service Piping</v>
      </c>
      <c r="K183" s="1" t="s">
        <v>590</v>
      </c>
      <c r="L183" s="1">
        <v>305</v>
      </c>
      <c r="M183" s="1" t="str">
        <f t="shared" si="7"/>
        <v>15100305</v>
      </c>
      <c r="N183" s="12" t="str">
        <f t="shared" si="12"/>
        <v>15100305</v>
      </c>
    </row>
    <row r="184" spans="4:14" x14ac:dyDescent="0.25">
      <c r="D184" s="11" t="s">
        <v>294</v>
      </c>
      <c r="E184" s="134" t="str">
        <f>VLOOKUP(F184,'Activity List CSI'!$B$4:$D$146,3,0)</f>
        <v>15100-03</v>
      </c>
      <c r="F184" s="1" t="s">
        <v>290</v>
      </c>
      <c r="G184" s="1" t="str">
        <f>VLOOKUP($E184,'Activity List CSI'!$D$4:$J$146,G$1,0)</f>
        <v>15</v>
      </c>
      <c r="H184" s="1" t="str">
        <f>VLOOKUP($E184,'Activity List CSI'!$D$4:$J$146,H$1,0)</f>
        <v>Mechanical Work</v>
      </c>
      <c r="I184" s="1" t="str">
        <f>VLOOKUP(D184,'Activity List CSI'!$C$4:$H$146,6,0)</f>
        <v>15100</v>
      </c>
      <c r="J184" s="1" t="str">
        <f>VLOOKUP($E184,'Activity List CSI'!$D$4:$J$146,J$1,0)</f>
        <v>Buliding Service Piping</v>
      </c>
      <c r="K184" s="1" t="s">
        <v>590</v>
      </c>
      <c r="L184" s="1">
        <v>305</v>
      </c>
      <c r="M184" s="1" t="str">
        <f t="shared" si="7"/>
        <v>15100305</v>
      </c>
      <c r="N184" s="12" t="str">
        <f t="shared" si="12"/>
        <v>15100305</v>
      </c>
    </row>
    <row r="185" spans="4:14" x14ac:dyDescent="0.25">
      <c r="D185" s="11" t="s">
        <v>300</v>
      </c>
      <c r="E185" s="134" t="str">
        <f>VLOOKUP(F185,'Activity List CSI'!$B$4:$D$146,3,0)</f>
        <v>15200-01</v>
      </c>
      <c r="F185" s="1" t="s">
        <v>295</v>
      </c>
      <c r="G185" s="1" t="str">
        <f>VLOOKUP($E185,'Activity List CSI'!$D$4:$J$146,G$1,0)</f>
        <v>15</v>
      </c>
      <c r="H185" s="1" t="str">
        <f>VLOOKUP($E185,'Activity List CSI'!$D$4:$J$146,H$1,0)</f>
        <v>Mechanical Work</v>
      </c>
      <c r="I185" s="1" t="str">
        <f>VLOOKUP(D185,'Activity List CSI'!$C$4:$H$146,6,0)</f>
        <v>15200</v>
      </c>
      <c r="J185" s="1" t="str">
        <f>VLOOKUP($E185,'Activity List CSI'!$D$4:$J$146,J$1,0)</f>
        <v>Process Piping</v>
      </c>
      <c r="K185" s="1" t="s">
        <v>592</v>
      </c>
      <c r="L185" s="1">
        <v>305</v>
      </c>
      <c r="M185" s="1" t="str">
        <f t="shared" si="7"/>
        <v>15200305</v>
      </c>
      <c r="N185" s="12" t="str">
        <f t="shared" si="12"/>
        <v>15200305</v>
      </c>
    </row>
    <row r="186" spans="4:14" x14ac:dyDescent="0.25">
      <c r="D186" s="11" t="s">
        <v>301</v>
      </c>
      <c r="E186" s="134" t="str">
        <f>VLOOKUP(F186,'Activity List CSI'!$B$4:$D$146,3,0)</f>
        <v>15200-02</v>
      </c>
      <c r="F186" s="1" t="s">
        <v>296</v>
      </c>
      <c r="G186" s="1" t="str">
        <f>VLOOKUP($E186,'Activity List CSI'!$D$4:$J$146,G$1,0)</f>
        <v>15</v>
      </c>
      <c r="H186" s="1" t="str">
        <f>VLOOKUP($E186,'Activity List CSI'!$D$4:$J$146,H$1,0)</f>
        <v>Mechanical Work</v>
      </c>
      <c r="I186" s="1" t="str">
        <f>VLOOKUP(D186,'Activity List CSI'!$C$4:$H$146,6,0)</f>
        <v>15200</v>
      </c>
      <c r="J186" s="1" t="str">
        <f>VLOOKUP($E186,'Activity List CSI'!$D$4:$J$146,J$1,0)</f>
        <v>Process Piping</v>
      </c>
      <c r="K186" s="1" t="s">
        <v>592</v>
      </c>
      <c r="L186" s="1">
        <v>305</v>
      </c>
      <c r="M186" s="1" t="str">
        <f t="shared" si="7"/>
        <v>15200305</v>
      </c>
      <c r="N186" s="12" t="str">
        <f t="shared" si="12"/>
        <v>15200305</v>
      </c>
    </row>
    <row r="187" spans="4:14" x14ac:dyDescent="0.25">
      <c r="D187" s="11" t="s">
        <v>302</v>
      </c>
      <c r="E187" s="134" t="str">
        <f>VLOOKUP(F187,'Activity List CSI'!$B$4:$D$146,3,0)</f>
        <v>15200-03</v>
      </c>
      <c r="F187" s="1" t="s">
        <v>297</v>
      </c>
      <c r="G187" s="1" t="str">
        <f>VLOOKUP($E187,'Activity List CSI'!$D$4:$J$146,G$1,0)</f>
        <v>15</v>
      </c>
      <c r="H187" s="1" t="str">
        <f>VLOOKUP($E187,'Activity List CSI'!$D$4:$J$146,H$1,0)</f>
        <v>Mechanical Work</v>
      </c>
      <c r="I187" s="1" t="str">
        <f>VLOOKUP(D187,'Activity List CSI'!$C$4:$H$146,6,0)</f>
        <v>15200</v>
      </c>
      <c r="J187" s="1" t="str">
        <f>VLOOKUP($E187,'Activity List CSI'!$D$4:$J$146,J$1,0)</f>
        <v>Process Piping</v>
      </c>
      <c r="K187" s="1" t="s">
        <v>592</v>
      </c>
      <c r="L187" s="1">
        <v>305</v>
      </c>
      <c r="M187" s="1" t="str">
        <f t="shared" si="7"/>
        <v>15200305</v>
      </c>
      <c r="N187" s="12" t="str">
        <f t="shared" si="12"/>
        <v>15200305</v>
      </c>
    </row>
    <row r="188" spans="4:14" x14ac:dyDescent="0.25">
      <c r="D188" s="11" t="s">
        <v>303</v>
      </c>
      <c r="E188" s="134" t="str">
        <f>VLOOKUP(F188,'Activity List CSI'!$B$4:$D$146,3,0)</f>
        <v>15200-04</v>
      </c>
      <c r="F188" s="1" t="s">
        <v>298</v>
      </c>
      <c r="G188" s="1" t="str">
        <f>VLOOKUP($E188,'Activity List CSI'!$D$4:$J$146,G$1,0)</f>
        <v>15</v>
      </c>
      <c r="H188" s="1" t="str">
        <f>VLOOKUP($E188,'Activity List CSI'!$D$4:$J$146,H$1,0)</f>
        <v>Mechanical Work</v>
      </c>
      <c r="I188" s="1" t="str">
        <f>VLOOKUP(D188,'Activity List CSI'!$C$4:$H$146,6,0)</f>
        <v>15200</v>
      </c>
      <c r="J188" s="1" t="str">
        <f>VLOOKUP($E188,'Activity List CSI'!$D$4:$J$146,J$1,0)</f>
        <v>Process Piping</v>
      </c>
      <c r="K188" s="1" t="s">
        <v>592</v>
      </c>
      <c r="L188" s="1">
        <v>305</v>
      </c>
      <c r="M188" s="1" t="str">
        <f t="shared" si="7"/>
        <v>15200305</v>
      </c>
      <c r="N188" s="12" t="str">
        <f t="shared" si="12"/>
        <v>15200305</v>
      </c>
    </row>
    <row r="189" spans="4:14" x14ac:dyDescent="0.25">
      <c r="D189" s="11" t="s">
        <v>304</v>
      </c>
      <c r="E189" s="134" t="str">
        <f>VLOOKUP(F189,'Activity List CSI'!$B$4:$D$146,3,0)</f>
        <v>15200-05</v>
      </c>
      <c r="F189" s="1" t="s">
        <v>299</v>
      </c>
      <c r="G189" s="1" t="str">
        <f>VLOOKUP($E189,'Activity List CSI'!$D$4:$J$146,G$1,0)</f>
        <v>15</v>
      </c>
      <c r="H189" s="1" t="str">
        <f>VLOOKUP($E189,'Activity List CSI'!$D$4:$J$146,H$1,0)</f>
        <v>Mechanical Work</v>
      </c>
      <c r="I189" s="1" t="str">
        <f>VLOOKUP(D189,'Activity List CSI'!$C$4:$H$146,6,0)</f>
        <v>15200</v>
      </c>
      <c r="J189" s="1" t="str">
        <f>VLOOKUP($E189,'Activity List CSI'!$D$4:$J$146,J$1,0)</f>
        <v>Process Piping</v>
      </c>
      <c r="K189" s="1" t="s">
        <v>592</v>
      </c>
      <c r="L189" s="1">
        <v>305</v>
      </c>
      <c r="M189" s="1" t="str">
        <f t="shared" si="7"/>
        <v>15200305</v>
      </c>
      <c r="N189" s="12" t="str">
        <f t="shared" si="12"/>
        <v>15200305</v>
      </c>
    </row>
    <row r="190" spans="4:14" x14ac:dyDescent="0.25">
      <c r="D190" s="11" t="s">
        <v>409</v>
      </c>
      <c r="E190" s="134" t="str">
        <f>VLOOKUP(F190,'Activity List CSI'!$B$4:$D$146,3,0)</f>
        <v>15200-06</v>
      </c>
      <c r="F190" s="1" t="s">
        <v>410</v>
      </c>
      <c r="G190" s="1" t="str">
        <f>VLOOKUP($E190,'Activity List CSI'!$D$4:$J$146,G$1,0)</f>
        <v>15</v>
      </c>
      <c r="H190" s="1" t="str">
        <f>VLOOKUP($E190,'Activity List CSI'!$D$4:$J$146,H$1,0)</f>
        <v>Mechanical Work</v>
      </c>
      <c r="I190" s="1" t="str">
        <f>VLOOKUP(D190,'Activity List CSI'!$C$4:$H$146,6,0)</f>
        <v>15200</v>
      </c>
      <c r="J190" s="1" t="str">
        <f>VLOOKUP($E190,'Activity List CSI'!$D$4:$J$146,J$1,0)</f>
        <v>Process Piping</v>
      </c>
      <c r="K190" s="1" t="s">
        <v>594</v>
      </c>
      <c r="L190" s="1">
        <v>310</v>
      </c>
      <c r="M190" s="1" t="str">
        <f t="shared" si="7"/>
        <v>15200310</v>
      </c>
      <c r="N190" s="12" t="str">
        <f t="shared" si="12"/>
        <v>15200310</v>
      </c>
    </row>
    <row r="191" spans="4:14" x14ac:dyDescent="0.25">
      <c r="D191" s="11" t="s">
        <v>409</v>
      </c>
      <c r="E191" s="134" t="str">
        <f>VLOOKUP(F191,'Activity List CSI'!$B$4:$D$146,3,0)</f>
        <v>15200-06</v>
      </c>
      <c r="F191" s="1" t="s">
        <v>410</v>
      </c>
      <c r="G191" s="1" t="str">
        <f>VLOOKUP($E191,'Activity List CSI'!$D$4:$J$146,G$1,0)</f>
        <v>15</v>
      </c>
      <c r="H191" s="1" t="str">
        <f>VLOOKUP($E191,'Activity List CSI'!$D$4:$J$146,H$1,0)</f>
        <v>Mechanical Work</v>
      </c>
      <c r="I191" s="1" t="str">
        <f>VLOOKUP(D191,'Activity List CSI'!$C$4:$H$146,6,0)</f>
        <v>15200</v>
      </c>
      <c r="J191" s="1" t="str">
        <f>VLOOKUP($E191,'Activity List CSI'!$D$4:$J$146,J$1,0)</f>
        <v>Process Piping</v>
      </c>
      <c r="K191" s="1" t="s">
        <v>584</v>
      </c>
      <c r="L191" s="1">
        <v>320</v>
      </c>
      <c r="M191" s="13" t="str">
        <f t="shared" si="7"/>
        <v>15200320</v>
      </c>
      <c r="N191" s="12" t="s">
        <v>606</v>
      </c>
    </row>
    <row r="192" spans="4:14" x14ac:dyDescent="0.25">
      <c r="D192" s="11" t="s">
        <v>71</v>
      </c>
      <c r="E192" s="134" t="str">
        <f>VLOOKUP(F192,'Activity List CSI'!$B$4:$D$146,3,0)</f>
        <v>02100-01</v>
      </c>
      <c r="F192" s="1" t="s">
        <v>24</v>
      </c>
      <c r="G192" s="1" t="str">
        <f>VLOOKUP($E192,'Activity List CSI'!$D$4:$J$146,G$1,0)</f>
        <v>02</v>
      </c>
      <c r="H192" s="1" t="str">
        <f>VLOOKUP($E192,'Activity List CSI'!$D$4:$J$146,H$1,0)</f>
        <v>EarthWork</v>
      </c>
      <c r="I192" s="1" t="str">
        <f>VLOOKUP(D192,'Activity List CSI'!$C$4:$H$146,6,0)</f>
        <v>02100</v>
      </c>
      <c r="J192" s="1" t="str">
        <f>VLOOKUP($E192,'Activity List CSI'!$D$4:$J$146,J$1,0)</f>
        <v>Site Remediation</v>
      </c>
      <c r="K192" s="1" t="s">
        <v>582</v>
      </c>
      <c r="L192" s="1">
        <v>305</v>
      </c>
      <c r="M192" s="1" t="str">
        <f t="shared" si="7"/>
        <v>02100305</v>
      </c>
      <c r="N192" s="12" t="str">
        <f t="shared" ref="N192:N194" si="13">M192</f>
        <v>02100305</v>
      </c>
    </row>
    <row r="193" spans="4:14" x14ac:dyDescent="0.25">
      <c r="D193" s="11" t="s">
        <v>73</v>
      </c>
      <c r="E193" s="134" t="str">
        <f>VLOOKUP(F193,'Activity List CSI'!$B$4:$D$146,3,0)</f>
        <v>02300-07</v>
      </c>
      <c r="F193" s="1" t="s">
        <v>25</v>
      </c>
      <c r="G193" s="1" t="str">
        <f>VLOOKUP($E193,'Activity List CSI'!$D$4:$J$146,G$1,0)</f>
        <v>02</v>
      </c>
      <c r="H193" s="1" t="str">
        <f>VLOOKUP($E193,'Activity List CSI'!$D$4:$J$146,H$1,0)</f>
        <v>EarthWork</v>
      </c>
      <c r="I193" s="1" t="str">
        <f>VLOOKUP(D193,'Activity List CSI'!$C$4:$H$146,6,0)</f>
        <v>02300</v>
      </c>
      <c r="J193" s="1" t="str">
        <f>VLOOKUP($E193,'Activity List CSI'!$D$4:$J$146,J$1,0)</f>
        <v>Earthwork</v>
      </c>
      <c r="K193" s="1" t="s">
        <v>595</v>
      </c>
      <c r="L193" s="1">
        <v>310</v>
      </c>
      <c r="M193" s="1" t="str">
        <f t="shared" si="7"/>
        <v>02300310</v>
      </c>
      <c r="N193" s="12" t="str">
        <f t="shared" si="13"/>
        <v>02300310</v>
      </c>
    </row>
    <row r="194" spans="4:14" ht="15.75" thickBot="1" x14ac:dyDescent="0.3">
      <c r="D194" s="14"/>
      <c r="E194" s="135"/>
      <c r="F194" s="16" t="str">
        <f>J194</f>
        <v>Process Piping</v>
      </c>
      <c r="G194" s="16" t="s">
        <v>278</v>
      </c>
      <c r="H194" s="15" t="str">
        <f>VLOOKUP(G194,$G$4:$H$193,2,0)</f>
        <v>Mechanical Work</v>
      </c>
      <c r="I194" s="16" t="s">
        <v>394</v>
      </c>
      <c r="J194" s="15" t="str">
        <f>VLOOKUP(I194,$I$4:$J$193,2,0)</f>
        <v>Process Piping</v>
      </c>
      <c r="K194" s="15" t="s">
        <v>572</v>
      </c>
      <c r="L194" s="15">
        <v>315</v>
      </c>
      <c r="M194" s="15" t="str">
        <f t="shared" si="7"/>
        <v>15200315</v>
      </c>
      <c r="N194" s="17" t="str">
        <f t="shared" si="13"/>
        <v>15200315</v>
      </c>
    </row>
  </sheetData>
  <autoFilter ref="A3:O194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U76"/>
  <sheetViews>
    <sheetView topLeftCell="A55" zoomScale="80" zoomScaleNormal="80" workbookViewId="0">
      <selection activeCell="G70" sqref="G70"/>
    </sheetView>
  </sheetViews>
  <sheetFormatPr defaultRowHeight="15" x14ac:dyDescent="0.25"/>
  <cols>
    <col min="2" max="2" width="24.85546875" customWidth="1"/>
    <col min="3" max="3" width="15.85546875" customWidth="1"/>
    <col min="4" max="5" width="23.140625" customWidth="1"/>
    <col min="6" max="6" width="12.7109375" customWidth="1"/>
    <col min="7" max="7" width="17.28515625" customWidth="1"/>
    <col min="8" max="8" width="15.7109375" customWidth="1"/>
    <col min="9" max="9" width="14.42578125" customWidth="1"/>
    <col min="10" max="10" width="5.5703125" customWidth="1"/>
    <col min="11" max="11" width="15.28515625" customWidth="1"/>
    <col min="12" max="12" width="15.85546875" style="132" bestFit="1" customWidth="1"/>
    <col min="13" max="13" width="14.85546875" customWidth="1"/>
    <col min="14" max="14" width="24.5703125" style="299" customWidth="1"/>
    <col min="15" max="15" width="15.42578125" customWidth="1"/>
    <col min="16" max="16" width="12.140625" customWidth="1"/>
    <col min="17" max="19" width="16.140625" customWidth="1"/>
  </cols>
  <sheetData>
    <row r="2" spans="2:21" ht="27" thickBot="1" x14ac:dyDescent="0.45">
      <c r="B2" s="208" t="s">
        <v>573</v>
      </c>
      <c r="C2" s="43"/>
      <c r="N2" s="297" t="s">
        <v>574</v>
      </c>
      <c r="O2" s="43"/>
      <c r="P2" s="43"/>
    </row>
    <row r="3" spans="2:21" ht="51.75" customHeight="1" thickTop="1" thickBot="1" x14ac:dyDescent="0.3">
      <c r="B3" s="314" t="s">
        <v>522</v>
      </c>
      <c r="C3" s="309" t="s">
        <v>1132</v>
      </c>
      <c r="D3" s="295" t="s">
        <v>575</v>
      </c>
      <c r="E3" s="335" t="s">
        <v>1224</v>
      </c>
      <c r="F3" s="336" t="s">
        <v>576</v>
      </c>
      <c r="G3" s="185" t="s">
        <v>577</v>
      </c>
      <c r="H3" s="295" t="s">
        <v>578</v>
      </c>
      <c r="I3" s="296" t="s">
        <v>579</v>
      </c>
      <c r="K3" s="185" t="s">
        <v>907</v>
      </c>
      <c r="L3" s="186" t="s">
        <v>906</v>
      </c>
      <c r="N3" s="298" t="s">
        <v>522</v>
      </c>
      <c r="O3" s="309" t="s">
        <v>1132</v>
      </c>
      <c r="P3" s="294" t="s">
        <v>511</v>
      </c>
      <c r="Q3" s="185" t="s">
        <v>904</v>
      </c>
      <c r="R3" s="295" t="s">
        <v>903</v>
      </c>
      <c r="S3" s="296" t="s">
        <v>902</v>
      </c>
    </row>
    <row r="4" spans="2:21" ht="21.75" customHeight="1" x14ac:dyDescent="0.25">
      <c r="B4" s="315" t="s">
        <v>580</v>
      </c>
      <c r="C4" s="316" t="str">
        <f>VLOOKUP(B4,'MP. List CSI'!$K$4:$N$194,4,0)</f>
        <v>02700310</v>
      </c>
      <c r="D4" s="317" t="s">
        <v>558</v>
      </c>
      <c r="E4" s="318" t="str">
        <f>VLOOKUP(D4,'Manpower List'!$F$5:$H$170,3,0)</f>
        <v>02900055</v>
      </c>
      <c r="F4" s="338">
        <v>1</v>
      </c>
      <c r="G4" s="187">
        <f>VLOOKUP(E4,'Manpower List'!$H$5:$Y$170,18,0)</f>
        <v>1737.2634926588446</v>
      </c>
      <c r="H4" s="331">
        <f t="shared" ref="H4:H35" si="0">G4/26</f>
        <v>66.817826640724789</v>
      </c>
      <c r="I4" s="332">
        <f t="shared" ref="I4:I35" si="1">H4/8</f>
        <v>8.3522283300905986</v>
      </c>
      <c r="K4" s="187">
        <f>F4*H4</f>
        <v>66.817826640724789</v>
      </c>
      <c r="L4" s="188">
        <f>F4*8</f>
        <v>8</v>
      </c>
      <c r="N4" s="306" t="s">
        <v>581</v>
      </c>
      <c r="O4" s="310" t="str">
        <f>VLOOKUP(N4,'MP. List CSI'!$K$4:$N$194,4,0)</f>
        <v>03300305</v>
      </c>
      <c r="P4" s="201" t="s">
        <v>605</v>
      </c>
      <c r="Q4" s="300">
        <f t="shared" ref="Q4:Q22" si="2">R4*26</f>
        <v>2105.7091537613569</v>
      </c>
      <c r="R4" s="301">
        <f t="shared" ref="R4:R22" si="3">S4*8</f>
        <v>80.988813606206037</v>
      </c>
      <c r="S4" s="302">
        <f>SUMPRODUCT(($C$4:$C$72=O4)*($K$4:$K$72))/SUMPRODUCT(($B$4:$B$72=N4)*$L$4:$L$72)</f>
        <v>10.123601700775755</v>
      </c>
      <c r="U4" s="27"/>
    </row>
    <row r="5" spans="2:21" ht="21.75" customHeight="1" x14ac:dyDescent="0.25">
      <c r="B5" s="319" t="s">
        <v>580</v>
      </c>
      <c r="C5" s="320" t="str">
        <f>VLOOKUP(B5,'MP. List CSI'!$K$4:$N$194,4,0)</f>
        <v>02700310</v>
      </c>
      <c r="D5" s="22" t="s">
        <v>995</v>
      </c>
      <c r="E5" s="290" t="str">
        <f>VLOOKUP(D5,'Manpower List'!$F$5:$H$170,3,0)</f>
        <v>02900025</v>
      </c>
      <c r="F5" s="340">
        <v>5</v>
      </c>
      <c r="G5" s="189">
        <f>VLOOKUP(E5,'Manpower List'!$H$5:$Y$170,18,0)</f>
        <v>4197.2638888888887</v>
      </c>
      <c r="H5" s="130">
        <f t="shared" si="0"/>
        <v>161.4332264957265</v>
      </c>
      <c r="I5" s="204">
        <f t="shared" si="1"/>
        <v>20.179153311965813</v>
      </c>
      <c r="K5" s="189">
        <f t="shared" ref="K5:K68" si="4">F5*H5</f>
        <v>807.16613247863256</v>
      </c>
      <c r="L5" s="190">
        <f t="shared" ref="L5:L68" si="5">F5*8</f>
        <v>40</v>
      </c>
      <c r="N5" s="306" t="s">
        <v>572</v>
      </c>
      <c r="O5" s="310" t="str">
        <f>VLOOKUP(N5,'MP. List CSI'!$K$4:$N$194,4,0)</f>
        <v>15200315</v>
      </c>
      <c r="P5" s="201" t="s">
        <v>605</v>
      </c>
      <c r="Q5" s="300">
        <f t="shared" si="2"/>
        <v>1969.2595010019738</v>
      </c>
      <c r="R5" s="301">
        <f t="shared" si="3"/>
        <v>75.740750038537456</v>
      </c>
      <c r="S5" s="302">
        <f t="shared" ref="S5:S22" si="6">SUMPRODUCT(($C$4:$C$72=O5)*($K$4:$K$72))/SUMPRODUCT(($B$4:$B$72=N5)*$L$4:$L$72)</f>
        <v>9.467593754817182</v>
      </c>
      <c r="U5" s="27"/>
    </row>
    <row r="6" spans="2:21" ht="21.75" customHeight="1" thickBot="1" x14ac:dyDescent="0.3">
      <c r="B6" s="322" t="s">
        <v>580</v>
      </c>
      <c r="C6" s="323" t="str">
        <f>VLOOKUP(B6,'MP. List CSI'!$K$4:$N$194,4,0)</f>
        <v>02700310</v>
      </c>
      <c r="D6" s="24" t="s">
        <v>561</v>
      </c>
      <c r="E6" s="321" t="str">
        <f>VLOOKUP(D6,'Manpower List'!$F$5:$H$170,3,0)</f>
        <v>01700039</v>
      </c>
      <c r="F6" s="339">
        <v>4</v>
      </c>
      <c r="G6" s="191">
        <f>VLOOKUP(E6,'Manpower List'!$H$5:$Y$170,18,0)</f>
        <v>1737.2634926588446</v>
      </c>
      <c r="H6" s="333">
        <f t="shared" si="0"/>
        <v>66.817826640724789</v>
      </c>
      <c r="I6" s="334">
        <f t="shared" si="1"/>
        <v>8.3522283300905986</v>
      </c>
      <c r="K6" s="191">
        <f t="shared" si="4"/>
        <v>267.27130656289916</v>
      </c>
      <c r="L6" s="192">
        <f t="shared" si="5"/>
        <v>32</v>
      </c>
      <c r="N6" s="307" t="s">
        <v>580</v>
      </c>
      <c r="O6" s="311" t="str">
        <f>VLOOKUP(N6,'MP. List CSI'!$K$4:$N$194,4,0)</f>
        <v>02700310</v>
      </c>
      <c r="P6" s="312" t="s">
        <v>605</v>
      </c>
      <c r="Q6" s="300">
        <f t="shared" si="2"/>
        <v>2967.263690773867</v>
      </c>
      <c r="R6" s="301">
        <f t="shared" si="3"/>
        <v>114.12552656822565</v>
      </c>
      <c r="S6" s="302">
        <f t="shared" si="6"/>
        <v>14.265690821028207</v>
      </c>
    </row>
    <row r="7" spans="2:21" ht="21.75" customHeight="1" x14ac:dyDescent="0.25">
      <c r="B7" s="315" t="s">
        <v>586</v>
      </c>
      <c r="C7" s="316" t="str">
        <f>VLOOKUP(B7,'MP. List CSI'!$K$4:$N$194,4,0)</f>
        <v>04200305</v>
      </c>
      <c r="D7" s="317" t="s">
        <v>1014</v>
      </c>
      <c r="E7" s="318" t="str">
        <f>VLOOKUP(D7,'Manpower List'!$F$5:$H$170,3,0)</f>
        <v>04200005</v>
      </c>
      <c r="F7" s="338">
        <v>1</v>
      </c>
      <c r="G7" s="187">
        <f>VLOOKUP(E7,'Manpower List'!$H$5:$Y$170,18,0)</f>
        <v>3460.9383680555557</v>
      </c>
      <c r="H7" s="331">
        <f t="shared" si="0"/>
        <v>133.11301415598291</v>
      </c>
      <c r="I7" s="332">
        <f t="shared" si="1"/>
        <v>16.639126769497864</v>
      </c>
      <c r="K7" s="187">
        <f t="shared" si="4"/>
        <v>133.11301415598291</v>
      </c>
      <c r="L7" s="188">
        <f t="shared" si="5"/>
        <v>8</v>
      </c>
      <c r="N7" s="307" t="s">
        <v>583</v>
      </c>
      <c r="O7" s="311" t="str">
        <f>VLOOKUP(N7,'MP. List CSI'!$K$4:$N$194,4,0)</f>
        <v>02300315</v>
      </c>
      <c r="P7" s="312" t="s">
        <v>605</v>
      </c>
      <c r="Q7" s="300">
        <f t="shared" si="2"/>
        <v>2199.247175571993</v>
      </c>
      <c r="R7" s="301">
        <f t="shared" si="3"/>
        <v>84.586429829692037</v>
      </c>
      <c r="S7" s="302">
        <f t="shared" si="6"/>
        <v>10.573303728711505</v>
      </c>
    </row>
    <row r="8" spans="2:21" ht="21.75" customHeight="1" x14ac:dyDescent="0.25">
      <c r="B8" s="319" t="s">
        <v>586</v>
      </c>
      <c r="C8" s="320" t="str">
        <f>VLOOKUP(B8,'MP. List CSI'!$K$4:$N$194,4,0)</f>
        <v>04200305</v>
      </c>
      <c r="D8" s="22" t="s">
        <v>532</v>
      </c>
      <c r="E8" s="290" t="str">
        <f>VLOOKUP(D8,'Manpower List'!$F$5:$H$170,3,0)</f>
        <v>04200020</v>
      </c>
      <c r="F8" s="340">
        <v>6</v>
      </c>
      <c r="G8" s="189">
        <f>VLOOKUP(E8,'Manpower List'!$H$5:$Y$170,18,0)</f>
        <v>1747.177949172577</v>
      </c>
      <c r="H8" s="130">
        <f t="shared" si="0"/>
        <v>67.199151891252967</v>
      </c>
      <c r="I8" s="204">
        <f t="shared" si="1"/>
        <v>8.3998939864066209</v>
      </c>
      <c r="K8" s="189">
        <f t="shared" si="4"/>
        <v>403.1949113475178</v>
      </c>
      <c r="L8" s="190">
        <f t="shared" si="5"/>
        <v>48</v>
      </c>
      <c r="N8" s="307" t="s">
        <v>584</v>
      </c>
      <c r="O8" s="311" t="str">
        <f>VLOOKUP(N8,'MP. List CSI'!$K$4:$N$194,4,0)</f>
        <v>02300320</v>
      </c>
      <c r="P8" s="312" t="s">
        <v>605</v>
      </c>
      <c r="Q8" s="300">
        <f t="shared" si="2"/>
        <v>1741.9070704581343</v>
      </c>
      <c r="R8" s="301">
        <f t="shared" si="3"/>
        <v>66.996425786851319</v>
      </c>
      <c r="S8" s="302">
        <f t="shared" si="6"/>
        <v>8.3745532233564148</v>
      </c>
    </row>
    <row r="9" spans="2:21" ht="21.75" customHeight="1" x14ac:dyDescent="0.25">
      <c r="B9" s="319" t="s">
        <v>586</v>
      </c>
      <c r="C9" s="320" t="str">
        <f>VLOOKUP(B9,'MP. List CSI'!$K$4:$N$194,4,0)</f>
        <v>04200305</v>
      </c>
      <c r="D9" s="22" t="s">
        <v>1041</v>
      </c>
      <c r="E9" s="290" t="str">
        <f>VLOOKUP(D9,'Manpower List'!$F$5:$H$170,3,0)</f>
        <v>04200010</v>
      </c>
      <c r="F9" s="340">
        <v>6</v>
      </c>
      <c r="G9" s="189">
        <f>VLOOKUP(E9,'Manpower List'!$H$5:$Y$170,18,0)</f>
        <v>1520.9606746031748</v>
      </c>
      <c r="H9" s="130">
        <f t="shared" si="0"/>
        <v>58.498487484737488</v>
      </c>
      <c r="I9" s="204">
        <f t="shared" si="1"/>
        <v>7.312310935592186</v>
      </c>
      <c r="K9" s="189">
        <f t="shared" si="4"/>
        <v>350.99092490842492</v>
      </c>
      <c r="L9" s="190">
        <f t="shared" si="5"/>
        <v>48</v>
      </c>
      <c r="N9" s="306" t="s">
        <v>586</v>
      </c>
      <c r="O9" s="310" t="str">
        <f>VLOOKUP(N9,'MP. List CSI'!$K$4:$N$194,4,0)</f>
        <v>04200305</v>
      </c>
      <c r="P9" s="201" t="s">
        <v>605</v>
      </c>
      <c r="Q9" s="300">
        <f t="shared" si="2"/>
        <v>1759.3246156654391</v>
      </c>
      <c r="R9" s="301">
        <f t="shared" si="3"/>
        <v>67.66633137174766</v>
      </c>
      <c r="S9" s="302">
        <f t="shared" si="6"/>
        <v>8.4582914214684575</v>
      </c>
      <c r="U9" s="27"/>
    </row>
    <row r="10" spans="2:21" ht="21.75" customHeight="1" thickBot="1" x14ac:dyDescent="0.3">
      <c r="B10" s="322" t="s">
        <v>586</v>
      </c>
      <c r="C10" s="323" t="str">
        <f>VLOOKUP(B10,'MP. List CSI'!$K$4:$N$194,4,0)</f>
        <v>04200305</v>
      </c>
      <c r="D10" s="24" t="s">
        <v>593</v>
      </c>
      <c r="E10" s="321" t="str">
        <f>VLOOKUP(D10,'Manpower List'!$F$5:$H$170,3,0)</f>
        <v>01700039</v>
      </c>
      <c r="F10" s="339">
        <v>9</v>
      </c>
      <c r="G10" s="191">
        <f>VLOOKUP(E10,'Manpower List'!$H$5:$Y$170,18,0)</f>
        <v>1737.2634926588446</v>
      </c>
      <c r="H10" s="333">
        <f t="shared" si="0"/>
        <v>66.817826640724789</v>
      </c>
      <c r="I10" s="334">
        <f t="shared" si="1"/>
        <v>8.3522283300905986</v>
      </c>
      <c r="K10" s="191">
        <f t="shared" si="4"/>
        <v>601.36043976652309</v>
      </c>
      <c r="L10" s="192">
        <f t="shared" si="5"/>
        <v>72</v>
      </c>
      <c r="N10" s="307" t="s">
        <v>582</v>
      </c>
      <c r="O10" s="311" t="str">
        <f>VLOOKUP(N10,'MP. List CSI'!$K$4:$N$194,4,0)</f>
        <v>02100305</v>
      </c>
      <c r="P10" s="312" t="s">
        <v>605</v>
      </c>
      <c r="Q10" s="300">
        <f t="shared" si="2"/>
        <v>2292.171649426884</v>
      </c>
      <c r="R10" s="301">
        <f t="shared" si="3"/>
        <v>88.160448054880149</v>
      </c>
      <c r="S10" s="302">
        <f t="shared" si="6"/>
        <v>11.020056006860019</v>
      </c>
      <c r="U10" s="27"/>
    </row>
    <row r="11" spans="2:21" ht="21.75" customHeight="1" x14ac:dyDescent="0.25">
      <c r="B11" s="315" t="s">
        <v>590</v>
      </c>
      <c r="C11" s="316" t="str">
        <f>VLOOKUP(B11,'MP. List CSI'!$K$4:$N$194,4,0)</f>
        <v>15100305</v>
      </c>
      <c r="D11" s="317" t="s">
        <v>1023</v>
      </c>
      <c r="E11" s="318" t="str">
        <f>VLOOKUP(D11,'Manpower List'!$F$5:$H$170,3,0)</f>
        <v>15100005</v>
      </c>
      <c r="F11" s="338">
        <v>1</v>
      </c>
      <c r="G11" s="187">
        <f>VLOOKUP(E11,'Manpower List'!$H$5:$Y$170,18,0)</f>
        <v>3865.2250555555556</v>
      </c>
      <c r="H11" s="331">
        <f t="shared" si="0"/>
        <v>148.66250213675215</v>
      </c>
      <c r="I11" s="332">
        <f t="shared" si="1"/>
        <v>18.582812767094019</v>
      </c>
      <c r="K11" s="187">
        <f t="shared" si="4"/>
        <v>148.66250213675215</v>
      </c>
      <c r="L11" s="188">
        <f t="shared" si="5"/>
        <v>8</v>
      </c>
      <c r="N11" s="307" t="s">
        <v>589</v>
      </c>
      <c r="O11" s="311" t="str">
        <f>VLOOKUP(N11,'MP. List CSI'!$K$4:$N$194,4,0)</f>
        <v>09200305</v>
      </c>
      <c r="P11" s="312" t="s">
        <v>605</v>
      </c>
      <c r="Q11" s="300">
        <f t="shared" si="2"/>
        <v>1871.6609141696008</v>
      </c>
      <c r="R11" s="301">
        <f t="shared" si="3"/>
        <v>71.986958237292342</v>
      </c>
      <c r="S11" s="302">
        <f t="shared" si="6"/>
        <v>8.9983697796615427</v>
      </c>
    </row>
    <row r="12" spans="2:21" ht="21.75" customHeight="1" x14ac:dyDescent="0.25">
      <c r="B12" s="319" t="s">
        <v>590</v>
      </c>
      <c r="C12" s="320" t="str">
        <f>VLOOKUP(B12,'MP. List CSI'!$K$4:$N$194,4,0)</f>
        <v>15100305</v>
      </c>
      <c r="D12" s="22" t="s">
        <v>1095</v>
      </c>
      <c r="E12" s="290" t="str">
        <f>VLOOKUP(D12,'Manpower List'!$F$5:$H$170,3,0)</f>
        <v>15100015</v>
      </c>
      <c r="F12" s="340">
        <v>3</v>
      </c>
      <c r="G12" s="189">
        <f>VLOOKUP(E12,'Manpower List'!$H$5:$Y$170,18,0)</f>
        <v>2287.3403130986594</v>
      </c>
      <c r="H12" s="130">
        <f t="shared" si="0"/>
        <v>87.974627426871521</v>
      </c>
      <c r="I12" s="204">
        <f t="shared" si="1"/>
        <v>10.99682842835894</v>
      </c>
      <c r="K12" s="189">
        <f t="shared" si="4"/>
        <v>263.92388228061458</v>
      </c>
      <c r="L12" s="190">
        <f t="shared" si="5"/>
        <v>24</v>
      </c>
      <c r="N12" s="307" t="s">
        <v>594</v>
      </c>
      <c r="O12" s="311" t="str">
        <f>VLOOKUP(N12,'MP. List CSI'!$K$4:$N$194,4,0)</f>
        <v>15200310</v>
      </c>
      <c r="P12" s="312" t="s">
        <v>605</v>
      </c>
      <c r="Q12" s="300">
        <f t="shared" si="2"/>
        <v>1812.6405655810875</v>
      </c>
      <c r="R12" s="301">
        <f t="shared" si="3"/>
        <v>69.716944830041825</v>
      </c>
      <c r="S12" s="302">
        <f t="shared" si="6"/>
        <v>8.7146181037552282</v>
      </c>
    </row>
    <row r="13" spans="2:21" ht="21.75" customHeight="1" thickBot="1" x14ac:dyDescent="0.3">
      <c r="B13" s="322" t="s">
        <v>590</v>
      </c>
      <c r="C13" s="323" t="str">
        <f>VLOOKUP(B13,'MP. List CSI'!$K$4:$N$194,4,0)</f>
        <v>15100305</v>
      </c>
      <c r="D13" s="24" t="s">
        <v>593</v>
      </c>
      <c r="E13" s="321" t="str">
        <f>VLOOKUP(D13,'Manpower List'!$F$5:$H$170,3,0)</f>
        <v>01700039</v>
      </c>
      <c r="F13" s="339">
        <v>6</v>
      </c>
      <c r="G13" s="191">
        <f>VLOOKUP(E13,'Manpower List'!$H$5:$Y$170,18,0)</f>
        <v>1737.2634926588446</v>
      </c>
      <c r="H13" s="333">
        <f t="shared" si="0"/>
        <v>66.817826640724789</v>
      </c>
      <c r="I13" s="334">
        <f t="shared" si="1"/>
        <v>8.3522283300905986</v>
      </c>
      <c r="K13" s="191">
        <f t="shared" si="4"/>
        <v>400.90695984434876</v>
      </c>
      <c r="L13" s="192">
        <f t="shared" si="5"/>
        <v>48</v>
      </c>
      <c r="N13" s="307" t="s">
        <v>600</v>
      </c>
      <c r="O13" s="311" t="str">
        <f>VLOOKUP(N13,'MP. List CSI'!$K$4:$N$194,4,0)</f>
        <v>09300305</v>
      </c>
      <c r="P13" s="312" t="s">
        <v>605</v>
      </c>
      <c r="Q13" s="300">
        <f t="shared" si="2"/>
        <v>1931.8533283062834</v>
      </c>
      <c r="R13" s="301">
        <f t="shared" si="3"/>
        <v>74.302051088703209</v>
      </c>
      <c r="S13" s="302">
        <f t="shared" si="6"/>
        <v>9.2877563860879011</v>
      </c>
    </row>
    <row r="14" spans="2:21" ht="21.75" customHeight="1" x14ac:dyDescent="0.25">
      <c r="B14" s="315" t="s">
        <v>581</v>
      </c>
      <c r="C14" s="316" t="str">
        <f>VLOOKUP(B14,'MP. List CSI'!$K$4:$N$194,4,0)</f>
        <v>03300305</v>
      </c>
      <c r="D14" s="317" t="s">
        <v>1000</v>
      </c>
      <c r="E14" s="318" t="str">
        <f>VLOOKUP(D14,'Manpower List'!$F$5:$H$170,3,0)</f>
        <v>03300020</v>
      </c>
      <c r="F14" s="338">
        <v>1</v>
      </c>
      <c r="G14" s="187">
        <f>VLOOKUP(E14,'Manpower List'!$H$5:$Y$170,18,0)</f>
        <v>3889.0170555555551</v>
      </c>
      <c r="H14" s="331">
        <f t="shared" si="0"/>
        <v>149.57757905982905</v>
      </c>
      <c r="I14" s="332">
        <f t="shared" si="1"/>
        <v>18.697197382478631</v>
      </c>
      <c r="K14" s="187">
        <f t="shared" si="4"/>
        <v>149.57757905982905</v>
      </c>
      <c r="L14" s="188">
        <f t="shared" si="5"/>
        <v>8</v>
      </c>
      <c r="N14" s="306" t="s">
        <v>597</v>
      </c>
      <c r="O14" s="310" t="str">
        <f>VLOOKUP(N14,'MP. List CSI'!$K$4:$N$194,4,0)</f>
        <v>03400305</v>
      </c>
      <c r="P14" s="201" t="s">
        <v>605</v>
      </c>
      <c r="Q14" s="300">
        <f t="shared" si="2"/>
        <v>2161.0660376694823</v>
      </c>
      <c r="R14" s="301">
        <f t="shared" si="3"/>
        <v>83.117924525749316</v>
      </c>
      <c r="S14" s="302">
        <f t="shared" si="6"/>
        <v>10.389740565718665</v>
      </c>
    </row>
    <row r="15" spans="2:21" ht="21.75" customHeight="1" x14ac:dyDescent="0.25">
      <c r="B15" s="319" t="s">
        <v>581</v>
      </c>
      <c r="C15" s="320" t="str">
        <f>VLOOKUP(B15,'MP. List CSI'!$K$4:$N$194,4,0)</f>
        <v>03300305</v>
      </c>
      <c r="D15" s="22" t="s">
        <v>969</v>
      </c>
      <c r="E15" s="290" t="str">
        <f>VLOOKUP(D15,'Manpower List'!$F$5:$H$170,3,0)</f>
        <v>03300010</v>
      </c>
      <c r="F15" s="340">
        <v>6</v>
      </c>
      <c r="G15" s="189">
        <f>VLOOKUP(E15,'Manpower List'!$H$5:$Y$170,18,0)</f>
        <v>1710.8875496283754</v>
      </c>
      <c r="H15" s="130">
        <f t="shared" si="0"/>
        <v>65.803367293399049</v>
      </c>
      <c r="I15" s="204">
        <f t="shared" si="1"/>
        <v>8.2254209116748811</v>
      </c>
      <c r="K15" s="189">
        <f t="shared" si="4"/>
        <v>394.82020376039429</v>
      </c>
      <c r="L15" s="190">
        <f t="shared" si="5"/>
        <v>48</v>
      </c>
      <c r="N15" s="306" t="s">
        <v>599</v>
      </c>
      <c r="O15" s="310" t="str">
        <f>VLOOKUP(N15,'MP. List CSI'!$K$4:$N$194,4,0)</f>
        <v>02700305</v>
      </c>
      <c r="P15" s="201" t="s">
        <v>605</v>
      </c>
      <c r="Q15" s="300">
        <f t="shared" si="2"/>
        <v>4399.5683098806057</v>
      </c>
      <c r="R15" s="301">
        <f t="shared" si="3"/>
        <v>169.21416576463866</v>
      </c>
      <c r="S15" s="302">
        <f t="shared" si="6"/>
        <v>21.151770720579833</v>
      </c>
    </row>
    <row r="16" spans="2:21" ht="21.75" customHeight="1" x14ac:dyDescent="0.25">
      <c r="B16" s="319" t="s">
        <v>581</v>
      </c>
      <c r="C16" s="320" t="str">
        <f>VLOOKUP(B16,'MP. List CSI'!$K$4:$N$194,4,0)</f>
        <v>03300305</v>
      </c>
      <c r="D16" s="22" t="s">
        <v>1038</v>
      </c>
      <c r="E16" s="290" t="str">
        <f>VLOOKUP(D16,'Manpower List'!$F$5:$H$170,3,0)</f>
        <v>03300030</v>
      </c>
      <c r="F16" s="340">
        <v>6</v>
      </c>
      <c r="G16" s="189">
        <f>VLOOKUP(E16,'Manpower List'!$H$5:$Y$170,18,0)</f>
        <v>1438.6930555555557</v>
      </c>
      <c r="H16" s="130">
        <f t="shared" si="0"/>
        <v>55.3343482905983</v>
      </c>
      <c r="I16" s="204">
        <f t="shared" si="1"/>
        <v>6.9167935363247874</v>
      </c>
      <c r="K16" s="189">
        <f t="shared" si="4"/>
        <v>332.00608974358977</v>
      </c>
      <c r="L16" s="190">
        <f t="shared" si="5"/>
        <v>48</v>
      </c>
      <c r="N16" s="306" t="s">
        <v>591</v>
      </c>
      <c r="O16" s="310" t="str">
        <f>VLOOKUP(N16,'MP. List CSI'!$K$4:$N$194,4,0)</f>
        <v>03300315</v>
      </c>
      <c r="P16" s="201" t="s">
        <v>605</v>
      </c>
      <c r="Q16" s="300">
        <f t="shared" si="2"/>
        <v>1749.5846740714169</v>
      </c>
      <c r="R16" s="301">
        <f t="shared" si="3"/>
        <v>67.291718233516036</v>
      </c>
      <c r="S16" s="302">
        <f t="shared" si="6"/>
        <v>8.4114647791895045</v>
      </c>
    </row>
    <row r="17" spans="2:21" ht="21.75" customHeight="1" x14ac:dyDescent="0.25">
      <c r="B17" s="319" t="s">
        <v>581</v>
      </c>
      <c r="C17" s="320" t="str">
        <f>VLOOKUP(B17,'MP. List CSI'!$K$4:$N$194,4,0)</f>
        <v>03300305</v>
      </c>
      <c r="D17" s="22" t="s">
        <v>553</v>
      </c>
      <c r="E17" s="290" t="str">
        <f>VLOOKUP(D17,'Manpower List'!$F$5:$H$170,3,0)</f>
        <v>01700084</v>
      </c>
      <c r="F17" s="340">
        <v>1</v>
      </c>
      <c r="G17" s="189">
        <f>VLOOKUP(E17,'Manpower List'!$H$5:$Y$170,18,0)</f>
        <v>7198.745126705654</v>
      </c>
      <c r="H17" s="130">
        <f t="shared" si="0"/>
        <v>276.8748125656021</v>
      </c>
      <c r="I17" s="204">
        <f t="shared" si="1"/>
        <v>34.609351570700262</v>
      </c>
      <c r="K17" s="189">
        <f t="shared" si="4"/>
        <v>276.8748125656021</v>
      </c>
      <c r="L17" s="190">
        <f t="shared" si="5"/>
        <v>8</v>
      </c>
      <c r="N17" s="306" t="s">
        <v>596</v>
      </c>
      <c r="O17" s="310" t="str">
        <f>VLOOKUP(N17,'MP. List CSI'!$K$4:$N$194,4,0)</f>
        <v>03300310</v>
      </c>
      <c r="P17" s="201" t="s">
        <v>605</v>
      </c>
      <c r="Q17" s="300">
        <f t="shared" si="2"/>
        <v>1796.2376924097923</v>
      </c>
      <c r="R17" s="301">
        <f t="shared" si="3"/>
        <v>69.086065092684322</v>
      </c>
      <c r="S17" s="302">
        <f t="shared" si="6"/>
        <v>8.6357581365855403</v>
      </c>
      <c r="U17" s="27"/>
    </row>
    <row r="18" spans="2:21" ht="21.75" customHeight="1" thickBot="1" x14ac:dyDescent="0.3">
      <c r="B18" s="322" t="s">
        <v>581</v>
      </c>
      <c r="C18" s="323" t="str">
        <f>VLOOKUP(B18,'MP. List CSI'!$K$4:$N$194,4,0)</f>
        <v>03300305</v>
      </c>
      <c r="D18" s="24" t="s">
        <v>1046</v>
      </c>
      <c r="E18" s="321" t="str">
        <f>VLOOKUP(D18,'Manpower List'!$F$5:$H$170,3,0)</f>
        <v>01700030</v>
      </c>
      <c r="F18" s="339">
        <v>1</v>
      </c>
      <c r="G18" s="191">
        <f>VLOOKUP(E18,'Manpower List'!$H$5:$Y$170,18,0)</f>
        <v>1600.3914930555557</v>
      </c>
      <c r="H18" s="333">
        <f t="shared" si="0"/>
        <v>61.553518963675216</v>
      </c>
      <c r="I18" s="334">
        <f t="shared" si="1"/>
        <v>7.6941898704594021</v>
      </c>
      <c r="K18" s="191">
        <f t="shared" si="4"/>
        <v>61.553518963675216</v>
      </c>
      <c r="L18" s="192">
        <f t="shared" si="5"/>
        <v>8</v>
      </c>
      <c r="N18" s="306" t="s">
        <v>590</v>
      </c>
      <c r="O18" s="310" t="str">
        <f>VLOOKUP(N18,'MP. List CSI'!$K$4:$N$194,4,0)</f>
        <v>15100305</v>
      </c>
      <c r="P18" s="201" t="s">
        <v>605</v>
      </c>
      <c r="Q18" s="300">
        <f t="shared" si="2"/>
        <v>2115.0826950804603</v>
      </c>
      <c r="R18" s="301">
        <f t="shared" si="3"/>
        <v>81.349334426171552</v>
      </c>
      <c r="S18" s="302">
        <f t="shared" si="6"/>
        <v>10.168666803271444</v>
      </c>
      <c r="U18" s="27"/>
    </row>
    <row r="19" spans="2:21" ht="21.75" customHeight="1" x14ac:dyDescent="0.25">
      <c r="B19" s="315" t="s">
        <v>591</v>
      </c>
      <c r="C19" s="316" t="str">
        <f>VLOOKUP(B19,'MP. List CSI'!$K$4:$N$194,4,0)</f>
        <v>03300315</v>
      </c>
      <c r="D19" s="317" t="s">
        <v>969</v>
      </c>
      <c r="E19" s="318" t="str">
        <f>VLOOKUP(D19,'Manpower List'!$F$5:$H$170,3,0)</f>
        <v>03300010</v>
      </c>
      <c r="F19" s="338">
        <v>1</v>
      </c>
      <c r="G19" s="187">
        <f>VLOOKUP(E19,'Manpower List'!$H$5:$Y$170,18,0)</f>
        <v>1710.8875496283754</v>
      </c>
      <c r="H19" s="331">
        <f t="shared" si="0"/>
        <v>65.803367293399049</v>
      </c>
      <c r="I19" s="332">
        <f t="shared" si="1"/>
        <v>8.2254209116748811</v>
      </c>
      <c r="K19" s="187">
        <f t="shared" si="4"/>
        <v>65.803367293399049</v>
      </c>
      <c r="L19" s="188">
        <f t="shared" si="5"/>
        <v>8</v>
      </c>
      <c r="N19" s="306" t="s">
        <v>595</v>
      </c>
      <c r="O19" s="310" t="str">
        <f>VLOOKUP(N19,'MP. List CSI'!$K$4:$N$194,4,0)</f>
        <v>02300310</v>
      </c>
      <c r="P19" s="201" t="s">
        <v>605</v>
      </c>
      <c r="Q19" s="300">
        <f t="shared" si="2"/>
        <v>3401.9879629629631</v>
      </c>
      <c r="R19" s="301">
        <f t="shared" si="3"/>
        <v>130.84569088319088</v>
      </c>
      <c r="S19" s="302">
        <f t="shared" si="6"/>
        <v>16.35571136039886</v>
      </c>
    </row>
    <row r="20" spans="2:21" ht="21.75" customHeight="1" x14ac:dyDescent="0.25">
      <c r="B20" s="319" t="s">
        <v>591</v>
      </c>
      <c r="C20" s="320" t="str">
        <f>VLOOKUP(B20,'MP. List CSI'!$K$4:$N$194,4,0)</f>
        <v>03300315</v>
      </c>
      <c r="D20" s="22" t="s">
        <v>602</v>
      </c>
      <c r="E20" s="290" t="str">
        <f>VLOOKUP(D20,'Manpower List'!$F$5:$H$170,3,0)</f>
        <v>03300065</v>
      </c>
      <c r="F20" s="340">
        <v>2</v>
      </c>
      <c r="G20" s="189">
        <f>VLOOKUP(E20,'Manpower List'!$H$5:$Y$170,18,0)</f>
        <v>1737.2634926588446</v>
      </c>
      <c r="H20" s="130">
        <f t="shared" si="0"/>
        <v>66.817826640724789</v>
      </c>
      <c r="I20" s="204">
        <f t="shared" si="1"/>
        <v>8.3522283300905986</v>
      </c>
      <c r="K20" s="189">
        <f t="shared" si="4"/>
        <v>133.63565328144958</v>
      </c>
      <c r="L20" s="190">
        <f t="shared" si="5"/>
        <v>16</v>
      </c>
      <c r="N20" s="306" t="s">
        <v>585</v>
      </c>
      <c r="O20" s="310" t="str">
        <f>VLOOKUP(N20,'MP. List CSI'!$K$4:$N$194,4,0)</f>
        <v>09300310</v>
      </c>
      <c r="P20" s="201" t="s">
        <v>605</v>
      </c>
      <c r="Q20" s="300">
        <f t="shared" si="2"/>
        <v>2058.9217661273242</v>
      </c>
      <c r="R20" s="301">
        <f t="shared" si="3"/>
        <v>79.189298697204777</v>
      </c>
      <c r="S20" s="302">
        <f t="shared" si="6"/>
        <v>9.8986623371505971</v>
      </c>
      <c r="U20" s="27"/>
    </row>
    <row r="21" spans="2:21" ht="21.75" customHeight="1" x14ac:dyDescent="0.25">
      <c r="B21" s="319" t="s">
        <v>591</v>
      </c>
      <c r="C21" s="320" t="str">
        <f>VLOOKUP(B21,'MP. List CSI'!$K$4:$N$194,4,0)</f>
        <v>03300315</v>
      </c>
      <c r="D21" s="22" t="s">
        <v>601</v>
      </c>
      <c r="E21" s="290" t="str">
        <f>VLOOKUP(D21,'Manpower List'!$F$5:$H$170,3,0)</f>
        <v>01700027</v>
      </c>
      <c r="F21" s="340">
        <v>2</v>
      </c>
      <c r="G21" s="189">
        <f>VLOOKUP(E21,'Manpower List'!$H$5:$Y$170,18,0)</f>
        <v>1725.2651143790854</v>
      </c>
      <c r="H21" s="130">
        <f t="shared" si="0"/>
        <v>66.35635055304175</v>
      </c>
      <c r="I21" s="204">
        <f t="shared" si="1"/>
        <v>8.2945438191302188</v>
      </c>
      <c r="K21" s="189">
        <f t="shared" si="4"/>
        <v>132.7127011060835</v>
      </c>
      <c r="L21" s="190">
        <f t="shared" si="5"/>
        <v>16</v>
      </c>
      <c r="N21" s="306" t="s">
        <v>592</v>
      </c>
      <c r="O21" s="310" t="str">
        <f>VLOOKUP(N21,'MP. List CSI'!$K$4:$N$194,4,0)</f>
        <v>15200305</v>
      </c>
      <c r="P21" s="201" t="s">
        <v>605</v>
      </c>
      <c r="Q21" s="300">
        <f t="shared" si="2"/>
        <v>2768.1914815114606</v>
      </c>
      <c r="R21" s="301">
        <f t="shared" si="3"/>
        <v>106.46890313505617</v>
      </c>
      <c r="S21" s="302">
        <f t="shared" si="6"/>
        <v>13.308612891882021</v>
      </c>
      <c r="U21" s="27"/>
    </row>
    <row r="22" spans="2:21" ht="21.75" customHeight="1" thickBot="1" x14ac:dyDescent="0.3">
      <c r="B22" s="319" t="s">
        <v>591</v>
      </c>
      <c r="C22" s="320" t="str">
        <f>VLOOKUP(B22,'MP. List CSI'!$K$4:$N$194,4,0)</f>
        <v>03300315</v>
      </c>
      <c r="D22" s="22" t="s">
        <v>593</v>
      </c>
      <c r="E22" s="290" t="str">
        <f>VLOOKUP(D22,'Manpower List'!$F$5:$H$170,3,0)</f>
        <v>01700039</v>
      </c>
      <c r="F22" s="340">
        <v>7</v>
      </c>
      <c r="G22" s="189">
        <f>VLOOKUP(E22,'Manpower List'!$H$5:$Y$170,18,0)</f>
        <v>1737.2634926588446</v>
      </c>
      <c r="H22" s="130">
        <f t="shared" si="0"/>
        <v>66.817826640724789</v>
      </c>
      <c r="I22" s="204">
        <f t="shared" si="1"/>
        <v>8.3522283300905986</v>
      </c>
      <c r="K22" s="189">
        <f t="shared" si="4"/>
        <v>467.72478648507354</v>
      </c>
      <c r="L22" s="190">
        <f t="shared" si="5"/>
        <v>56</v>
      </c>
      <c r="N22" s="308" t="s">
        <v>588</v>
      </c>
      <c r="O22" s="313" t="str">
        <f>VLOOKUP(N22,'MP. List CSI'!$K$4:$N$194,4,0)</f>
        <v>09900305</v>
      </c>
      <c r="P22" s="202" t="s">
        <v>605</v>
      </c>
      <c r="Q22" s="303">
        <f t="shared" si="2"/>
        <v>2007.1247116865425</v>
      </c>
      <c r="R22" s="304">
        <f t="shared" si="3"/>
        <v>77.197104295636251</v>
      </c>
      <c r="S22" s="305">
        <f t="shared" si="6"/>
        <v>9.6496380369545314</v>
      </c>
      <c r="U22" s="27"/>
    </row>
    <row r="23" spans="2:21" ht="21.75" customHeight="1" thickTop="1" x14ac:dyDescent="0.25">
      <c r="B23" s="319" t="s">
        <v>591</v>
      </c>
      <c r="C23" s="320" t="str">
        <f>VLOOKUP(B23,'MP. List CSI'!$K$4:$N$194,4,0)</f>
        <v>03300315</v>
      </c>
      <c r="D23" s="22" t="s">
        <v>598</v>
      </c>
      <c r="E23" s="290" t="str">
        <f>VLOOKUP(D23,'Manpower List'!$F$5:$H$170,3,0)</f>
        <v>09700015</v>
      </c>
      <c r="F23" s="340">
        <v>1</v>
      </c>
      <c r="G23" s="189">
        <f>VLOOKUP(E23,'Manpower List'!$H$5:$Y$170,18,0)</f>
        <v>1747.177949172577</v>
      </c>
      <c r="H23" s="130">
        <f t="shared" si="0"/>
        <v>67.199151891252967</v>
      </c>
      <c r="I23" s="204">
        <f t="shared" si="1"/>
        <v>8.3998939864066209</v>
      </c>
      <c r="K23" s="189">
        <f t="shared" si="4"/>
        <v>67.199151891252967</v>
      </c>
      <c r="L23" s="190">
        <f t="shared" si="5"/>
        <v>8</v>
      </c>
      <c r="U23" s="27"/>
    </row>
    <row r="24" spans="2:21" ht="21.75" customHeight="1" x14ac:dyDescent="0.25">
      <c r="B24" s="319" t="s">
        <v>591</v>
      </c>
      <c r="C24" s="320" t="str">
        <f>VLOOKUP(B24,'MP. List CSI'!$K$4:$N$194,4,0)</f>
        <v>03300315</v>
      </c>
      <c r="D24" s="22" t="s">
        <v>537</v>
      </c>
      <c r="E24" s="290" t="str">
        <f>VLOOKUP(D24,'Manpower List'!$F$5:$H$170,3,0)</f>
        <v>01700087</v>
      </c>
      <c r="F24" s="340">
        <v>1</v>
      </c>
      <c r="G24" s="189">
        <f>VLOOKUP(E24,'Manpower List'!$H$5:$Y$170,18,0)</f>
        <v>1984.7541666666666</v>
      </c>
      <c r="H24" s="130">
        <f t="shared" si="0"/>
        <v>76.336698717948721</v>
      </c>
      <c r="I24" s="204">
        <f t="shared" si="1"/>
        <v>9.5420873397435901</v>
      </c>
      <c r="K24" s="189">
        <f t="shared" si="4"/>
        <v>76.336698717948721</v>
      </c>
      <c r="L24" s="190">
        <f t="shared" si="5"/>
        <v>8</v>
      </c>
    </row>
    <row r="25" spans="2:21" ht="21.75" customHeight="1" thickBot="1" x14ac:dyDescent="0.3">
      <c r="B25" s="322" t="s">
        <v>591</v>
      </c>
      <c r="C25" s="323" t="str">
        <f>VLOOKUP(B25,'MP. List CSI'!$K$4:$N$194,4,0)</f>
        <v>03300315</v>
      </c>
      <c r="D25" s="24" t="s">
        <v>527</v>
      </c>
      <c r="E25" s="321" t="str">
        <f>VLOOKUP(D25,'Manpower List'!$F$5:$H$170,3,0)</f>
        <v>03300060</v>
      </c>
      <c r="F25" s="339">
        <v>1</v>
      </c>
      <c r="G25" s="191">
        <f>VLOOKUP(E25,'Manpower List'!$H$5:$Y$170,18,0)</f>
        <v>1715.0487829158637</v>
      </c>
      <c r="H25" s="333">
        <f t="shared" si="0"/>
        <v>65.96341472753322</v>
      </c>
      <c r="I25" s="334">
        <f t="shared" si="1"/>
        <v>8.2454268409416525</v>
      </c>
      <c r="K25" s="191">
        <f t="shared" si="4"/>
        <v>65.96341472753322</v>
      </c>
      <c r="L25" s="192">
        <f t="shared" si="5"/>
        <v>8</v>
      </c>
    </row>
    <row r="26" spans="2:21" ht="21.75" customHeight="1" x14ac:dyDescent="0.25">
      <c r="B26" s="315" t="s">
        <v>582</v>
      </c>
      <c r="C26" s="316" t="str">
        <f>VLOOKUP(B26,'MP. List CSI'!$K$4:$N$194,4,0)</f>
        <v>02100305</v>
      </c>
      <c r="D26" s="317" t="s">
        <v>587</v>
      </c>
      <c r="E26" s="318" t="str">
        <f>VLOOKUP(D26,'Manpower List'!$F$5:$H$170,3,0)</f>
        <v>15900045</v>
      </c>
      <c r="F26" s="338">
        <v>1</v>
      </c>
      <c r="G26" s="187">
        <f>VLOOKUP(E26,'Manpower List'!$H$5:$Y$170,18,0)</f>
        <v>3401.9879629629631</v>
      </c>
      <c r="H26" s="331">
        <f t="shared" si="0"/>
        <v>130.84569088319088</v>
      </c>
      <c r="I26" s="332">
        <f t="shared" si="1"/>
        <v>16.35571136039886</v>
      </c>
      <c r="K26" s="187">
        <f t="shared" si="4"/>
        <v>130.84569088319088</v>
      </c>
      <c r="L26" s="188">
        <f t="shared" si="5"/>
        <v>8</v>
      </c>
    </row>
    <row r="27" spans="2:21" ht="21.75" customHeight="1" thickBot="1" x14ac:dyDescent="0.3">
      <c r="B27" s="322" t="s">
        <v>582</v>
      </c>
      <c r="C27" s="323" t="str">
        <f>VLOOKUP(B27,'MP. List CSI'!$K$4:$N$194,4,0)</f>
        <v>02100305</v>
      </c>
      <c r="D27" s="24" t="s">
        <v>561</v>
      </c>
      <c r="E27" s="321" t="str">
        <f>VLOOKUP(D27,'Manpower List'!$F$5:$H$170,3,0)</f>
        <v>01700039</v>
      </c>
      <c r="F27" s="339">
        <v>2</v>
      </c>
      <c r="G27" s="191">
        <f>VLOOKUP(E27,'Manpower List'!$H$5:$Y$170,18,0)</f>
        <v>1737.2634926588446</v>
      </c>
      <c r="H27" s="333">
        <f t="shared" si="0"/>
        <v>66.817826640724789</v>
      </c>
      <c r="I27" s="334">
        <f t="shared" si="1"/>
        <v>8.3522283300905986</v>
      </c>
      <c r="K27" s="191">
        <f t="shared" si="4"/>
        <v>133.63565328144958</v>
      </c>
      <c r="L27" s="192">
        <f t="shared" si="5"/>
        <v>16</v>
      </c>
    </row>
    <row r="28" spans="2:21" ht="21.75" customHeight="1" x14ac:dyDescent="0.25">
      <c r="B28" s="315" t="s">
        <v>572</v>
      </c>
      <c r="C28" s="316" t="str">
        <f>VLOOKUP(B28,'MP. List CSI'!$K$4:$N$194,4,0)</f>
        <v>15200315</v>
      </c>
      <c r="D28" s="317" t="s">
        <v>1023</v>
      </c>
      <c r="E28" s="318" t="str">
        <f>VLOOKUP(D28,'Manpower List'!$F$5:$H$170,3,0)</f>
        <v>15100005</v>
      </c>
      <c r="F28" s="338">
        <v>1</v>
      </c>
      <c r="G28" s="187">
        <f>VLOOKUP(E28,'Manpower List'!$H$5:$Y$170,18,0)</f>
        <v>3865.2250555555556</v>
      </c>
      <c r="H28" s="331">
        <f t="shared" si="0"/>
        <v>148.66250213675215</v>
      </c>
      <c r="I28" s="332">
        <f t="shared" si="1"/>
        <v>18.582812767094019</v>
      </c>
      <c r="K28" s="187">
        <f t="shared" si="4"/>
        <v>148.66250213675215</v>
      </c>
      <c r="L28" s="188">
        <f t="shared" si="5"/>
        <v>8</v>
      </c>
    </row>
    <row r="29" spans="2:21" ht="21.75" customHeight="1" x14ac:dyDescent="0.25">
      <c r="B29" s="319" t="s">
        <v>572</v>
      </c>
      <c r="C29" s="320" t="str">
        <f>VLOOKUP(B29,'MP. List CSI'!$K$4:$N$194,4,0)</f>
        <v>15200315</v>
      </c>
      <c r="D29" s="22" t="s">
        <v>1095</v>
      </c>
      <c r="E29" s="290" t="str">
        <f>VLOOKUP(D29,'Manpower List'!$F$5:$H$170,3,0)</f>
        <v>15100015</v>
      </c>
      <c r="F29" s="340">
        <v>2</v>
      </c>
      <c r="G29" s="189">
        <f>VLOOKUP(E29,'Manpower List'!$H$5:$Y$170,18,0)</f>
        <v>2287.3403130986594</v>
      </c>
      <c r="H29" s="130">
        <f t="shared" si="0"/>
        <v>87.974627426871521</v>
      </c>
      <c r="I29" s="204">
        <f t="shared" si="1"/>
        <v>10.99682842835894</v>
      </c>
      <c r="K29" s="189">
        <f t="shared" si="4"/>
        <v>175.94925485374304</v>
      </c>
      <c r="L29" s="190">
        <f t="shared" si="5"/>
        <v>16</v>
      </c>
    </row>
    <row r="30" spans="2:21" ht="21.75" customHeight="1" x14ac:dyDescent="0.25">
      <c r="B30" s="319" t="s">
        <v>572</v>
      </c>
      <c r="C30" s="320" t="str">
        <f>VLOOKUP(B30,'MP. List CSI'!$K$4:$N$194,4,0)</f>
        <v>15200315</v>
      </c>
      <c r="D30" s="22" t="s">
        <v>532</v>
      </c>
      <c r="E30" s="290" t="str">
        <f>VLOOKUP(D30,'Manpower List'!$F$5:$H$170,3,0)</f>
        <v>04200020</v>
      </c>
      <c r="F30" s="340">
        <v>1</v>
      </c>
      <c r="G30" s="189">
        <f>VLOOKUP(E30,'Manpower List'!$H$5:$Y$170,18,0)</f>
        <v>1747.177949172577</v>
      </c>
      <c r="H30" s="130">
        <f t="shared" si="0"/>
        <v>67.199151891252967</v>
      </c>
      <c r="I30" s="204">
        <f t="shared" si="1"/>
        <v>8.3998939864066209</v>
      </c>
      <c r="K30" s="189">
        <f t="shared" si="4"/>
        <v>67.199151891252967</v>
      </c>
      <c r="L30" s="190">
        <f t="shared" si="5"/>
        <v>8</v>
      </c>
    </row>
    <row r="31" spans="2:21" ht="21.75" customHeight="1" x14ac:dyDescent="0.25">
      <c r="B31" s="319" t="s">
        <v>572</v>
      </c>
      <c r="C31" s="320" t="str">
        <f>VLOOKUP(B31,'MP. List CSI'!$K$4:$N$194,4,0)</f>
        <v>15200315</v>
      </c>
      <c r="D31" s="22" t="s">
        <v>598</v>
      </c>
      <c r="E31" s="290" t="str">
        <f>VLOOKUP(D31,'Manpower List'!$F$5:$H$170,3,0)</f>
        <v>09700015</v>
      </c>
      <c r="F31" s="340">
        <v>1</v>
      </c>
      <c r="G31" s="189">
        <f>VLOOKUP(E31,'Manpower List'!$H$5:$Y$170,18,0)</f>
        <v>1747.177949172577</v>
      </c>
      <c r="H31" s="130">
        <f t="shared" si="0"/>
        <v>67.199151891252967</v>
      </c>
      <c r="I31" s="204">
        <f t="shared" si="1"/>
        <v>8.3998939864066209</v>
      </c>
      <c r="K31" s="189">
        <f t="shared" si="4"/>
        <v>67.199151891252967</v>
      </c>
      <c r="L31" s="190">
        <f t="shared" si="5"/>
        <v>8</v>
      </c>
    </row>
    <row r="32" spans="2:21" ht="21.75" customHeight="1" thickBot="1" x14ac:dyDescent="0.3">
      <c r="B32" s="322" t="s">
        <v>572</v>
      </c>
      <c r="C32" s="323" t="str">
        <f>VLOOKUP(B32,'MP. List CSI'!$K$4:$N$194,4,0)</f>
        <v>15200315</v>
      </c>
      <c r="D32" s="24" t="s">
        <v>593</v>
      </c>
      <c r="E32" s="321" t="str">
        <f>VLOOKUP(D32,'Manpower List'!$F$5:$H$170,3,0)</f>
        <v>01700039</v>
      </c>
      <c r="F32" s="339">
        <v>9</v>
      </c>
      <c r="G32" s="191">
        <f>VLOOKUP(E32,'Manpower List'!$H$5:$Y$170,18,0)</f>
        <v>1737.2634926588446</v>
      </c>
      <c r="H32" s="333">
        <f t="shared" si="0"/>
        <v>66.817826640724789</v>
      </c>
      <c r="I32" s="334">
        <f t="shared" si="1"/>
        <v>8.3522283300905986</v>
      </c>
      <c r="K32" s="191">
        <f t="shared" si="4"/>
        <v>601.36043976652309</v>
      </c>
      <c r="L32" s="192">
        <f t="shared" si="5"/>
        <v>72</v>
      </c>
    </row>
    <row r="33" spans="2:21" ht="21.75" customHeight="1" x14ac:dyDescent="0.25">
      <c r="B33" s="315" t="s">
        <v>583</v>
      </c>
      <c r="C33" s="316" t="str">
        <f>VLOOKUP(B33,'MP. List CSI'!$K$4:$N$194,4,0)</f>
        <v>02300315</v>
      </c>
      <c r="D33" s="317" t="s">
        <v>1023</v>
      </c>
      <c r="E33" s="318" t="str">
        <f>VLOOKUP(D33,'Manpower List'!$F$5:$H$170,3,0)</f>
        <v>15100005</v>
      </c>
      <c r="F33" s="338">
        <v>1</v>
      </c>
      <c r="G33" s="187">
        <f>VLOOKUP(E33,'Manpower List'!$H$5:$Y$170,18,0)</f>
        <v>3865.2250555555556</v>
      </c>
      <c r="H33" s="331">
        <f t="shared" si="0"/>
        <v>148.66250213675215</v>
      </c>
      <c r="I33" s="332">
        <f t="shared" si="1"/>
        <v>18.582812767094019</v>
      </c>
      <c r="K33" s="187">
        <f t="shared" si="4"/>
        <v>148.66250213675215</v>
      </c>
      <c r="L33" s="188">
        <f t="shared" si="5"/>
        <v>8</v>
      </c>
    </row>
    <row r="34" spans="2:21" ht="21.75" customHeight="1" x14ac:dyDescent="0.25">
      <c r="B34" s="319" t="s">
        <v>583</v>
      </c>
      <c r="C34" s="320" t="str">
        <f>VLOOKUP(B34,'MP. List CSI'!$K$4:$N$194,4,0)</f>
        <v>02300315</v>
      </c>
      <c r="D34" s="22" t="s">
        <v>1095</v>
      </c>
      <c r="E34" s="290" t="str">
        <f>VLOOKUP(D34,'Manpower List'!$F$5:$H$170,3,0)</f>
        <v>15100015</v>
      </c>
      <c r="F34" s="340">
        <v>3</v>
      </c>
      <c r="G34" s="189">
        <f>VLOOKUP(E34,'Manpower List'!$H$5:$Y$170,18,0)</f>
        <v>2287.3403130986594</v>
      </c>
      <c r="H34" s="130">
        <f t="shared" si="0"/>
        <v>87.974627426871521</v>
      </c>
      <c r="I34" s="204">
        <f t="shared" si="1"/>
        <v>10.99682842835894</v>
      </c>
      <c r="K34" s="189">
        <f t="shared" si="4"/>
        <v>263.92388228061458</v>
      </c>
      <c r="L34" s="190">
        <f t="shared" si="5"/>
        <v>24</v>
      </c>
    </row>
    <row r="35" spans="2:21" ht="21.75" customHeight="1" x14ac:dyDescent="0.25">
      <c r="B35" s="319" t="s">
        <v>583</v>
      </c>
      <c r="C35" s="320" t="str">
        <f>VLOOKUP(B35,'MP. List CSI'!$K$4:$N$194,4,0)</f>
        <v>02300315</v>
      </c>
      <c r="D35" s="22" t="s">
        <v>553</v>
      </c>
      <c r="E35" s="290" t="str">
        <f>VLOOKUP(D35,'Manpower List'!$F$5:$H$170,3,0)</f>
        <v>01700084</v>
      </c>
      <c r="F35" s="340">
        <v>1</v>
      </c>
      <c r="G35" s="189">
        <f>VLOOKUP(E35,'Manpower List'!$H$5:$Y$170,18,0)</f>
        <v>7198.745126705654</v>
      </c>
      <c r="H35" s="130">
        <f t="shared" si="0"/>
        <v>276.8748125656021</v>
      </c>
      <c r="I35" s="204">
        <f t="shared" si="1"/>
        <v>34.609351570700262</v>
      </c>
      <c r="K35" s="189">
        <f t="shared" si="4"/>
        <v>276.8748125656021</v>
      </c>
      <c r="L35" s="190">
        <f t="shared" si="5"/>
        <v>8</v>
      </c>
    </row>
    <row r="36" spans="2:21" ht="21.75" customHeight="1" thickBot="1" x14ac:dyDescent="0.3">
      <c r="B36" s="322" t="s">
        <v>583</v>
      </c>
      <c r="C36" s="323" t="str">
        <f>VLOOKUP(B36,'MP. List CSI'!$K$4:$N$194,4,0)</f>
        <v>02300315</v>
      </c>
      <c r="D36" s="24" t="s">
        <v>593</v>
      </c>
      <c r="E36" s="321" t="str">
        <f>VLOOKUP(D36,'Manpower List'!$F$5:$H$170,3,0)</f>
        <v>01700039</v>
      </c>
      <c r="F36" s="339">
        <v>15</v>
      </c>
      <c r="G36" s="191">
        <f>VLOOKUP(E36,'Manpower List'!$H$5:$Y$170,18,0)</f>
        <v>1737.2634926588446</v>
      </c>
      <c r="H36" s="333">
        <f t="shared" ref="H36:H67" si="7">G36/26</f>
        <v>66.817826640724789</v>
      </c>
      <c r="I36" s="334">
        <f t="shared" ref="I36:I67" si="8">H36/8</f>
        <v>8.3522283300905986</v>
      </c>
      <c r="K36" s="191">
        <f t="shared" si="4"/>
        <v>1002.2673996108718</v>
      </c>
      <c r="L36" s="192">
        <f t="shared" si="5"/>
        <v>120</v>
      </c>
      <c r="U36" s="27"/>
    </row>
    <row r="37" spans="2:21" ht="21.75" customHeight="1" x14ac:dyDescent="0.25">
      <c r="B37" s="315" t="s">
        <v>584</v>
      </c>
      <c r="C37" s="316" t="str">
        <f>VLOOKUP(B37,'MP. List CSI'!$K$4:$N$194,4,0)</f>
        <v>02300320</v>
      </c>
      <c r="D37" s="317" t="s">
        <v>560</v>
      </c>
      <c r="E37" s="318" t="str">
        <f>VLOOKUP(D37,'Manpower List'!$F$5:$H$170,3,0)</f>
        <v>01700051</v>
      </c>
      <c r="F37" s="338">
        <v>1</v>
      </c>
      <c r="G37" s="187">
        <f>VLOOKUP(E37,'Manpower List'!$H$5:$Y$170,18,0)</f>
        <v>1833.6251388888888</v>
      </c>
      <c r="H37" s="331">
        <f t="shared" si="7"/>
        <v>70.524043803418806</v>
      </c>
      <c r="I37" s="332">
        <f t="shared" si="8"/>
        <v>8.8155054754273507</v>
      </c>
      <c r="K37" s="187">
        <f t="shared" si="4"/>
        <v>70.524043803418806</v>
      </c>
      <c r="L37" s="188">
        <f t="shared" si="5"/>
        <v>8</v>
      </c>
    </row>
    <row r="38" spans="2:21" ht="21.75" customHeight="1" x14ac:dyDescent="0.25">
      <c r="B38" s="319" t="s">
        <v>584</v>
      </c>
      <c r="C38" s="320" t="str">
        <f>VLOOKUP(B38,'MP. List CSI'!$K$4:$N$194,4,0)</f>
        <v>02300320</v>
      </c>
      <c r="D38" s="22" t="s">
        <v>559</v>
      </c>
      <c r="E38" s="290" t="str">
        <f>VLOOKUP(D38,'Manpower List'!$F$5:$H$170,3,0)</f>
        <v>01700027</v>
      </c>
      <c r="F38" s="340">
        <v>3</v>
      </c>
      <c r="G38" s="189">
        <f>VLOOKUP(E38,'Manpower List'!$H$5:$Y$170,18,0)</f>
        <v>1725.2651143790854</v>
      </c>
      <c r="H38" s="130">
        <f t="shared" si="7"/>
        <v>66.35635055304175</v>
      </c>
      <c r="I38" s="204">
        <f t="shared" si="8"/>
        <v>8.2945438191302188</v>
      </c>
      <c r="K38" s="189">
        <f t="shared" si="4"/>
        <v>199.06905165912525</v>
      </c>
      <c r="L38" s="190">
        <f t="shared" si="5"/>
        <v>24</v>
      </c>
      <c r="U38" s="27"/>
    </row>
    <row r="39" spans="2:21" ht="21.75" customHeight="1" thickBot="1" x14ac:dyDescent="0.3">
      <c r="B39" s="322" t="s">
        <v>584</v>
      </c>
      <c r="C39" s="323" t="str">
        <f>VLOOKUP(B39,'MP. List CSI'!$K$4:$N$194,4,0)</f>
        <v>02300320</v>
      </c>
      <c r="D39" s="24" t="s">
        <v>561</v>
      </c>
      <c r="E39" s="321" t="str">
        <f>VLOOKUP(D39,'Manpower List'!$F$5:$H$170,3,0)</f>
        <v>01700039</v>
      </c>
      <c r="F39" s="339">
        <v>9</v>
      </c>
      <c r="G39" s="191">
        <f>VLOOKUP(E39,'Manpower List'!$H$5:$Y$170,18,0)</f>
        <v>1737.2634926588446</v>
      </c>
      <c r="H39" s="333">
        <f t="shared" si="7"/>
        <v>66.817826640724789</v>
      </c>
      <c r="I39" s="334">
        <f t="shared" si="8"/>
        <v>8.3522283300905986</v>
      </c>
      <c r="K39" s="191">
        <f t="shared" si="4"/>
        <v>601.36043976652309</v>
      </c>
      <c r="L39" s="192">
        <f t="shared" si="5"/>
        <v>72</v>
      </c>
    </row>
    <row r="40" spans="2:21" ht="21.75" customHeight="1" x14ac:dyDescent="0.25">
      <c r="B40" s="315" t="s">
        <v>585</v>
      </c>
      <c r="C40" s="316" t="str">
        <f>VLOOKUP(B40,'MP. List CSI'!$K$4:$N$194,4,0)</f>
        <v>09300310</v>
      </c>
      <c r="D40" s="317" t="s">
        <v>1012</v>
      </c>
      <c r="E40" s="318" t="str">
        <f>VLOOKUP(D40,'Manpower List'!$F$5:$H$170,3,0)</f>
        <v>09050005</v>
      </c>
      <c r="F40" s="338">
        <v>1</v>
      </c>
      <c r="G40" s="187">
        <f>VLOOKUP(E40,'Manpower List'!$H$5:$Y$170,18,0)</f>
        <v>5732.5980555555552</v>
      </c>
      <c r="H40" s="331">
        <f t="shared" si="7"/>
        <v>220.48454059829058</v>
      </c>
      <c r="I40" s="332">
        <f t="shared" si="8"/>
        <v>27.560567574786322</v>
      </c>
      <c r="K40" s="187">
        <f t="shared" si="4"/>
        <v>220.48454059829058</v>
      </c>
      <c r="L40" s="188">
        <f t="shared" si="5"/>
        <v>8</v>
      </c>
    </row>
    <row r="41" spans="2:21" ht="21.75" customHeight="1" x14ac:dyDescent="0.25">
      <c r="B41" s="319" t="s">
        <v>585</v>
      </c>
      <c r="C41" s="320" t="str">
        <f>VLOOKUP(B41,'MP. List CSI'!$K$4:$N$194,4,0)</f>
        <v>09300310</v>
      </c>
      <c r="D41" s="22" t="s">
        <v>541</v>
      </c>
      <c r="E41" s="290" t="str">
        <f>VLOOKUP(D41,'Manpower List'!$F$5:$H$170,3,0)</f>
        <v>09600015</v>
      </c>
      <c r="F41" s="340">
        <v>6</v>
      </c>
      <c r="G41" s="189">
        <f>VLOOKUP(E41,'Manpower List'!$H$5:$Y$170,18,0)</f>
        <v>2114.681464646465</v>
      </c>
      <c r="H41" s="130">
        <f t="shared" si="7"/>
        <v>81.333902486402494</v>
      </c>
      <c r="I41" s="204">
        <f t="shared" si="8"/>
        <v>10.166737810800312</v>
      </c>
      <c r="K41" s="189">
        <f t="shared" si="4"/>
        <v>488.00341491841493</v>
      </c>
      <c r="L41" s="190">
        <f t="shared" si="5"/>
        <v>48</v>
      </c>
    </row>
    <row r="42" spans="2:21" ht="21.75" customHeight="1" x14ac:dyDescent="0.25">
      <c r="B42" s="319" t="s">
        <v>585</v>
      </c>
      <c r="C42" s="320" t="str">
        <f>VLOOKUP(B42,'MP. List CSI'!$K$4:$N$194,4,0)</f>
        <v>09300310</v>
      </c>
      <c r="D42" s="22" t="s">
        <v>537</v>
      </c>
      <c r="E42" s="290" t="str">
        <f>VLOOKUP(D42,'Manpower List'!$F$5:$H$170,3,0)</f>
        <v>01700087</v>
      </c>
      <c r="F42" s="340">
        <v>2</v>
      </c>
      <c r="G42" s="189">
        <f>VLOOKUP(E42,'Manpower List'!$H$5:$Y$170,18,0)</f>
        <v>1984.7541666666666</v>
      </c>
      <c r="H42" s="130">
        <f t="shared" si="7"/>
        <v>76.336698717948721</v>
      </c>
      <c r="I42" s="204">
        <f t="shared" si="8"/>
        <v>9.5420873397435901</v>
      </c>
      <c r="K42" s="189">
        <f t="shared" si="4"/>
        <v>152.67339743589744</v>
      </c>
      <c r="L42" s="190">
        <f t="shared" si="5"/>
        <v>16</v>
      </c>
    </row>
    <row r="43" spans="2:21" ht="21.75" customHeight="1" thickBot="1" x14ac:dyDescent="0.3">
      <c r="B43" s="322" t="s">
        <v>585</v>
      </c>
      <c r="C43" s="323" t="str">
        <f>VLOOKUP(B43,'MP. List CSI'!$K$4:$N$194,4,0)</f>
        <v>09300310</v>
      </c>
      <c r="D43" s="24" t="s">
        <v>593</v>
      </c>
      <c r="E43" s="321" t="str">
        <f>VLOOKUP(D43,'Manpower List'!$F$5:$H$170,3,0)</f>
        <v>01700039</v>
      </c>
      <c r="F43" s="339">
        <v>12</v>
      </c>
      <c r="G43" s="191">
        <f>VLOOKUP(E43,'Manpower List'!$H$5:$Y$170,18,0)</f>
        <v>1737.2634926588446</v>
      </c>
      <c r="H43" s="333">
        <f t="shared" si="7"/>
        <v>66.817826640724789</v>
      </c>
      <c r="I43" s="334">
        <f t="shared" si="8"/>
        <v>8.3522283300905986</v>
      </c>
      <c r="K43" s="191">
        <f t="shared" si="4"/>
        <v>801.81391968869752</v>
      </c>
      <c r="L43" s="192">
        <f t="shared" si="5"/>
        <v>96</v>
      </c>
    </row>
    <row r="44" spans="2:21" ht="21.75" customHeight="1" x14ac:dyDescent="0.25">
      <c r="B44" s="315" t="s">
        <v>588</v>
      </c>
      <c r="C44" s="316" t="str">
        <f>VLOOKUP(B44,'MP. List CSI'!$K$4:$N$194,4,0)</f>
        <v>09900305</v>
      </c>
      <c r="D44" s="317" t="s">
        <v>1017</v>
      </c>
      <c r="E44" s="318" t="str">
        <f>VLOOKUP(D44,'Manpower List'!$F$5:$H$170,3,0)</f>
        <v>09900005</v>
      </c>
      <c r="F44" s="338">
        <v>1</v>
      </c>
      <c r="G44" s="187">
        <f>VLOOKUP(E44,'Manpower List'!$H$5:$Y$170,18,0)</f>
        <v>4387.0780555555548</v>
      </c>
      <c r="H44" s="331">
        <f t="shared" si="7"/>
        <v>168.73377136752134</v>
      </c>
      <c r="I44" s="332">
        <f t="shared" si="8"/>
        <v>21.091721420940168</v>
      </c>
      <c r="K44" s="187">
        <f t="shared" si="4"/>
        <v>168.73377136752134</v>
      </c>
      <c r="L44" s="188">
        <f t="shared" si="5"/>
        <v>8</v>
      </c>
      <c r="U44" s="27"/>
    </row>
    <row r="45" spans="2:21" ht="21.75" customHeight="1" x14ac:dyDescent="0.25">
      <c r="B45" s="319" t="s">
        <v>588</v>
      </c>
      <c r="C45" s="320" t="str">
        <f>VLOOKUP(B45,'MP. List CSI'!$K$4:$N$194,4,0)</f>
        <v>09900305</v>
      </c>
      <c r="D45" s="22" t="s">
        <v>1093</v>
      </c>
      <c r="E45" s="290" t="str">
        <f>VLOOKUP(D45,'Manpower List'!$F$5:$H$170,3,0)</f>
        <v>09900020</v>
      </c>
      <c r="F45" s="340">
        <v>6</v>
      </c>
      <c r="G45" s="189">
        <f>VLOOKUP(E45,'Manpower List'!$H$5:$Y$170,18,0)</f>
        <v>1745.3964305555558</v>
      </c>
      <c r="H45" s="130">
        <f t="shared" si="7"/>
        <v>67.130631944444445</v>
      </c>
      <c r="I45" s="204">
        <f t="shared" si="8"/>
        <v>8.3913289930555557</v>
      </c>
      <c r="K45" s="189">
        <f t="shared" si="4"/>
        <v>402.78379166666667</v>
      </c>
      <c r="L45" s="190">
        <f t="shared" si="5"/>
        <v>48</v>
      </c>
    </row>
    <row r="46" spans="2:21" ht="21.75" customHeight="1" thickBot="1" x14ac:dyDescent="0.3">
      <c r="B46" s="322" t="s">
        <v>588</v>
      </c>
      <c r="C46" s="323" t="str">
        <f>VLOOKUP(B46,'MP. List CSI'!$K$4:$N$194,4,0)</f>
        <v>09900305</v>
      </c>
      <c r="D46" s="24" t="s">
        <v>593</v>
      </c>
      <c r="E46" s="321" t="str">
        <f>VLOOKUP(D46,'Manpower List'!$F$5:$H$170,3,0)</f>
        <v>01700039</v>
      </c>
      <c r="F46" s="339">
        <v>3</v>
      </c>
      <c r="G46" s="191">
        <f>VLOOKUP(E46,'Manpower List'!$H$5:$Y$170,18,0)</f>
        <v>1737.2634926588446</v>
      </c>
      <c r="H46" s="333">
        <f t="shared" si="7"/>
        <v>66.817826640724789</v>
      </c>
      <c r="I46" s="334">
        <f t="shared" si="8"/>
        <v>8.3522283300905986</v>
      </c>
      <c r="K46" s="191">
        <f t="shared" si="4"/>
        <v>200.45347992217438</v>
      </c>
      <c r="L46" s="192">
        <f t="shared" si="5"/>
        <v>24</v>
      </c>
    </row>
    <row r="47" spans="2:21" ht="21.75" customHeight="1" x14ac:dyDescent="0.25">
      <c r="B47" s="315" t="s">
        <v>589</v>
      </c>
      <c r="C47" s="316" t="str">
        <f>VLOOKUP(B47,'MP. List CSI'!$K$4:$N$194,4,0)</f>
        <v>09200305</v>
      </c>
      <c r="D47" s="317" t="s">
        <v>1228</v>
      </c>
      <c r="E47" s="318" t="str">
        <f>VLOOKUP(D47,'Manpower List'!$F$5:$H$170,3,0)</f>
        <v>09700020</v>
      </c>
      <c r="F47" s="338">
        <v>1</v>
      </c>
      <c r="G47" s="187">
        <f>VLOOKUP(E47,'Manpower List'!$H$5:$Y$170,18,0)</f>
        <v>3460.9383680555557</v>
      </c>
      <c r="H47" s="331">
        <f t="shared" si="7"/>
        <v>133.11301415598291</v>
      </c>
      <c r="I47" s="332">
        <f t="shared" si="8"/>
        <v>16.639126769497864</v>
      </c>
      <c r="K47" s="187">
        <f t="shared" si="4"/>
        <v>133.11301415598291</v>
      </c>
      <c r="L47" s="188">
        <f t="shared" si="5"/>
        <v>8</v>
      </c>
    </row>
    <row r="48" spans="2:21" ht="21.75" customHeight="1" x14ac:dyDescent="0.25">
      <c r="B48" s="319" t="s">
        <v>589</v>
      </c>
      <c r="C48" s="320" t="str">
        <f>VLOOKUP(B48,'MP. List CSI'!$K$4:$N$194,4,0)</f>
        <v>09200305</v>
      </c>
      <c r="D48" s="22" t="s">
        <v>598</v>
      </c>
      <c r="E48" s="290" t="str">
        <f>VLOOKUP(D48,'Manpower List'!$F$5:$H$170,3,0)</f>
        <v>09700015</v>
      </c>
      <c r="F48" s="340">
        <v>6</v>
      </c>
      <c r="G48" s="189">
        <f>VLOOKUP(E48,'Manpower List'!$H$5:$Y$170,18,0)</f>
        <v>1747.177949172577</v>
      </c>
      <c r="H48" s="130">
        <f t="shared" si="7"/>
        <v>67.199151891252967</v>
      </c>
      <c r="I48" s="204">
        <f t="shared" si="8"/>
        <v>8.3998939864066209</v>
      </c>
      <c r="K48" s="189">
        <f t="shared" si="4"/>
        <v>403.1949113475178</v>
      </c>
      <c r="L48" s="190">
        <f t="shared" si="5"/>
        <v>48</v>
      </c>
    </row>
    <row r="49" spans="2:21" ht="21.75" customHeight="1" x14ac:dyDescent="0.25">
      <c r="B49" s="319" t="s">
        <v>589</v>
      </c>
      <c r="C49" s="320" t="str">
        <f>VLOOKUP(B49,'MP. List CSI'!$K$4:$N$194,4,0)</f>
        <v>09200305</v>
      </c>
      <c r="D49" s="22" t="s">
        <v>601</v>
      </c>
      <c r="E49" s="290" t="str">
        <f>VLOOKUP(D49,'Manpower List'!$F$5:$H$170,3,0)</f>
        <v>01700027</v>
      </c>
      <c r="F49" s="340">
        <v>3</v>
      </c>
      <c r="G49" s="189">
        <f>VLOOKUP(E49,'Manpower List'!$H$5:$Y$170,18,0)</f>
        <v>1725.2651143790854</v>
      </c>
      <c r="H49" s="130">
        <f t="shared" si="7"/>
        <v>66.35635055304175</v>
      </c>
      <c r="I49" s="204">
        <f t="shared" si="8"/>
        <v>8.2945438191302188</v>
      </c>
      <c r="K49" s="189">
        <f t="shared" si="4"/>
        <v>199.06905165912525</v>
      </c>
      <c r="L49" s="190">
        <f t="shared" si="5"/>
        <v>24</v>
      </c>
      <c r="U49" s="27"/>
    </row>
    <row r="50" spans="2:21" ht="21.75" customHeight="1" thickBot="1" x14ac:dyDescent="0.3">
      <c r="B50" s="322" t="s">
        <v>589</v>
      </c>
      <c r="C50" s="323" t="str">
        <f>VLOOKUP(B50,'MP. List CSI'!$K$4:$N$194,4,0)</f>
        <v>09200305</v>
      </c>
      <c r="D50" s="24" t="s">
        <v>593</v>
      </c>
      <c r="E50" s="321" t="str">
        <f>VLOOKUP(D50,'Manpower List'!$F$5:$H$170,3,0)</f>
        <v>01700039</v>
      </c>
      <c r="F50" s="339">
        <v>3</v>
      </c>
      <c r="G50" s="191">
        <f>VLOOKUP(E50,'Manpower List'!$H$5:$Y$170,18,0)</f>
        <v>1737.2634926588446</v>
      </c>
      <c r="H50" s="333">
        <f t="shared" si="7"/>
        <v>66.817826640724789</v>
      </c>
      <c r="I50" s="334">
        <f t="shared" si="8"/>
        <v>8.3522283300905986</v>
      </c>
      <c r="K50" s="191">
        <f t="shared" si="4"/>
        <v>200.45347992217438</v>
      </c>
      <c r="L50" s="192">
        <f t="shared" si="5"/>
        <v>24</v>
      </c>
      <c r="U50" s="27"/>
    </row>
    <row r="51" spans="2:21" ht="21.75" customHeight="1" x14ac:dyDescent="0.25">
      <c r="B51" s="315" t="s">
        <v>597</v>
      </c>
      <c r="C51" s="316" t="str">
        <f>VLOOKUP(B51,'MP. List CSI'!$K$4:$N$194,4,0)</f>
        <v>03400305</v>
      </c>
      <c r="D51" s="317" t="s">
        <v>529</v>
      </c>
      <c r="E51" s="318" t="str">
        <f>VLOOKUP(D51,'Manpower List'!$F$5:$H$170,3,0)</f>
        <v>03400005</v>
      </c>
      <c r="F51" s="338">
        <v>1</v>
      </c>
      <c r="G51" s="187">
        <f>VLOOKUP(E51,'Manpower List'!$H$5:$Y$170,18,0)</f>
        <v>4264.5698412698412</v>
      </c>
      <c r="H51" s="331">
        <f t="shared" si="7"/>
        <v>164.02191697191697</v>
      </c>
      <c r="I51" s="332">
        <f t="shared" si="8"/>
        <v>20.502739621489621</v>
      </c>
      <c r="K51" s="187">
        <f t="shared" si="4"/>
        <v>164.02191697191697</v>
      </c>
      <c r="L51" s="188">
        <f t="shared" si="5"/>
        <v>8</v>
      </c>
    </row>
    <row r="52" spans="2:21" ht="21.75" customHeight="1" x14ac:dyDescent="0.25">
      <c r="B52" s="319" t="s">
        <v>597</v>
      </c>
      <c r="C52" s="320" t="str">
        <f>VLOOKUP(B52,'MP. List CSI'!$K$4:$N$194,4,0)</f>
        <v>03400305</v>
      </c>
      <c r="D52" s="22" t="s">
        <v>530</v>
      </c>
      <c r="E52" s="290" t="str">
        <f>VLOOKUP(D52,'Manpower List'!$F$5:$H$170,3,0)</f>
        <v>03400010</v>
      </c>
      <c r="F52" s="340">
        <v>6</v>
      </c>
      <c r="G52" s="189">
        <f>VLOOKUP(E52,'Manpower List'!$H$5:$Y$170,18,0)</f>
        <v>1951.7495854063018</v>
      </c>
      <c r="H52" s="130">
        <f t="shared" si="7"/>
        <v>75.067291746396222</v>
      </c>
      <c r="I52" s="204">
        <f t="shared" si="8"/>
        <v>9.3834114682995278</v>
      </c>
      <c r="K52" s="189">
        <f t="shared" si="4"/>
        <v>450.40375047837733</v>
      </c>
      <c r="L52" s="190">
        <f t="shared" si="5"/>
        <v>48</v>
      </c>
    </row>
    <row r="53" spans="2:21" ht="21.75" customHeight="1" thickBot="1" x14ac:dyDescent="0.3">
      <c r="B53" s="322" t="s">
        <v>597</v>
      </c>
      <c r="C53" s="323" t="str">
        <f>VLOOKUP(B53,'MP. List CSI'!$K$4:$N$194,4,0)</f>
        <v>03400305</v>
      </c>
      <c r="D53" s="24" t="s">
        <v>593</v>
      </c>
      <c r="E53" s="321" t="str">
        <f>VLOOKUP(D53,'Manpower List'!$F$5:$H$170,3,0)</f>
        <v>01700039</v>
      </c>
      <c r="F53" s="339">
        <v>2</v>
      </c>
      <c r="G53" s="191">
        <f>VLOOKUP(E53,'Manpower List'!$H$5:$Y$170,18,0)</f>
        <v>1737.2634926588446</v>
      </c>
      <c r="H53" s="333">
        <f t="shared" si="7"/>
        <v>66.817826640724789</v>
      </c>
      <c r="I53" s="334">
        <f t="shared" si="8"/>
        <v>8.3522283300905986</v>
      </c>
      <c r="K53" s="191">
        <f t="shared" si="4"/>
        <v>133.63565328144958</v>
      </c>
      <c r="L53" s="192">
        <f t="shared" si="5"/>
        <v>16</v>
      </c>
      <c r="U53" s="27"/>
    </row>
    <row r="54" spans="2:21" ht="21.75" customHeight="1" x14ac:dyDescent="0.25">
      <c r="B54" s="315" t="s">
        <v>594</v>
      </c>
      <c r="C54" s="316" t="str">
        <f>VLOOKUP(B54,'MP. List CSI'!$K$4:$N$194,4,0)</f>
        <v>15200310</v>
      </c>
      <c r="D54" s="317" t="s">
        <v>969</v>
      </c>
      <c r="E54" s="318" t="str">
        <f>VLOOKUP(D54,'Manpower List'!$F$5:$H$170,3,0)</f>
        <v>03300010</v>
      </c>
      <c r="F54" s="338">
        <v>10</v>
      </c>
      <c r="G54" s="187">
        <f>VLOOKUP(E54,'Manpower List'!$H$5:$Y$170,18,0)</f>
        <v>1710.8875496283754</v>
      </c>
      <c r="H54" s="331">
        <f t="shared" si="7"/>
        <v>65.803367293399049</v>
      </c>
      <c r="I54" s="332">
        <f t="shared" si="8"/>
        <v>8.2254209116748811</v>
      </c>
      <c r="K54" s="187">
        <f t="shared" si="4"/>
        <v>658.03367293399049</v>
      </c>
      <c r="L54" s="188">
        <f t="shared" si="5"/>
        <v>80</v>
      </c>
      <c r="U54" s="27"/>
    </row>
    <row r="55" spans="2:21" ht="21.75" customHeight="1" x14ac:dyDescent="0.25">
      <c r="B55" s="319" t="s">
        <v>594</v>
      </c>
      <c r="C55" s="320" t="str">
        <f>VLOOKUP(B55,'MP. List CSI'!$K$4:$N$194,4,0)</f>
        <v>15200310</v>
      </c>
      <c r="D55" s="22" t="s">
        <v>1000</v>
      </c>
      <c r="E55" s="290" t="str">
        <f>VLOOKUP(D55,'Manpower List'!$F$5:$H$170,3,0)</f>
        <v>03300020</v>
      </c>
      <c r="F55" s="340">
        <v>1</v>
      </c>
      <c r="G55" s="189">
        <f>VLOOKUP(E55,'Manpower List'!$H$5:$Y$170,18,0)</f>
        <v>3889.0170555555551</v>
      </c>
      <c r="H55" s="130">
        <f t="shared" si="7"/>
        <v>149.57757905982905</v>
      </c>
      <c r="I55" s="204">
        <f t="shared" si="8"/>
        <v>18.697197382478631</v>
      </c>
      <c r="K55" s="189">
        <f t="shared" si="4"/>
        <v>149.57757905982905</v>
      </c>
      <c r="L55" s="190">
        <f t="shared" si="5"/>
        <v>8</v>
      </c>
    </row>
    <row r="56" spans="2:21" ht="21.75" customHeight="1" x14ac:dyDescent="0.25">
      <c r="B56" s="319" t="s">
        <v>594</v>
      </c>
      <c r="C56" s="320" t="str">
        <f>VLOOKUP(B56,'MP. List CSI'!$K$4:$N$194,4,0)</f>
        <v>15200310</v>
      </c>
      <c r="D56" s="22" t="s">
        <v>593</v>
      </c>
      <c r="E56" s="290" t="str">
        <f>VLOOKUP(D56,'Manpower List'!$F$5:$H$170,3,0)</f>
        <v>01700039</v>
      </c>
      <c r="F56" s="340">
        <v>8</v>
      </c>
      <c r="G56" s="189">
        <f>VLOOKUP(E56,'Manpower List'!$H$5:$Y$170,18,0)</f>
        <v>1737.2634926588446</v>
      </c>
      <c r="H56" s="130">
        <f t="shared" si="7"/>
        <v>66.817826640724789</v>
      </c>
      <c r="I56" s="204">
        <f t="shared" si="8"/>
        <v>8.3522283300905986</v>
      </c>
      <c r="K56" s="189">
        <f t="shared" si="4"/>
        <v>534.54261312579831</v>
      </c>
      <c r="L56" s="190">
        <f t="shared" si="5"/>
        <v>64</v>
      </c>
    </row>
    <row r="57" spans="2:21" ht="21.75" customHeight="1" x14ac:dyDescent="0.25">
      <c r="B57" s="319" t="s">
        <v>594</v>
      </c>
      <c r="C57" s="320" t="str">
        <f>VLOOKUP(B57,'MP. List CSI'!$K$4:$N$194,4,0)</f>
        <v>15200310</v>
      </c>
      <c r="D57" s="22" t="s">
        <v>598</v>
      </c>
      <c r="E57" s="290" t="str">
        <f>VLOOKUP(D57,'Manpower List'!$F$5:$H$170,3,0)</f>
        <v>09700015</v>
      </c>
      <c r="F57" s="340">
        <v>1</v>
      </c>
      <c r="G57" s="189">
        <f>VLOOKUP(E57,'Manpower List'!$H$5:$Y$170,18,0)</f>
        <v>1747.177949172577</v>
      </c>
      <c r="H57" s="130">
        <f t="shared" si="7"/>
        <v>67.199151891252967</v>
      </c>
      <c r="I57" s="204">
        <f t="shared" si="8"/>
        <v>8.3998939864066209</v>
      </c>
      <c r="K57" s="189">
        <f t="shared" si="4"/>
        <v>67.199151891252967</v>
      </c>
      <c r="L57" s="190">
        <f t="shared" si="5"/>
        <v>8</v>
      </c>
    </row>
    <row r="58" spans="2:21" ht="21.75" customHeight="1" thickBot="1" x14ac:dyDescent="0.3">
      <c r="B58" s="322" t="s">
        <v>594</v>
      </c>
      <c r="C58" s="323" t="str">
        <f>VLOOKUP(B58,'MP. List CSI'!$K$4:$N$194,4,0)</f>
        <v>15200310</v>
      </c>
      <c r="D58" s="24" t="s">
        <v>527</v>
      </c>
      <c r="E58" s="321" t="str">
        <f>VLOOKUP(D58,'Manpower List'!$F$5:$H$170,3,0)</f>
        <v>03300060</v>
      </c>
      <c r="F58" s="339">
        <v>4</v>
      </c>
      <c r="G58" s="191">
        <f>VLOOKUP(E58,'Manpower List'!$H$5:$Y$170,18,0)</f>
        <v>1715.0487829158637</v>
      </c>
      <c r="H58" s="333">
        <f t="shared" si="7"/>
        <v>65.96341472753322</v>
      </c>
      <c r="I58" s="334">
        <f t="shared" si="8"/>
        <v>8.2454268409416525</v>
      </c>
      <c r="K58" s="191">
        <f t="shared" si="4"/>
        <v>263.85365891013288</v>
      </c>
      <c r="L58" s="192">
        <f t="shared" si="5"/>
        <v>32</v>
      </c>
    </row>
    <row r="59" spans="2:21" ht="21.75" customHeight="1" x14ac:dyDescent="0.25">
      <c r="B59" s="315" t="s">
        <v>592</v>
      </c>
      <c r="C59" s="316" t="str">
        <f>VLOOKUP(B59,'MP. List CSI'!$K$4:$N$194,4,0)</f>
        <v>15200305</v>
      </c>
      <c r="D59" s="317" t="s">
        <v>1095</v>
      </c>
      <c r="E59" s="318" t="str">
        <f>VLOOKUP(D59,'Manpower List'!$F$5:$H$170,3,0)</f>
        <v>15100015</v>
      </c>
      <c r="F59" s="338">
        <v>1</v>
      </c>
      <c r="G59" s="187">
        <f>VLOOKUP(E59,'Manpower List'!$H$5:$Y$170,18,0)</f>
        <v>2287.3403130986594</v>
      </c>
      <c r="H59" s="331">
        <f t="shared" si="7"/>
        <v>87.974627426871521</v>
      </c>
      <c r="I59" s="332">
        <f t="shared" si="8"/>
        <v>10.99682842835894</v>
      </c>
      <c r="K59" s="187">
        <f t="shared" si="4"/>
        <v>87.974627426871521</v>
      </c>
      <c r="L59" s="188">
        <f t="shared" si="5"/>
        <v>8</v>
      </c>
    </row>
    <row r="60" spans="2:21" ht="21.75" customHeight="1" x14ac:dyDescent="0.25">
      <c r="B60" s="319" t="s">
        <v>592</v>
      </c>
      <c r="C60" s="320" t="str">
        <f>VLOOKUP(B60,'MP. List CSI'!$K$4:$N$194,4,0)</f>
        <v>15200305</v>
      </c>
      <c r="D60" s="22" t="s">
        <v>1023</v>
      </c>
      <c r="E60" s="290" t="str">
        <f>VLOOKUP(D60,'Manpower List'!$F$5:$H$170,3,0)</f>
        <v>15100005</v>
      </c>
      <c r="F60" s="340">
        <v>8</v>
      </c>
      <c r="G60" s="189">
        <f>VLOOKUP(E60,'Manpower List'!$H$5:$Y$170,18,0)</f>
        <v>3865.2250555555556</v>
      </c>
      <c r="H60" s="130">
        <f t="shared" si="7"/>
        <v>148.66250213675215</v>
      </c>
      <c r="I60" s="204">
        <f t="shared" si="8"/>
        <v>18.582812767094019</v>
      </c>
      <c r="K60" s="189">
        <f t="shared" si="4"/>
        <v>1189.3000170940172</v>
      </c>
      <c r="L60" s="190">
        <f t="shared" si="5"/>
        <v>64</v>
      </c>
    </row>
    <row r="61" spans="2:21" ht="21.75" customHeight="1" x14ac:dyDescent="0.25">
      <c r="B61" s="319" t="s">
        <v>592</v>
      </c>
      <c r="C61" s="320" t="str">
        <f>VLOOKUP(B61,'MP. List CSI'!$K$4:$N$194,4,0)</f>
        <v>15200305</v>
      </c>
      <c r="D61" s="22" t="s">
        <v>601</v>
      </c>
      <c r="E61" s="290" t="str">
        <f>VLOOKUP(D61,'Manpower List'!$F$5:$H$170,3,0)</f>
        <v>01700027</v>
      </c>
      <c r="F61" s="340">
        <v>4</v>
      </c>
      <c r="G61" s="189">
        <f>VLOOKUP(E61,'Manpower List'!$H$5:$Y$170,18,0)</f>
        <v>1725.2651143790854</v>
      </c>
      <c r="H61" s="130">
        <f t="shared" si="7"/>
        <v>66.35635055304175</v>
      </c>
      <c r="I61" s="204">
        <f t="shared" si="8"/>
        <v>8.2945438191302188</v>
      </c>
      <c r="K61" s="189">
        <f t="shared" si="4"/>
        <v>265.425402212167</v>
      </c>
      <c r="L61" s="190">
        <f t="shared" si="5"/>
        <v>32</v>
      </c>
    </row>
    <row r="62" spans="2:21" ht="21.75" customHeight="1" thickBot="1" x14ac:dyDescent="0.3">
      <c r="B62" s="322" t="s">
        <v>592</v>
      </c>
      <c r="C62" s="323" t="str">
        <f>VLOOKUP(B62,'MP. List CSI'!$K$4:$N$194,4,0)</f>
        <v>15200305</v>
      </c>
      <c r="D62" s="24" t="s">
        <v>593</v>
      </c>
      <c r="E62" s="321" t="str">
        <f>VLOOKUP(D62,'Manpower List'!$F$5:$H$170,3,0)</f>
        <v>01700039</v>
      </c>
      <c r="F62" s="339">
        <v>4</v>
      </c>
      <c r="G62" s="191">
        <f>VLOOKUP(E62,'Manpower List'!$H$5:$Y$170,18,0)</f>
        <v>1737.2634926588446</v>
      </c>
      <c r="H62" s="333">
        <f t="shared" si="7"/>
        <v>66.817826640724789</v>
      </c>
      <c r="I62" s="334">
        <f t="shared" si="8"/>
        <v>8.3522283300905986</v>
      </c>
      <c r="K62" s="197">
        <f t="shared" si="4"/>
        <v>267.27130656289916</v>
      </c>
      <c r="L62" s="198">
        <f t="shared" si="5"/>
        <v>32</v>
      </c>
    </row>
    <row r="63" spans="2:21" ht="21.75" customHeight="1" thickBot="1" x14ac:dyDescent="0.3">
      <c r="B63" s="342" t="s">
        <v>595</v>
      </c>
      <c r="C63" s="343" t="str">
        <f>VLOOKUP(B63,'MP. List CSI'!$K$4:$N$194,4,0)</f>
        <v>02300310</v>
      </c>
      <c r="D63" s="344" t="s">
        <v>603</v>
      </c>
      <c r="E63" s="326" t="str">
        <f>VLOOKUP(D63,'Manpower List'!$F$5:$H$170,3,0)</f>
        <v>02200060</v>
      </c>
      <c r="F63" s="337">
        <v>9</v>
      </c>
      <c r="G63" s="195">
        <f>VLOOKUP(E63,'Manpower List'!$H$5:$Y$170,18,0)</f>
        <v>3401.9879629629631</v>
      </c>
      <c r="H63" s="329">
        <f t="shared" si="7"/>
        <v>130.84569088319088</v>
      </c>
      <c r="I63" s="330">
        <f t="shared" si="8"/>
        <v>16.35571136039886</v>
      </c>
      <c r="K63" s="195">
        <f t="shared" si="4"/>
        <v>1177.6112179487179</v>
      </c>
      <c r="L63" s="196">
        <f t="shared" si="5"/>
        <v>72</v>
      </c>
    </row>
    <row r="64" spans="2:21" ht="21.75" customHeight="1" x14ac:dyDescent="0.25">
      <c r="B64" s="315" t="s">
        <v>596</v>
      </c>
      <c r="C64" s="316" t="str">
        <f>VLOOKUP(B64,'MP. List CSI'!$K$4:$N$194,4,0)</f>
        <v>03300310</v>
      </c>
      <c r="D64" s="317" t="s">
        <v>1029</v>
      </c>
      <c r="E64" s="318" t="str">
        <f>VLOOKUP(D64,'Manpower List'!$F$5:$H$170,3,0)</f>
        <v>03300025</v>
      </c>
      <c r="F64" s="338">
        <v>1</v>
      </c>
      <c r="G64" s="187">
        <f>VLOOKUP(E64,'Manpower List'!$H$5:$Y$170,18,0)</f>
        <v>4264.5698412698412</v>
      </c>
      <c r="H64" s="331">
        <f t="shared" si="7"/>
        <v>164.02191697191697</v>
      </c>
      <c r="I64" s="332">
        <f t="shared" si="8"/>
        <v>20.502739621489621</v>
      </c>
      <c r="K64" s="187">
        <f t="shared" si="4"/>
        <v>164.02191697191697</v>
      </c>
      <c r="L64" s="188">
        <f t="shared" si="5"/>
        <v>8</v>
      </c>
    </row>
    <row r="65" spans="2:21" ht="21.75" customHeight="1" x14ac:dyDescent="0.25">
      <c r="B65" s="319" t="s">
        <v>596</v>
      </c>
      <c r="C65" s="320" t="str">
        <f>VLOOKUP(B65,'MP. List CSI'!$K$4:$N$194,4,0)</f>
        <v>03300310</v>
      </c>
      <c r="D65" s="22" t="s">
        <v>527</v>
      </c>
      <c r="E65" s="290" t="str">
        <f>VLOOKUP(D65,'Manpower List'!$F$5:$H$170,3,0)</f>
        <v>03300060</v>
      </c>
      <c r="F65" s="340">
        <v>3</v>
      </c>
      <c r="G65" s="189">
        <f>VLOOKUP(E65,'Manpower List'!$H$5:$Y$170,18,0)</f>
        <v>1715.0487829158637</v>
      </c>
      <c r="H65" s="130">
        <f t="shared" si="7"/>
        <v>65.96341472753322</v>
      </c>
      <c r="I65" s="204">
        <f t="shared" si="8"/>
        <v>8.2454268409416525</v>
      </c>
      <c r="K65" s="189">
        <f t="shared" si="4"/>
        <v>197.89024418259964</v>
      </c>
      <c r="L65" s="190">
        <f t="shared" si="5"/>
        <v>24</v>
      </c>
      <c r="U65" s="27"/>
    </row>
    <row r="66" spans="2:21" ht="21.75" customHeight="1" x14ac:dyDescent="0.25">
      <c r="B66" s="319" t="s">
        <v>596</v>
      </c>
      <c r="C66" s="320" t="str">
        <f>VLOOKUP(B66,'MP. List CSI'!$K$4:$N$194,4,0)</f>
        <v>03300310</v>
      </c>
      <c r="D66" s="22" t="s">
        <v>1045</v>
      </c>
      <c r="E66" s="290" t="str">
        <f>VLOOKUP(D66,'Manpower List'!$F$5:$H$170,3,0)</f>
        <v>03300035</v>
      </c>
      <c r="F66" s="340">
        <v>6</v>
      </c>
      <c r="G66" s="189">
        <f>VLOOKUP(E66,'Manpower List'!$H$5:$Y$170,18,0)</f>
        <v>1454.9305555555557</v>
      </c>
      <c r="H66" s="130">
        <f t="shared" si="7"/>
        <v>55.958867521367523</v>
      </c>
      <c r="I66" s="204">
        <f t="shared" si="8"/>
        <v>6.9948584401709404</v>
      </c>
      <c r="K66" s="189">
        <f t="shared" si="4"/>
        <v>335.75320512820514</v>
      </c>
      <c r="L66" s="190">
        <f t="shared" si="5"/>
        <v>48</v>
      </c>
    </row>
    <row r="67" spans="2:21" ht="21.75" customHeight="1" thickBot="1" x14ac:dyDescent="0.3">
      <c r="B67" s="322" t="s">
        <v>596</v>
      </c>
      <c r="C67" s="323" t="str">
        <f>VLOOKUP(B67,'MP. List CSI'!$K$4:$N$194,4,0)</f>
        <v>03300310</v>
      </c>
      <c r="D67" s="24" t="s">
        <v>561</v>
      </c>
      <c r="E67" s="321" t="str">
        <f>VLOOKUP(D67,'Manpower List'!$F$5:$H$170,3,0)</f>
        <v>01700039</v>
      </c>
      <c r="F67" s="339">
        <v>3</v>
      </c>
      <c r="G67" s="191">
        <f>VLOOKUP(E67,'Manpower List'!$H$5:$Y$170,18,0)</f>
        <v>1737.2634926588446</v>
      </c>
      <c r="H67" s="333">
        <f t="shared" si="7"/>
        <v>66.817826640724789</v>
      </c>
      <c r="I67" s="334">
        <f t="shared" si="8"/>
        <v>8.3522283300905986</v>
      </c>
      <c r="K67" s="191">
        <f t="shared" si="4"/>
        <v>200.45347992217438</v>
      </c>
      <c r="L67" s="192">
        <f t="shared" si="5"/>
        <v>24</v>
      </c>
      <c r="U67" s="27"/>
    </row>
    <row r="68" spans="2:21" ht="21.75" customHeight="1" x14ac:dyDescent="0.25">
      <c r="B68" s="315" t="s">
        <v>599</v>
      </c>
      <c r="C68" s="316" t="str">
        <f>VLOOKUP(B68,'MP. List CSI'!$K$4:$N$194,4,0)</f>
        <v>02700305</v>
      </c>
      <c r="D68" s="317" t="s">
        <v>1046</v>
      </c>
      <c r="E68" s="318" t="str">
        <f>VLOOKUP(D68,'Manpower List'!$F$5:$H$170,3,0)</f>
        <v>01700030</v>
      </c>
      <c r="F68" s="338">
        <v>1</v>
      </c>
      <c r="G68" s="187">
        <f>VLOOKUP(E68,'Manpower List'!$H$5:$Y$170,18,0)</f>
        <v>1600.3914930555557</v>
      </c>
      <c r="H68" s="331">
        <f t="shared" ref="H68:H72" si="9">G68/26</f>
        <v>61.553518963675216</v>
      </c>
      <c r="I68" s="332">
        <f t="shared" ref="I68:I72" si="10">H68/8</f>
        <v>7.6941898704594021</v>
      </c>
      <c r="K68" s="187">
        <f t="shared" si="4"/>
        <v>61.553518963675216</v>
      </c>
      <c r="L68" s="188">
        <f t="shared" si="5"/>
        <v>8</v>
      </c>
      <c r="U68" s="27"/>
    </row>
    <row r="69" spans="2:21" ht="21.75" customHeight="1" thickBot="1" x14ac:dyDescent="0.3">
      <c r="B69" s="322" t="s">
        <v>599</v>
      </c>
      <c r="C69" s="323" t="str">
        <f>VLOOKUP(B69,'MP. List CSI'!$K$4:$N$194,4,0)</f>
        <v>02700305</v>
      </c>
      <c r="D69" s="24" t="s">
        <v>553</v>
      </c>
      <c r="E69" s="321" t="str">
        <f>VLOOKUP(D69,'Manpower List'!$F$5:$H$170,3,0)</f>
        <v>01700084</v>
      </c>
      <c r="F69" s="339">
        <v>1</v>
      </c>
      <c r="G69" s="191">
        <f>VLOOKUP(E69,'Manpower List'!$H$5:$Y$170,18,0)</f>
        <v>7198.745126705654</v>
      </c>
      <c r="H69" s="333">
        <f t="shared" si="9"/>
        <v>276.8748125656021</v>
      </c>
      <c r="I69" s="334">
        <f t="shared" si="10"/>
        <v>34.609351570700262</v>
      </c>
      <c r="K69" s="191">
        <f t="shared" ref="K69:K72" si="11">F69*H69</f>
        <v>276.8748125656021</v>
      </c>
      <c r="L69" s="192">
        <f t="shared" ref="L69:L72" si="12">F69*8</f>
        <v>8</v>
      </c>
    </row>
    <row r="70" spans="2:21" ht="21.75" customHeight="1" x14ac:dyDescent="0.25">
      <c r="B70" s="324" t="s">
        <v>600</v>
      </c>
      <c r="C70" s="325" t="str">
        <f>VLOOKUP(B70,'MP. List CSI'!$K$4:$N$194,4,0)</f>
        <v>09300305</v>
      </c>
      <c r="D70" s="20" t="s">
        <v>1229</v>
      </c>
      <c r="E70" s="293" t="str">
        <f>VLOOKUP(D70,'Manpower List'!$F$5:$H$170,3,0)</f>
        <v>09600010</v>
      </c>
      <c r="F70" s="345">
        <v>1</v>
      </c>
      <c r="G70" s="193">
        <f>VLOOKUP(E70,'Manpower List'!$H$5:$Y$170,18,0)</f>
        <v>3460.9383680555557</v>
      </c>
      <c r="H70" s="129">
        <f t="shared" si="9"/>
        <v>133.11301415598291</v>
      </c>
      <c r="I70" s="203">
        <f t="shared" si="10"/>
        <v>16.639126769497864</v>
      </c>
      <c r="K70" s="193">
        <f t="shared" si="11"/>
        <v>133.11301415598291</v>
      </c>
      <c r="L70" s="194">
        <f t="shared" si="12"/>
        <v>8</v>
      </c>
      <c r="U70" s="27"/>
    </row>
    <row r="71" spans="2:21" ht="21.75" customHeight="1" x14ac:dyDescent="0.25">
      <c r="B71" s="319" t="s">
        <v>600</v>
      </c>
      <c r="C71" s="320" t="str">
        <f>VLOOKUP(B71,'MP. List CSI'!$K$4:$N$194,4,0)</f>
        <v>09300305</v>
      </c>
      <c r="D71" s="22" t="s">
        <v>543</v>
      </c>
      <c r="E71" s="290" t="str">
        <f>VLOOKUP(D71,'Manpower List'!$F$5:$H$170,3,0)</f>
        <v>09600005</v>
      </c>
      <c r="F71" s="340">
        <v>3</v>
      </c>
      <c r="G71" s="189">
        <f>VLOOKUP(E71,'Manpower List'!$H$5:$Y$170,18,0)</f>
        <v>1811.3379863514033</v>
      </c>
      <c r="H71" s="130">
        <f t="shared" si="9"/>
        <v>69.66684562890012</v>
      </c>
      <c r="I71" s="204">
        <f t="shared" si="10"/>
        <v>8.708355703612515</v>
      </c>
      <c r="K71" s="189">
        <f t="shared" si="11"/>
        <v>209.00053688670036</v>
      </c>
      <c r="L71" s="190">
        <f t="shared" si="12"/>
        <v>24</v>
      </c>
    </row>
    <row r="72" spans="2:21" ht="21.75" customHeight="1" thickBot="1" x14ac:dyDescent="0.3">
      <c r="B72" s="327" t="s">
        <v>600</v>
      </c>
      <c r="C72" s="328" t="str">
        <f>VLOOKUP(B72,'MP. List CSI'!$K$4:$N$194,4,0)</f>
        <v>09300305</v>
      </c>
      <c r="D72" s="292" t="s">
        <v>561</v>
      </c>
      <c r="E72" s="291" t="str">
        <f>VLOOKUP(D72,'Manpower List'!$F$5:$H$170,3,0)</f>
        <v>01700039</v>
      </c>
      <c r="F72" s="341">
        <v>6</v>
      </c>
      <c r="G72" s="199">
        <f>VLOOKUP(E72,'Manpower List'!$H$5:$Y$170,18,0)</f>
        <v>1737.2634926588446</v>
      </c>
      <c r="H72" s="205">
        <f t="shared" si="9"/>
        <v>66.817826640724789</v>
      </c>
      <c r="I72" s="206">
        <f t="shared" si="10"/>
        <v>8.3522283300905986</v>
      </c>
      <c r="K72" s="199">
        <f t="shared" si="11"/>
        <v>400.90695984434876</v>
      </c>
      <c r="L72" s="200">
        <f t="shared" si="12"/>
        <v>48</v>
      </c>
    </row>
    <row r="73" spans="2:21" ht="21.75" customHeight="1" thickTop="1" x14ac:dyDescent="0.25"/>
    <row r="74" spans="2:21" ht="21.75" customHeight="1" x14ac:dyDescent="0.25"/>
    <row r="75" spans="2:21" ht="21.75" customHeight="1" x14ac:dyDescent="0.25"/>
    <row r="76" spans="2:21" ht="21.75" customHeight="1" x14ac:dyDescent="0.25"/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D1:N223"/>
  <sheetViews>
    <sheetView topLeftCell="G1" workbookViewId="0">
      <selection activeCell="N12" sqref="N12"/>
    </sheetView>
  </sheetViews>
  <sheetFormatPr defaultRowHeight="15" x14ac:dyDescent="0.25"/>
  <cols>
    <col min="2" max="3" width="0" hidden="1" customWidth="1"/>
    <col min="4" max="4" width="13.28515625" customWidth="1"/>
    <col min="5" max="5" width="18.5703125" customWidth="1"/>
    <col min="6" max="6" width="75" bestFit="1" customWidth="1"/>
    <col min="7" max="7" width="11" customWidth="1"/>
    <col min="8" max="8" width="20.28515625" customWidth="1"/>
    <col min="9" max="9" width="12.7109375" customWidth="1"/>
    <col min="10" max="10" width="25" customWidth="1"/>
    <col min="11" max="11" width="49.42578125" bestFit="1" customWidth="1"/>
    <col min="12" max="12" width="12.28515625" customWidth="1"/>
    <col min="13" max="14" width="19.140625" customWidth="1"/>
  </cols>
  <sheetData>
    <row r="1" spans="4:14" s="141" customFormat="1" x14ac:dyDescent="0.25">
      <c r="G1" s="141">
        <v>3</v>
      </c>
      <c r="H1" s="141">
        <v>4</v>
      </c>
      <c r="J1" s="141">
        <v>7</v>
      </c>
    </row>
    <row r="2" spans="4:14" s="141" customFormat="1" ht="27" thickBot="1" x14ac:dyDescent="0.45">
      <c r="D2" s="207" t="s">
        <v>1137</v>
      </c>
    </row>
    <row r="3" spans="4:14" s="140" customFormat="1" ht="30" customHeight="1" thickBot="1" x14ac:dyDescent="0.3">
      <c r="D3" s="143" t="s">
        <v>905</v>
      </c>
      <c r="E3" s="144" t="s">
        <v>15</v>
      </c>
      <c r="F3" s="144" t="s">
        <v>16</v>
      </c>
      <c r="G3" s="144" t="s">
        <v>1126</v>
      </c>
      <c r="H3" s="146" t="s">
        <v>909</v>
      </c>
      <c r="I3" s="144" t="s">
        <v>308</v>
      </c>
      <c r="J3" s="146" t="s">
        <v>309</v>
      </c>
      <c r="K3" s="144" t="s">
        <v>1127</v>
      </c>
      <c r="L3" s="146" t="s">
        <v>911</v>
      </c>
      <c r="M3" s="146" t="s">
        <v>912</v>
      </c>
      <c r="N3" s="145" t="s">
        <v>913</v>
      </c>
    </row>
    <row r="4" spans="4:14" ht="23.25" customHeight="1" x14ac:dyDescent="0.25">
      <c r="D4" s="49" t="s">
        <v>54</v>
      </c>
      <c r="E4" s="142" t="str">
        <f>VLOOKUP(F4,'Activity List CSI'!$B$4:$D$146,3,0)</f>
        <v>02300-01</v>
      </c>
      <c r="F4" s="50" t="s">
        <v>18</v>
      </c>
      <c r="G4" s="50" t="str">
        <f>VLOOKUP($E4,'Activity List CSI'!$D$4:$J$146,G$1,0)</f>
        <v>02</v>
      </c>
      <c r="H4" s="50" t="str">
        <f>VLOOKUP($E4,'Activity List CSI'!$D$4:$J$146,H$1,0)</f>
        <v>EarthWork</v>
      </c>
      <c r="I4" s="50" t="str">
        <f>VLOOKUP(D4,'Activity List CSI'!$C$4:$H$146,6,0)</f>
        <v>02300</v>
      </c>
      <c r="J4" s="50" t="str">
        <f>VLOOKUP($E4,'Activity List CSI'!$D$4:$J$146,J$1,0)</f>
        <v>Earthwork</v>
      </c>
      <c r="K4" s="50" t="s">
        <v>613</v>
      </c>
      <c r="L4" s="50">
        <v>205</v>
      </c>
      <c r="M4" s="50" t="str">
        <f>I4&amp;L4</f>
        <v>02300205</v>
      </c>
      <c r="N4" s="45" t="str">
        <f>M4</f>
        <v>02300205</v>
      </c>
    </row>
    <row r="5" spans="4:14" ht="23.25" customHeight="1" x14ac:dyDescent="0.25">
      <c r="D5" s="11" t="s">
        <v>52</v>
      </c>
      <c r="E5" s="134" t="str">
        <f>VLOOKUP(F5,'Activity List CSI'!$B$4:$D$146,3,0)</f>
        <v>02300-02</v>
      </c>
      <c r="F5" s="1" t="s">
        <v>19</v>
      </c>
      <c r="G5" s="1" t="str">
        <f>VLOOKUP($E5,'Activity List CSI'!$D$4:$J$146,G$1,0)</f>
        <v>02</v>
      </c>
      <c r="H5" s="1" t="str">
        <f>VLOOKUP($E5,'Activity List CSI'!$D$4:$J$146,H$1,0)</f>
        <v>EarthWork</v>
      </c>
      <c r="I5" s="1" t="str">
        <f>VLOOKUP(D5,'Activity List CSI'!$C$4:$H$146,6,0)</f>
        <v>02300</v>
      </c>
      <c r="J5" s="1" t="str">
        <f>VLOOKUP($E5,'Activity List CSI'!$D$4:$J$146,J$1,0)</f>
        <v>Earthwork</v>
      </c>
      <c r="K5" s="1" t="s">
        <v>613</v>
      </c>
      <c r="L5" s="1">
        <v>205</v>
      </c>
      <c r="M5" s="1" t="str">
        <f t="shared" ref="M5:M68" si="0">I5&amp;L5</f>
        <v>02300205</v>
      </c>
      <c r="N5" s="12" t="str">
        <f t="shared" ref="N5:N27" si="1">M5</f>
        <v>02300205</v>
      </c>
    </row>
    <row r="6" spans="4:14" ht="23.25" customHeight="1" x14ac:dyDescent="0.25">
      <c r="D6" s="11" t="s">
        <v>55</v>
      </c>
      <c r="E6" s="134" t="str">
        <f>VLOOKUP(F6,'Activity List CSI'!$B$4:$D$146,3,0)</f>
        <v>02300-03</v>
      </c>
      <c r="F6" s="1" t="s">
        <v>20</v>
      </c>
      <c r="G6" s="1" t="str">
        <f>VLOOKUP($E6,'Activity List CSI'!$D$4:$J$146,G$1,0)</f>
        <v>02</v>
      </c>
      <c r="H6" s="1" t="str">
        <f>VLOOKUP($E6,'Activity List CSI'!$D$4:$J$146,H$1,0)</f>
        <v>EarthWork</v>
      </c>
      <c r="I6" s="1" t="str">
        <f>VLOOKUP(D6,'Activity List CSI'!$C$4:$H$146,6,0)</f>
        <v>02300</v>
      </c>
      <c r="J6" s="1" t="str">
        <f>VLOOKUP($E6,'Activity List CSI'!$D$4:$J$146,J$1,0)</f>
        <v>Earthwork</v>
      </c>
      <c r="K6" s="1" t="s">
        <v>613</v>
      </c>
      <c r="L6" s="1">
        <v>205</v>
      </c>
      <c r="M6" s="1" t="str">
        <f t="shared" si="0"/>
        <v>02300205</v>
      </c>
      <c r="N6" s="12" t="str">
        <f t="shared" si="1"/>
        <v>02300205</v>
      </c>
    </row>
    <row r="7" spans="4:14" ht="23.25" customHeight="1" x14ac:dyDescent="0.25">
      <c r="D7" s="11" t="s">
        <v>57</v>
      </c>
      <c r="E7" s="134" t="str">
        <f>VLOOKUP(F7,'Activity List CSI'!$B$4:$D$146,3,0)</f>
        <v>02300-04</v>
      </c>
      <c r="F7" s="1" t="s">
        <v>21</v>
      </c>
      <c r="G7" s="1" t="str">
        <f>VLOOKUP($E7,'Activity List CSI'!$D$4:$J$146,G$1,0)</f>
        <v>02</v>
      </c>
      <c r="H7" s="1" t="str">
        <f>VLOOKUP($E7,'Activity List CSI'!$D$4:$J$146,H$1,0)</f>
        <v>EarthWork</v>
      </c>
      <c r="I7" s="1" t="str">
        <f>VLOOKUP(D7,'Activity List CSI'!$C$4:$H$146,6,0)</f>
        <v>02300</v>
      </c>
      <c r="J7" s="1" t="str">
        <f>VLOOKUP($E7,'Activity List CSI'!$D$4:$J$146,J$1,0)</f>
        <v>Earthwork</v>
      </c>
      <c r="K7" s="1" t="s">
        <v>613</v>
      </c>
      <c r="L7" s="1">
        <v>205</v>
      </c>
      <c r="M7" s="1" t="str">
        <f t="shared" si="0"/>
        <v>02300205</v>
      </c>
      <c r="N7" s="12" t="str">
        <f t="shared" si="1"/>
        <v>02300205</v>
      </c>
    </row>
    <row r="8" spans="4:14" ht="23.25" customHeight="1" x14ac:dyDescent="0.25">
      <c r="D8" s="11" t="s">
        <v>59</v>
      </c>
      <c r="E8" s="134" t="str">
        <f>VLOOKUP(F8,'Activity List CSI'!$B$4:$D$146,3,0)</f>
        <v>02300-05</v>
      </c>
      <c r="F8" s="1" t="s">
        <v>22</v>
      </c>
      <c r="G8" s="1" t="str">
        <f>VLOOKUP($E8,'Activity List CSI'!$D$4:$J$146,G$1,0)</f>
        <v>02</v>
      </c>
      <c r="H8" s="1" t="str">
        <f>VLOOKUP($E8,'Activity List CSI'!$D$4:$J$146,H$1,0)</f>
        <v>EarthWork</v>
      </c>
      <c r="I8" s="1" t="str">
        <f>VLOOKUP(D8,'Activity List CSI'!$C$4:$H$146,6,0)</f>
        <v>02300</v>
      </c>
      <c r="J8" s="1" t="str">
        <f>VLOOKUP($E8,'Activity List CSI'!$D$4:$J$146,J$1,0)</f>
        <v>Earthwork</v>
      </c>
      <c r="K8" s="1" t="s">
        <v>613</v>
      </c>
      <c r="L8" s="1">
        <v>205</v>
      </c>
      <c r="M8" s="1" t="str">
        <f t="shared" si="0"/>
        <v>02300205</v>
      </c>
      <c r="N8" s="12" t="str">
        <f t="shared" si="1"/>
        <v>02300205</v>
      </c>
    </row>
    <row r="9" spans="4:14" ht="23.25" customHeight="1" x14ac:dyDescent="0.25">
      <c r="D9" s="11" t="s">
        <v>61</v>
      </c>
      <c r="E9" s="134" t="str">
        <f>VLOOKUP(F9,'Activity List CSI'!$B$4:$D$146,3,0)</f>
        <v>02300-06</v>
      </c>
      <c r="F9" s="1" t="s">
        <v>23</v>
      </c>
      <c r="G9" s="1" t="str">
        <f>VLOOKUP($E9,'Activity List CSI'!$D$4:$J$146,G$1,0)</f>
        <v>02</v>
      </c>
      <c r="H9" s="1" t="str">
        <f>VLOOKUP($E9,'Activity List CSI'!$D$4:$J$146,H$1,0)</f>
        <v>EarthWork</v>
      </c>
      <c r="I9" s="1" t="str">
        <f>VLOOKUP(D9,'Activity List CSI'!$C$4:$H$146,6,0)</f>
        <v>02300</v>
      </c>
      <c r="J9" s="1" t="str">
        <f>VLOOKUP($E9,'Activity List CSI'!$D$4:$J$146,J$1,0)</f>
        <v>Earthwork</v>
      </c>
      <c r="K9" s="1" t="s">
        <v>613</v>
      </c>
      <c r="L9" s="1">
        <v>205</v>
      </c>
      <c r="M9" s="1" t="str">
        <f t="shared" si="0"/>
        <v>02300205</v>
      </c>
      <c r="N9" s="12" t="str">
        <f t="shared" si="1"/>
        <v>02300205</v>
      </c>
    </row>
    <row r="10" spans="4:14" ht="23.25" customHeight="1" x14ac:dyDescent="0.25">
      <c r="D10" s="11" t="s">
        <v>71</v>
      </c>
      <c r="E10" s="134" t="str">
        <f>VLOOKUP(F10,'Activity List CSI'!$B$4:$D$146,3,0)</f>
        <v>02100-01</v>
      </c>
      <c r="F10" s="1" t="s">
        <v>24</v>
      </c>
      <c r="G10" s="1" t="str">
        <f>VLOOKUP($E10,'Activity List CSI'!$D$4:$J$146,G$1,0)</f>
        <v>02</v>
      </c>
      <c r="H10" s="1" t="str">
        <f>VLOOKUP($E10,'Activity List CSI'!$D$4:$J$146,H$1,0)</f>
        <v>EarthWork</v>
      </c>
      <c r="I10" s="1" t="str">
        <f>VLOOKUP(D10,'Activity List CSI'!$C$4:$H$146,6,0)</f>
        <v>02100</v>
      </c>
      <c r="J10" s="1" t="str">
        <f>VLOOKUP($E10,'Activity List CSI'!$D$4:$J$146,J$1,0)</f>
        <v>Site Remediation</v>
      </c>
      <c r="K10" s="1" t="s">
        <v>614</v>
      </c>
      <c r="L10" s="1">
        <v>210</v>
      </c>
      <c r="M10" s="1" t="str">
        <f t="shared" si="0"/>
        <v>02100210</v>
      </c>
      <c r="N10" s="12" t="str">
        <f t="shared" si="1"/>
        <v>02100210</v>
      </c>
    </row>
    <row r="11" spans="4:14" ht="23.25" customHeight="1" x14ac:dyDescent="0.25">
      <c r="D11" s="11" t="s">
        <v>73</v>
      </c>
      <c r="E11" s="134" t="str">
        <f>VLOOKUP(F11,'Activity List CSI'!$B$4:$D$146,3,0)</f>
        <v>02300-07</v>
      </c>
      <c r="F11" s="1" t="s">
        <v>25</v>
      </c>
      <c r="G11" s="1" t="str">
        <f>VLOOKUP($E11,'Activity List CSI'!$D$4:$J$146,G$1,0)</f>
        <v>02</v>
      </c>
      <c r="H11" s="1" t="str">
        <f>VLOOKUP($E11,'Activity List CSI'!$D$4:$J$146,H$1,0)</f>
        <v>EarthWork</v>
      </c>
      <c r="I11" s="1" t="str">
        <f>VLOOKUP(D11,'Activity List CSI'!$C$4:$H$146,6,0)</f>
        <v>02300</v>
      </c>
      <c r="J11" s="1" t="str">
        <f>VLOOKUP($E11,'Activity List CSI'!$D$4:$J$146,J$1,0)</f>
        <v>Earthwork</v>
      </c>
      <c r="K11" s="1" t="s">
        <v>615</v>
      </c>
      <c r="L11" s="1">
        <v>225</v>
      </c>
      <c r="M11" s="1" t="str">
        <f t="shared" si="0"/>
        <v>02300225</v>
      </c>
      <c r="N11" s="12" t="str">
        <f t="shared" si="1"/>
        <v>02300225</v>
      </c>
    </row>
    <row r="12" spans="4:14" ht="23.25" customHeight="1" x14ac:dyDescent="0.25">
      <c r="D12" s="11" t="s">
        <v>63</v>
      </c>
      <c r="E12" s="134" t="str">
        <f>VLOOKUP(F12,'Activity List CSI'!$B$4:$D$146,3,0)</f>
        <v>02300-08</v>
      </c>
      <c r="F12" s="1" t="s">
        <v>26</v>
      </c>
      <c r="G12" s="1" t="str">
        <f>VLOOKUP($E12,'Activity List CSI'!$D$4:$J$146,G$1,0)</f>
        <v>02</v>
      </c>
      <c r="H12" s="1" t="str">
        <f>VLOOKUP($E12,'Activity List CSI'!$D$4:$J$146,H$1,0)</f>
        <v>EarthWork</v>
      </c>
      <c r="I12" s="1" t="str">
        <f>VLOOKUP(D12,'Activity List CSI'!$C$4:$H$146,6,0)</f>
        <v>02300</v>
      </c>
      <c r="J12" s="1" t="str">
        <f>VLOOKUP($E12,'Activity List CSI'!$D$4:$J$146,J$1,0)</f>
        <v>Earthwork</v>
      </c>
      <c r="K12" s="1" t="s">
        <v>668</v>
      </c>
      <c r="L12" s="1">
        <v>210</v>
      </c>
      <c r="M12" s="1" t="str">
        <f t="shared" si="0"/>
        <v>02300210</v>
      </c>
      <c r="N12" s="12" t="str">
        <f t="shared" si="1"/>
        <v>02300210</v>
      </c>
    </row>
    <row r="13" spans="4:14" ht="23.25" customHeight="1" x14ac:dyDescent="0.25">
      <c r="D13" s="11" t="s">
        <v>65</v>
      </c>
      <c r="E13" s="134" t="str">
        <f>VLOOKUP(F13,'Activity List CSI'!$B$4:$D$146,3,0)</f>
        <v>02300-09</v>
      </c>
      <c r="F13" s="1" t="s">
        <v>27</v>
      </c>
      <c r="G13" s="1" t="str">
        <f>VLOOKUP($E13,'Activity List CSI'!$D$4:$J$146,G$1,0)</f>
        <v>02</v>
      </c>
      <c r="H13" s="1" t="str">
        <f>VLOOKUP($E13,'Activity List CSI'!$D$4:$J$146,H$1,0)</f>
        <v>EarthWork</v>
      </c>
      <c r="I13" s="1" t="str">
        <f>VLOOKUP(D13,'Activity List CSI'!$C$4:$H$146,6,0)</f>
        <v>02300</v>
      </c>
      <c r="J13" s="1" t="str">
        <f>VLOOKUP($E13,'Activity List CSI'!$D$4:$J$146,J$1,0)</f>
        <v>Earthwork</v>
      </c>
      <c r="K13" s="1" t="s">
        <v>668</v>
      </c>
      <c r="L13" s="1">
        <v>210</v>
      </c>
      <c r="M13" s="1" t="str">
        <f t="shared" si="0"/>
        <v>02300210</v>
      </c>
      <c r="N13" s="12" t="str">
        <f t="shared" si="1"/>
        <v>02300210</v>
      </c>
    </row>
    <row r="14" spans="4:14" ht="23.25" customHeight="1" x14ac:dyDescent="0.25">
      <c r="D14" s="11" t="s">
        <v>65</v>
      </c>
      <c r="E14" s="134" t="str">
        <f>VLOOKUP(F14,'Activity List CSI'!$B$4:$D$146,3,0)</f>
        <v>02300-09</v>
      </c>
      <c r="F14" s="1" t="s">
        <v>27</v>
      </c>
      <c r="G14" s="1" t="str">
        <f>VLOOKUP($E14,'Activity List CSI'!$D$4:$J$146,G$1,0)</f>
        <v>02</v>
      </c>
      <c r="H14" s="1" t="str">
        <f>VLOOKUP($E14,'Activity List CSI'!$D$4:$J$146,H$1,0)</f>
        <v>EarthWork</v>
      </c>
      <c r="I14" s="1" t="str">
        <f>VLOOKUP(D14,'Activity List CSI'!$C$4:$H$146,6,0)</f>
        <v>02300</v>
      </c>
      <c r="J14" s="1" t="str">
        <f>VLOOKUP($E14,'Activity List CSI'!$D$4:$J$146,J$1,0)</f>
        <v>Earthwork</v>
      </c>
      <c r="K14" s="1" t="s">
        <v>668</v>
      </c>
      <c r="L14" s="1">
        <v>210</v>
      </c>
      <c r="M14" s="1" t="str">
        <f t="shared" si="0"/>
        <v>02300210</v>
      </c>
      <c r="N14" s="12" t="str">
        <f t="shared" si="1"/>
        <v>02300210</v>
      </c>
    </row>
    <row r="15" spans="4:14" ht="23.25" customHeight="1" x14ac:dyDescent="0.25">
      <c r="D15" s="11" t="s">
        <v>66</v>
      </c>
      <c r="E15" s="134" t="str">
        <f>VLOOKUP(F15,'Activity List CSI'!$B$4:$D$146,3,0)</f>
        <v>02300-10</v>
      </c>
      <c r="F15" s="1" t="s">
        <v>28</v>
      </c>
      <c r="G15" s="1" t="str">
        <f>VLOOKUP($E15,'Activity List CSI'!$D$4:$J$146,G$1,0)</f>
        <v>02</v>
      </c>
      <c r="H15" s="1" t="str">
        <f>VLOOKUP($E15,'Activity List CSI'!$D$4:$J$146,H$1,0)</f>
        <v>EarthWork</v>
      </c>
      <c r="I15" s="1" t="str">
        <f>VLOOKUP(D15,'Activity List CSI'!$C$4:$H$146,6,0)</f>
        <v>02300</v>
      </c>
      <c r="J15" s="1" t="str">
        <f>VLOOKUP($E15,'Activity List CSI'!$D$4:$J$146,J$1,0)</f>
        <v>Earthwork</v>
      </c>
      <c r="K15" s="1" t="s">
        <v>668</v>
      </c>
      <c r="L15" s="1">
        <v>210</v>
      </c>
      <c r="M15" s="1" t="str">
        <f t="shared" si="0"/>
        <v>02300210</v>
      </c>
      <c r="N15" s="12" t="str">
        <f t="shared" si="1"/>
        <v>02300210</v>
      </c>
    </row>
    <row r="16" spans="4:14" ht="23.25" customHeight="1" x14ac:dyDescent="0.25">
      <c r="D16" s="11" t="s">
        <v>68</v>
      </c>
      <c r="E16" s="134" t="str">
        <f>VLOOKUP(F16,'Activity List CSI'!$B$4:$D$146,3,0)</f>
        <v>02300-11</v>
      </c>
      <c r="F16" s="1" t="s">
        <v>29</v>
      </c>
      <c r="G16" s="1" t="str">
        <f>VLOOKUP($E16,'Activity List CSI'!$D$4:$J$146,G$1,0)</f>
        <v>02</v>
      </c>
      <c r="H16" s="1" t="str">
        <f>VLOOKUP($E16,'Activity List CSI'!$D$4:$J$146,H$1,0)</f>
        <v>EarthWork</v>
      </c>
      <c r="I16" s="1" t="str">
        <f>VLOOKUP(D16,'Activity List CSI'!$C$4:$H$146,6,0)</f>
        <v>02300</v>
      </c>
      <c r="J16" s="1" t="str">
        <f>VLOOKUP($E16,'Activity List CSI'!$D$4:$J$146,J$1,0)</f>
        <v>Earthwork</v>
      </c>
      <c r="K16" s="1" t="s">
        <v>668</v>
      </c>
      <c r="L16" s="1">
        <v>210</v>
      </c>
      <c r="M16" s="1" t="str">
        <f t="shared" si="0"/>
        <v>02300210</v>
      </c>
      <c r="N16" s="12" t="str">
        <f t="shared" si="1"/>
        <v>02300210</v>
      </c>
    </row>
    <row r="17" spans="4:14" ht="23.25" customHeight="1" x14ac:dyDescent="0.25">
      <c r="D17" s="11" t="s">
        <v>68</v>
      </c>
      <c r="E17" s="134" t="str">
        <f>VLOOKUP(F17,'Activity List CSI'!$B$4:$D$146,3,0)</f>
        <v>02300-11</v>
      </c>
      <c r="F17" s="1" t="s">
        <v>29</v>
      </c>
      <c r="G17" s="1" t="str">
        <f>VLOOKUP($E17,'Activity List CSI'!$D$4:$J$146,G$1,0)</f>
        <v>02</v>
      </c>
      <c r="H17" s="1" t="str">
        <f>VLOOKUP($E17,'Activity List CSI'!$D$4:$J$146,H$1,0)</f>
        <v>EarthWork</v>
      </c>
      <c r="I17" s="1" t="str">
        <f>VLOOKUP(D17,'Activity List CSI'!$C$4:$H$146,6,0)</f>
        <v>02300</v>
      </c>
      <c r="J17" s="1" t="str">
        <f>VLOOKUP($E17,'Activity List CSI'!$D$4:$J$146,J$1,0)</f>
        <v>Earthwork</v>
      </c>
      <c r="K17" s="1" t="s">
        <v>668</v>
      </c>
      <c r="L17" s="1">
        <v>210</v>
      </c>
      <c r="M17" s="1" t="str">
        <f t="shared" si="0"/>
        <v>02300210</v>
      </c>
      <c r="N17" s="12" t="str">
        <f t="shared" si="1"/>
        <v>02300210</v>
      </c>
    </row>
    <row r="18" spans="4:14" ht="23.25" customHeight="1" x14ac:dyDescent="0.25">
      <c r="D18" s="11" t="s">
        <v>70</v>
      </c>
      <c r="E18" s="134" t="str">
        <f>VLOOKUP(F18,'Activity List CSI'!$B$4:$D$146,3,0)</f>
        <v>02300-12</v>
      </c>
      <c r="F18" s="1" t="s">
        <v>30</v>
      </c>
      <c r="G18" s="1" t="str">
        <f>VLOOKUP($E18,'Activity List CSI'!$D$4:$J$146,G$1,0)</f>
        <v>02</v>
      </c>
      <c r="H18" s="1" t="str">
        <f>VLOOKUP($E18,'Activity List CSI'!$D$4:$J$146,H$1,0)</f>
        <v>EarthWork</v>
      </c>
      <c r="I18" s="1" t="str">
        <f>VLOOKUP(D18,'Activity List CSI'!$C$4:$H$146,6,0)</f>
        <v>02300</v>
      </c>
      <c r="J18" s="1" t="str">
        <f>VLOOKUP($E18,'Activity List CSI'!$D$4:$J$146,J$1,0)</f>
        <v>Earthwork</v>
      </c>
      <c r="K18" s="1" t="s">
        <v>668</v>
      </c>
      <c r="L18" s="1">
        <v>210</v>
      </c>
      <c r="M18" s="1" t="str">
        <f t="shared" si="0"/>
        <v>02300210</v>
      </c>
      <c r="N18" s="12" t="str">
        <f t="shared" si="1"/>
        <v>02300210</v>
      </c>
    </row>
    <row r="19" spans="4:14" ht="23.25" customHeight="1" x14ac:dyDescent="0.25">
      <c r="D19" s="11" t="s">
        <v>229</v>
      </c>
      <c r="E19" s="134" t="str">
        <f>VLOOKUP(F19,'Activity List CSI'!$B$4:$D$146,3,0)</f>
        <v>02300-13</v>
      </c>
      <c r="F19" s="1" t="s">
        <v>31</v>
      </c>
      <c r="G19" s="1" t="str">
        <f>VLOOKUP($E19,'Activity List CSI'!$D$4:$J$146,G$1,0)</f>
        <v>02</v>
      </c>
      <c r="H19" s="1" t="str">
        <f>VLOOKUP($E19,'Activity List CSI'!$D$4:$J$146,H$1,0)</f>
        <v>EarthWork</v>
      </c>
      <c r="I19" s="1" t="str">
        <f>VLOOKUP(D19,'Activity List CSI'!$C$4:$H$146,6,0)</f>
        <v>02300</v>
      </c>
      <c r="J19" s="1" t="str">
        <f>VLOOKUP($E19,'Activity List CSI'!$D$4:$J$146,J$1,0)</f>
        <v>Earthwork</v>
      </c>
      <c r="K19" s="1" t="s">
        <v>668</v>
      </c>
      <c r="L19" s="1">
        <v>210</v>
      </c>
      <c r="M19" s="1" t="str">
        <f t="shared" si="0"/>
        <v>02300210</v>
      </c>
      <c r="N19" s="12" t="str">
        <f t="shared" si="1"/>
        <v>02300210</v>
      </c>
    </row>
    <row r="20" spans="4:14" ht="23.25" customHeight="1" x14ac:dyDescent="0.25">
      <c r="D20" s="11" t="s">
        <v>229</v>
      </c>
      <c r="E20" s="134" t="str">
        <f>VLOOKUP(F20,'Activity List CSI'!$B$4:$D$146,3,0)</f>
        <v>02300-13</v>
      </c>
      <c r="F20" s="1" t="s">
        <v>31</v>
      </c>
      <c r="G20" s="1" t="str">
        <f>VLOOKUP($E20,'Activity List CSI'!$D$4:$J$146,G$1,0)</f>
        <v>02</v>
      </c>
      <c r="H20" s="1" t="str">
        <f>VLOOKUP($E20,'Activity List CSI'!$D$4:$J$146,H$1,0)</f>
        <v>EarthWork</v>
      </c>
      <c r="I20" s="1" t="str">
        <f>VLOOKUP(D20,'Activity List CSI'!$C$4:$H$146,6,0)</f>
        <v>02300</v>
      </c>
      <c r="J20" s="1" t="str">
        <f>VLOOKUP($E20,'Activity List CSI'!$D$4:$J$146,J$1,0)</f>
        <v>Earthwork</v>
      </c>
      <c r="K20" s="1" t="s">
        <v>668</v>
      </c>
      <c r="L20" s="1">
        <v>210</v>
      </c>
      <c r="M20" s="1" t="str">
        <f t="shared" si="0"/>
        <v>02300210</v>
      </c>
      <c r="N20" s="12" t="str">
        <f t="shared" si="1"/>
        <v>02300210</v>
      </c>
    </row>
    <row r="21" spans="4:14" ht="23.25" customHeight="1" x14ac:dyDescent="0.25">
      <c r="D21" s="11" t="s">
        <v>230</v>
      </c>
      <c r="E21" s="134" t="str">
        <f>VLOOKUP(F21,'Activity List CSI'!$B$4:$D$146,3,0)</f>
        <v>02300-14</v>
      </c>
      <c r="F21" s="1" t="s">
        <v>32</v>
      </c>
      <c r="G21" s="1" t="str">
        <f>VLOOKUP($E21,'Activity List CSI'!$D$4:$J$146,G$1,0)</f>
        <v>02</v>
      </c>
      <c r="H21" s="1" t="str">
        <f>VLOOKUP($E21,'Activity List CSI'!$D$4:$J$146,H$1,0)</f>
        <v>EarthWork</v>
      </c>
      <c r="I21" s="1" t="str">
        <f>VLOOKUP(D21,'Activity List CSI'!$C$4:$H$146,6,0)</f>
        <v>02300</v>
      </c>
      <c r="J21" s="1" t="str">
        <f>VLOOKUP($E21,'Activity List CSI'!$D$4:$J$146,J$1,0)</f>
        <v>Earthwork</v>
      </c>
      <c r="K21" s="1" t="s">
        <v>616</v>
      </c>
      <c r="L21" s="1">
        <v>215</v>
      </c>
      <c r="M21" s="1" t="str">
        <f t="shared" si="0"/>
        <v>02300215</v>
      </c>
      <c r="N21" s="12" t="str">
        <f t="shared" si="1"/>
        <v>02300215</v>
      </c>
    </row>
    <row r="22" spans="4:14" ht="23.25" customHeight="1" x14ac:dyDescent="0.25">
      <c r="D22" s="11" t="s">
        <v>230</v>
      </c>
      <c r="E22" s="134" t="str">
        <f>VLOOKUP(F22,'Activity List CSI'!$B$4:$D$146,3,0)</f>
        <v>02300-14</v>
      </c>
      <c r="F22" s="1" t="s">
        <v>32</v>
      </c>
      <c r="G22" s="1" t="str">
        <f>VLOOKUP($E22,'Activity List CSI'!$D$4:$J$146,G$1,0)</f>
        <v>02</v>
      </c>
      <c r="H22" s="1" t="str">
        <f>VLOOKUP($E22,'Activity List CSI'!$D$4:$J$146,H$1,0)</f>
        <v>EarthWork</v>
      </c>
      <c r="I22" s="1" t="str">
        <f>VLOOKUP(D22,'Activity List CSI'!$C$4:$H$146,6,0)</f>
        <v>02300</v>
      </c>
      <c r="J22" s="1" t="str">
        <f>VLOOKUP($E22,'Activity List CSI'!$D$4:$J$146,J$1,0)</f>
        <v>Earthwork</v>
      </c>
      <c r="K22" s="1" t="s">
        <v>616</v>
      </c>
      <c r="L22" s="1">
        <v>215</v>
      </c>
      <c r="M22" s="1" t="str">
        <f t="shared" si="0"/>
        <v>02300215</v>
      </c>
      <c r="N22" s="12" t="str">
        <f t="shared" si="1"/>
        <v>02300215</v>
      </c>
    </row>
    <row r="23" spans="4:14" ht="23.25" customHeight="1" x14ac:dyDescent="0.25">
      <c r="D23" s="11" t="s">
        <v>231</v>
      </c>
      <c r="E23" s="134" t="str">
        <f>VLOOKUP(F23,'Activity List CSI'!$B$4:$D$146,3,0)</f>
        <v>02300-15</v>
      </c>
      <c r="F23" s="1" t="s">
        <v>33</v>
      </c>
      <c r="G23" s="1" t="str">
        <f>VLOOKUP($E23,'Activity List CSI'!$D$4:$J$146,G$1,0)</f>
        <v>02</v>
      </c>
      <c r="H23" s="1" t="str">
        <f>VLOOKUP($E23,'Activity List CSI'!$D$4:$J$146,H$1,0)</f>
        <v>EarthWork</v>
      </c>
      <c r="I23" s="1" t="str">
        <f>VLOOKUP(D23,'Activity List CSI'!$C$4:$H$146,6,0)</f>
        <v>02300</v>
      </c>
      <c r="J23" s="1" t="str">
        <f>VLOOKUP($E23,'Activity List CSI'!$D$4:$J$146,J$1,0)</f>
        <v>Earthwork</v>
      </c>
      <c r="K23" s="1" t="s">
        <v>617</v>
      </c>
      <c r="L23" s="1">
        <v>220</v>
      </c>
      <c r="M23" s="1" t="str">
        <f t="shared" si="0"/>
        <v>02300220</v>
      </c>
      <c r="N23" s="12" t="str">
        <f t="shared" si="1"/>
        <v>02300220</v>
      </c>
    </row>
    <row r="24" spans="4:14" ht="23.25" customHeight="1" x14ac:dyDescent="0.25">
      <c r="D24" s="11" t="s">
        <v>232</v>
      </c>
      <c r="E24" s="134" t="str">
        <f>VLOOKUP(F24,'Activity List CSI'!$B$4:$D$146,3,0)</f>
        <v>02300-16</v>
      </c>
      <c r="F24" s="1" t="s">
        <v>34</v>
      </c>
      <c r="G24" s="1" t="str">
        <f>VLOOKUP($E24,'Activity List CSI'!$D$4:$J$146,G$1,0)</f>
        <v>02</v>
      </c>
      <c r="H24" s="1" t="str">
        <f>VLOOKUP($E24,'Activity List CSI'!$D$4:$J$146,H$1,0)</f>
        <v>EarthWork</v>
      </c>
      <c r="I24" s="1" t="str">
        <f>VLOOKUP(D24,'Activity List CSI'!$C$4:$H$146,6,0)</f>
        <v>02300</v>
      </c>
      <c r="J24" s="1" t="str">
        <f>VLOOKUP($E24,'Activity List CSI'!$D$4:$J$146,J$1,0)</f>
        <v>Earthwork</v>
      </c>
      <c r="K24" s="1" t="s">
        <v>613</v>
      </c>
      <c r="L24" s="1">
        <v>205</v>
      </c>
      <c r="M24" s="1" t="str">
        <f t="shared" si="0"/>
        <v>02300205</v>
      </c>
      <c r="N24" s="12" t="str">
        <f t="shared" si="1"/>
        <v>02300205</v>
      </c>
    </row>
    <row r="25" spans="4:14" ht="23.25" customHeight="1" x14ac:dyDescent="0.25">
      <c r="D25" s="11" t="s">
        <v>233</v>
      </c>
      <c r="E25" s="134" t="str">
        <f>VLOOKUP(F25,'Activity List CSI'!$B$4:$D$146,3,0)</f>
        <v>02300-17</v>
      </c>
      <c r="F25" s="1" t="s">
        <v>35</v>
      </c>
      <c r="G25" s="1" t="str">
        <f>VLOOKUP($E25,'Activity List CSI'!$D$4:$J$146,G$1,0)</f>
        <v>02</v>
      </c>
      <c r="H25" s="1" t="str">
        <f>VLOOKUP($E25,'Activity List CSI'!$D$4:$J$146,H$1,0)</f>
        <v>EarthWork</v>
      </c>
      <c r="I25" s="1" t="str">
        <f>VLOOKUP(D25,'Activity List CSI'!$C$4:$H$146,6,0)</f>
        <v>02300</v>
      </c>
      <c r="J25" s="1" t="str">
        <f>VLOOKUP($E25,'Activity List CSI'!$D$4:$J$146,J$1,0)</f>
        <v>Earthwork</v>
      </c>
      <c r="K25" s="1" t="s">
        <v>613</v>
      </c>
      <c r="L25" s="1">
        <v>205</v>
      </c>
      <c r="M25" s="1" t="str">
        <f t="shared" si="0"/>
        <v>02300205</v>
      </c>
      <c r="N25" s="12" t="str">
        <f t="shared" si="1"/>
        <v>02300205</v>
      </c>
    </row>
    <row r="26" spans="4:14" ht="23.25" customHeight="1" x14ac:dyDescent="0.25">
      <c r="D26" s="11" t="s">
        <v>234</v>
      </c>
      <c r="E26" s="134" t="str">
        <f>VLOOKUP(F26,'Activity List CSI'!$B$4:$D$146,3,0)</f>
        <v>02300-18</v>
      </c>
      <c r="F26" s="1" t="s">
        <v>36</v>
      </c>
      <c r="G26" s="1" t="str">
        <f>VLOOKUP($E26,'Activity List CSI'!$D$4:$J$146,G$1,0)</f>
        <v>02</v>
      </c>
      <c r="H26" s="1" t="str">
        <f>VLOOKUP($E26,'Activity List CSI'!$D$4:$J$146,H$1,0)</f>
        <v>EarthWork</v>
      </c>
      <c r="I26" s="1" t="str">
        <f>VLOOKUP(D26,'Activity List CSI'!$C$4:$H$146,6,0)</f>
        <v>02300</v>
      </c>
      <c r="J26" s="1" t="str">
        <f>VLOOKUP($E26,'Activity List CSI'!$D$4:$J$146,J$1,0)</f>
        <v>Earthwork</v>
      </c>
      <c r="K26" s="1" t="s">
        <v>613</v>
      </c>
      <c r="L26" s="1">
        <v>205</v>
      </c>
      <c r="M26" s="1" t="str">
        <f t="shared" si="0"/>
        <v>02300205</v>
      </c>
      <c r="N26" s="12" t="str">
        <f t="shared" si="1"/>
        <v>02300205</v>
      </c>
    </row>
    <row r="27" spans="4:14" ht="23.25" customHeight="1" x14ac:dyDescent="0.25">
      <c r="D27" s="11" t="s">
        <v>235</v>
      </c>
      <c r="E27" s="134" t="str">
        <f>VLOOKUP(F27,'Activity List CSI'!$B$4:$D$146,3,0)</f>
        <v>02300-19</v>
      </c>
      <c r="F27" s="1" t="s">
        <v>37</v>
      </c>
      <c r="G27" s="1" t="str">
        <f>VLOOKUP($E27,'Activity List CSI'!$D$4:$J$146,G$1,0)</f>
        <v>02</v>
      </c>
      <c r="H27" s="1" t="str">
        <f>VLOOKUP($E27,'Activity List CSI'!$D$4:$J$146,H$1,0)</f>
        <v>EarthWork</v>
      </c>
      <c r="I27" s="1" t="str">
        <f>VLOOKUP(D27,'Activity List CSI'!$C$4:$H$146,6,0)</f>
        <v>02300</v>
      </c>
      <c r="J27" s="1" t="str">
        <f>VLOOKUP($E27,'Activity List CSI'!$D$4:$J$146,J$1,0)</f>
        <v>Earthwork</v>
      </c>
      <c r="K27" s="1" t="s">
        <v>613</v>
      </c>
      <c r="L27" s="1">
        <v>205</v>
      </c>
      <c r="M27" s="1" t="str">
        <f t="shared" si="0"/>
        <v>02300205</v>
      </c>
      <c r="N27" s="12" t="str">
        <f t="shared" si="1"/>
        <v>02300205</v>
      </c>
    </row>
    <row r="28" spans="4:14" ht="23.25" customHeight="1" x14ac:dyDescent="0.25">
      <c r="D28" s="11" t="s">
        <v>236</v>
      </c>
      <c r="E28" s="134" t="str">
        <f>VLOOKUP(F28,'Activity List CSI'!$B$4:$D$146,3,0)</f>
        <v>02300-20</v>
      </c>
      <c r="F28" s="1" t="s">
        <v>38</v>
      </c>
      <c r="G28" s="1" t="str">
        <f>VLOOKUP($E28,'Activity List CSI'!$D$4:$J$146,G$1,0)</f>
        <v>02</v>
      </c>
      <c r="H28" s="1" t="str">
        <f>VLOOKUP($E28,'Activity List CSI'!$D$4:$J$146,H$1,0)</f>
        <v>EarthWork</v>
      </c>
      <c r="I28" s="1" t="str">
        <f>VLOOKUP(D28,'Activity List CSI'!$C$4:$H$146,6,0)</f>
        <v>02300</v>
      </c>
      <c r="J28" s="1" t="str">
        <f>VLOOKUP($E28,'Activity List CSI'!$D$4:$J$146,J$1,0)</f>
        <v>Earthwork</v>
      </c>
      <c r="K28" s="1" t="s">
        <v>618</v>
      </c>
      <c r="L28" s="1">
        <v>225</v>
      </c>
      <c r="M28" s="13" t="str">
        <f t="shared" si="0"/>
        <v>02300225</v>
      </c>
      <c r="N28" s="12" t="s">
        <v>679</v>
      </c>
    </row>
    <row r="29" spans="4:14" ht="23.25" customHeight="1" x14ac:dyDescent="0.25">
      <c r="D29" s="11" t="s">
        <v>236</v>
      </c>
      <c r="E29" s="134" t="str">
        <f>VLOOKUP(F29,'Activity List CSI'!$B$4:$D$146,3,0)</f>
        <v>02300-20</v>
      </c>
      <c r="F29" s="1" t="s">
        <v>38</v>
      </c>
      <c r="G29" s="1" t="str">
        <f>VLOOKUP($E29,'Activity List CSI'!$D$4:$J$146,G$1,0)</f>
        <v>02</v>
      </c>
      <c r="H29" s="1" t="str">
        <f>VLOOKUP($E29,'Activity List CSI'!$D$4:$J$146,H$1,0)</f>
        <v>EarthWork</v>
      </c>
      <c r="I29" s="1" t="str">
        <f>VLOOKUP(D29,'Activity List CSI'!$C$4:$H$146,6,0)</f>
        <v>02300</v>
      </c>
      <c r="J29" s="1" t="str">
        <f>VLOOKUP($E29,'Activity List CSI'!$D$4:$J$146,J$1,0)</f>
        <v>Earthwork</v>
      </c>
      <c r="K29" s="1" t="s">
        <v>618</v>
      </c>
      <c r="L29" s="1">
        <v>225</v>
      </c>
      <c r="M29" s="13" t="str">
        <f t="shared" si="0"/>
        <v>02300225</v>
      </c>
      <c r="N29" s="12" t="s">
        <v>679</v>
      </c>
    </row>
    <row r="30" spans="4:14" ht="23.25" customHeight="1" x14ac:dyDescent="0.25">
      <c r="D30" s="11" t="s">
        <v>237</v>
      </c>
      <c r="E30" s="134" t="str">
        <f>VLOOKUP(F30,'Activity List CSI'!$B$4:$D$146,3,0)</f>
        <v>02100-02</v>
      </c>
      <c r="F30" s="1" t="s">
        <v>39</v>
      </c>
      <c r="G30" s="1" t="str">
        <f>VLOOKUP($E30,'Activity List CSI'!$D$4:$J$146,G$1,0)</f>
        <v>02</v>
      </c>
      <c r="H30" s="1" t="str">
        <f>VLOOKUP($E30,'Activity List CSI'!$D$4:$J$146,H$1,0)</f>
        <v>EarthWork</v>
      </c>
      <c r="I30" s="1" t="str">
        <f>VLOOKUP(D30,'Activity List CSI'!$C$4:$H$146,6,0)</f>
        <v>02100</v>
      </c>
      <c r="J30" s="1" t="str">
        <f>VLOOKUP($E30,'Activity List CSI'!$D$4:$J$146,J$1,0)</f>
        <v>Site Remediation</v>
      </c>
      <c r="K30" s="1" t="s">
        <v>619</v>
      </c>
      <c r="L30" s="1">
        <v>205</v>
      </c>
      <c r="M30" s="1" t="str">
        <f t="shared" si="0"/>
        <v>02100205</v>
      </c>
      <c r="N30" s="12" t="str">
        <f>M30</f>
        <v>02100205</v>
      </c>
    </row>
    <row r="31" spans="4:14" ht="23.25" customHeight="1" x14ac:dyDescent="0.25">
      <c r="D31" s="11" t="s">
        <v>238</v>
      </c>
      <c r="E31" s="134" t="str">
        <f>VLOOKUP(F31,'Activity List CSI'!$B$4:$D$146,3,0)</f>
        <v>02700-01</v>
      </c>
      <c r="F31" s="1" t="s">
        <v>407</v>
      </c>
      <c r="G31" s="1" t="str">
        <f>VLOOKUP($E31,'Activity List CSI'!$D$4:$J$146,G$1,0)</f>
        <v>02</v>
      </c>
      <c r="H31" s="1" t="str">
        <f>VLOOKUP($E31,'Activity List CSI'!$D$4:$J$146,H$1,0)</f>
        <v>EarthWork</v>
      </c>
      <c r="I31" s="1" t="str">
        <f>VLOOKUP(D31,'Activity List CSI'!$C$4:$H$146,6,0)</f>
        <v>02700</v>
      </c>
      <c r="J31" s="1" t="str">
        <f>VLOOKUP($E31,'Activity List CSI'!$D$4:$J$146,J$1,0)</f>
        <v>Bases, Ballast,Pavement &amp; Appurtenances</v>
      </c>
      <c r="K31" s="1" t="s">
        <v>613</v>
      </c>
      <c r="L31" s="1">
        <v>205</v>
      </c>
      <c r="M31" s="13" t="str">
        <f t="shared" si="0"/>
        <v>02700205</v>
      </c>
      <c r="N31" s="12" t="s">
        <v>667</v>
      </c>
    </row>
    <row r="32" spans="4:14" ht="23.25" customHeight="1" x14ac:dyDescent="0.25">
      <c r="D32" s="11" t="s">
        <v>239</v>
      </c>
      <c r="E32" s="134" t="str">
        <f>VLOOKUP(F32,'Activity List CSI'!$B$4:$D$146,3,0)</f>
        <v>02700-02</v>
      </c>
      <c r="F32" s="1" t="s">
        <v>40</v>
      </c>
      <c r="G32" s="1" t="str">
        <f>VLOOKUP($E32,'Activity List CSI'!$D$4:$J$146,G$1,0)</f>
        <v>02</v>
      </c>
      <c r="H32" s="1" t="str">
        <f>VLOOKUP($E32,'Activity List CSI'!$D$4:$J$146,H$1,0)</f>
        <v>EarthWork</v>
      </c>
      <c r="I32" s="1" t="str">
        <f>VLOOKUP(D32,'Activity List CSI'!$C$4:$H$146,6,0)</f>
        <v>02700</v>
      </c>
      <c r="J32" s="1" t="str">
        <f>VLOOKUP($E32,'Activity List CSI'!$D$4:$J$146,J$1,0)</f>
        <v>Bases, Ballast,Pavement &amp; Appurtenances</v>
      </c>
      <c r="K32" s="1" t="s">
        <v>613</v>
      </c>
      <c r="L32" s="1">
        <v>205</v>
      </c>
      <c r="M32" s="13" t="str">
        <f t="shared" si="0"/>
        <v>02700205</v>
      </c>
      <c r="N32" s="12" t="s">
        <v>667</v>
      </c>
    </row>
    <row r="33" spans="4:14" ht="23.25" customHeight="1" x14ac:dyDescent="0.25">
      <c r="D33" s="11" t="s">
        <v>240</v>
      </c>
      <c r="E33" s="134" t="str">
        <f>VLOOKUP(F33,'Activity List CSI'!$B$4:$D$146,3,0)</f>
        <v>02700-03</v>
      </c>
      <c r="F33" s="1" t="s">
        <v>41</v>
      </c>
      <c r="G33" s="1" t="str">
        <f>VLOOKUP($E33,'Activity List CSI'!$D$4:$J$146,G$1,0)</f>
        <v>02</v>
      </c>
      <c r="H33" s="1" t="str">
        <f>VLOOKUP($E33,'Activity List CSI'!$D$4:$J$146,H$1,0)</f>
        <v>EarthWork</v>
      </c>
      <c r="I33" s="1" t="str">
        <f>VLOOKUP(D33,'Activity List CSI'!$C$4:$H$146,6,0)</f>
        <v>02700</v>
      </c>
      <c r="J33" s="1" t="str">
        <f>VLOOKUP($E33,'Activity List CSI'!$D$4:$J$146,J$1,0)</f>
        <v>Bases, Ballast,Pavement &amp; Appurtenances</v>
      </c>
      <c r="K33" s="1" t="s">
        <v>613</v>
      </c>
      <c r="L33" s="1">
        <v>205</v>
      </c>
      <c r="M33" s="13" t="str">
        <f t="shared" si="0"/>
        <v>02700205</v>
      </c>
      <c r="N33" s="12" t="s">
        <v>667</v>
      </c>
    </row>
    <row r="34" spans="4:14" ht="23.25" customHeight="1" x14ac:dyDescent="0.25">
      <c r="D34" s="11" t="s">
        <v>240</v>
      </c>
      <c r="E34" s="134" t="str">
        <f>VLOOKUP(F34,'Activity List CSI'!$B$4:$D$146,3,0)</f>
        <v>02700-03</v>
      </c>
      <c r="F34" s="1" t="s">
        <v>41</v>
      </c>
      <c r="G34" s="1" t="str">
        <f>VLOOKUP($E34,'Activity List CSI'!$D$4:$J$146,G$1,0)</f>
        <v>02</v>
      </c>
      <c r="H34" s="1" t="str">
        <f>VLOOKUP($E34,'Activity List CSI'!$D$4:$J$146,H$1,0)</f>
        <v>EarthWork</v>
      </c>
      <c r="I34" s="1" t="str">
        <f>VLOOKUP(D34,'Activity List CSI'!$C$4:$H$146,6,0)</f>
        <v>02700</v>
      </c>
      <c r="J34" s="1" t="str">
        <f>VLOOKUP($E34,'Activity List CSI'!$D$4:$J$146,J$1,0)</f>
        <v>Bases, Ballast,Pavement &amp; Appurtenances</v>
      </c>
      <c r="K34" s="1" t="s">
        <v>613</v>
      </c>
      <c r="L34" s="1">
        <v>205</v>
      </c>
      <c r="M34" s="13" t="str">
        <f t="shared" si="0"/>
        <v>02700205</v>
      </c>
      <c r="N34" s="12" t="s">
        <v>667</v>
      </c>
    </row>
    <row r="35" spans="4:14" ht="23.25" customHeight="1" x14ac:dyDescent="0.25">
      <c r="D35" s="11" t="s">
        <v>241</v>
      </c>
      <c r="E35" s="134" t="str">
        <f>VLOOKUP(F35,'Activity List CSI'!$B$4:$D$146,3,0)</f>
        <v>02700-04</v>
      </c>
      <c r="F35" s="1" t="s">
        <v>42</v>
      </c>
      <c r="G35" s="1" t="str">
        <f>VLOOKUP($E35,'Activity List CSI'!$D$4:$J$146,G$1,0)</f>
        <v>02</v>
      </c>
      <c r="H35" s="1" t="str">
        <f>VLOOKUP($E35,'Activity List CSI'!$D$4:$J$146,H$1,0)</f>
        <v>EarthWork</v>
      </c>
      <c r="I35" s="1" t="str">
        <f>VLOOKUP(D35,'Activity List CSI'!$C$4:$H$146,6,0)</f>
        <v>02700</v>
      </c>
      <c r="J35" s="1" t="str">
        <f>VLOOKUP($E35,'Activity List CSI'!$D$4:$J$146,J$1,0)</f>
        <v>Bases, Ballast,Pavement &amp; Appurtenances</v>
      </c>
      <c r="K35" s="1" t="s">
        <v>620</v>
      </c>
      <c r="L35" s="1">
        <v>205</v>
      </c>
      <c r="M35" s="1" t="str">
        <f t="shared" si="0"/>
        <v>02700205</v>
      </c>
      <c r="N35" s="12" t="str">
        <f t="shared" ref="N35:N50" si="2">M35</f>
        <v>02700205</v>
      </c>
    </row>
    <row r="36" spans="4:14" ht="23.25" customHeight="1" x14ac:dyDescent="0.25">
      <c r="D36" s="11" t="s">
        <v>241</v>
      </c>
      <c r="E36" s="134" t="str">
        <f>VLOOKUP(F36,'Activity List CSI'!$B$4:$D$146,3,0)</f>
        <v>02700-04</v>
      </c>
      <c r="F36" s="1" t="s">
        <v>42</v>
      </c>
      <c r="G36" s="1" t="str">
        <f>VLOOKUP($E36,'Activity List CSI'!$D$4:$J$146,G$1,0)</f>
        <v>02</v>
      </c>
      <c r="H36" s="1" t="str">
        <f>VLOOKUP($E36,'Activity List CSI'!$D$4:$J$146,H$1,0)</f>
        <v>EarthWork</v>
      </c>
      <c r="I36" s="1" t="str">
        <f>VLOOKUP(D36,'Activity List CSI'!$C$4:$H$146,6,0)</f>
        <v>02700</v>
      </c>
      <c r="J36" s="1" t="str">
        <f>VLOOKUP($E36,'Activity List CSI'!$D$4:$J$146,J$1,0)</f>
        <v>Bases, Ballast,Pavement &amp; Appurtenances</v>
      </c>
      <c r="K36" s="1" t="s">
        <v>620</v>
      </c>
      <c r="L36" s="1">
        <v>205</v>
      </c>
      <c r="M36" s="1" t="str">
        <f t="shared" si="0"/>
        <v>02700205</v>
      </c>
      <c r="N36" s="12" t="str">
        <f t="shared" si="2"/>
        <v>02700205</v>
      </c>
    </row>
    <row r="37" spans="4:14" ht="23.25" customHeight="1" x14ac:dyDescent="0.25">
      <c r="D37" s="11" t="s">
        <v>242</v>
      </c>
      <c r="E37" s="134" t="str">
        <f>VLOOKUP(F37,'Activity List CSI'!$B$4:$D$146,3,0)</f>
        <v>02700-05</v>
      </c>
      <c r="F37" s="1" t="s">
        <v>43</v>
      </c>
      <c r="G37" s="1" t="str">
        <f>VLOOKUP($E37,'Activity List CSI'!$D$4:$J$146,G$1,0)</f>
        <v>02</v>
      </c>
      <c r="H37" s="1" t="str">
        <f>VLOOKUP($E37,'Activity List CSI'!$D$4:$J$146,H$1,0)</f>
        <v>EarthWork</v>
      </c>
      <c r="I37" s="1" t="str">
        <f>VLOOKUP(D37,'Activity List CSI'!$C$4:$H$146,6,0)</f>
        <v>02700</v>
      </c>
      <c r="J37" s="1" t="str">
        <f>VLOOKUP($E37,'Activity List CSI'!$D$4:$J$146,J$1,0)</f>
        <v>Bases, Ballast,Pavement &amp; Appurtenances</v>
      </c>
      <c r="K37" s="1" t="s">
        <v>620</v>
      </c>
      <c r="L37" s="1">
        <v>205</v>
      </c>
      <c r="M37" s="1" t="str">
        <f t="shared" si="0"/>
        <v>02700205</v>
      </c>
      <c r="N37" s="12" t="str">
        <f t="shared" si="2"/>
        <v>02700205</v>
      </c>
    </row>
    <row r="38" spans="4:14" ht="23.25" customHeight="1" x14ac:dyDescent="0.25">
      <c r="D38" s="11" t="s">
        <v>242</v>
      </c>
      <c r="E38" s="134" t="str">
        <f>VLOOKUP(F38,'Activity List CSI'!$B$4:$D$146,3,0)</f>
        <v>02700-05</v>
      </c>
      <c r="F38" s="1" t="s">
        <v>43</v>
      </c>
      <c r="G38" s="1" t="str">
        <f>VLOOKUP($E38,'Activity List CSI'!$D$4:$J$146,G$1,0)</f>
        <v>02</v>
      </c>
      <c r="H38" s="1" t="str">
        <f>VLOOKUP($E38,'Activity List CSI'!$D$4:$J$146,H$1,0)</f>
        <v>EarthWork</v>
      </c>
      <c r="I38" s="1" t="str">
        <f>VLOOKUP(D38,'Activity List CSI'!$C$4:$H$146,6,0)</f>
        <v>02700</v>
      </c>
      <c r="J38" s="1" t="str">
        <f>VLOOKUP($E38,'Activity List CSI'!$D$4:$J$146,J$1,0)</f>
        <v>Bases, Ballast,Pavement &amp; Appurtenances</v>
      </c>
      <c r="K38" s="1" t="s">
        <v>620</v>
      </c>
      <c r="L38" s="1">
        <v>205</v>
      </c>
      <c r="M38" s="1" t="str">
        <f t="shared" si="0"/>
        <v>02700205</v>
      </c>
      <c r="N38" s="12" t="str">
        <f t="shared" si="2"/>
        <v>02700205</v>
      </c>
    </row>
    <row r="39" spans="4:14" ht="23.25" customHeight="1" x14ac:dyDescent="0.25">
      <c r="D39" s="11" t="s">
        <v>243</v>
      </c>
      <c r="E39" s="134" t="str">
        <f>VLOOKUP(F39,'Activity List CSI'!$B$4:$D$146,3,0)</f>
        <v>02700-06</v>
      </c>
      <c r="F39" s="1" t="s">
        <v>44</v>
      </c>
      <c r="G39" s="1" t="str">
        <f>VLOOKUP($E39,'Activity List CSI'!$D$4:$J$146,G$1,0)</f>
        <v>02</v>
      </c>
      <c r="H39" s="1" t="str">
        <f>VLOOKUP($E39,'Activity List CSI'!$D$4:$J$146,H$1,0)</f>
        <v>EarthWork</v>
      </c>
      <c r="I39" s="1" t="str">
        <f>VLOOKUP(D39,'Activity List CSI'!$C$4:$H$146,6,0)</f>
        <v>02700</v>
      </c>
      <c r="J39" s="1" t="str">
        <f>VLOOKUP($E39,'Activity List CSI'!$D$4:$J$146,J$1,0)</f>
        <v>Bases, Ballast,Pavement &amp; Appurtenances</v>
      </c>
      <c r="K39" s="1" t="s">
        <v>620</v>
      </c>
      <c r="L39" s="1">
        <v>205</v>
      </c>
      <c r="M39" s="1" t="str">
        <f t="shared" si="0"/>
        <v>02700205</v>
      </c>
      <c r="N39" s="12" t="str">
        <f t="shared" si="2"/>
        <v>02700205</v>
      </c>
    </row>
    <row r="40" spans="4:14" ht="23.25" customHeight="1" x14ac:dyDescent="0.25">
      <c r="D40" s="11" t="s">
        <v>243</v>
      </c>
      <c r="E40" s="134" t="str">
        <f>VLOOKUP(F40,'Activity List CSI'!$B$4:$D$146,3,0)</f>
        <v>02700-06</v>
      </c>
      <c r="F40" s="1" t="s">
        <v>44</v>
      </c>
      <c r="G40" s="1" t="str">
        <f>VLOOKUP($E40,'Activity List CSI'!$D$4:$J$146,G$1,0)</f>
        <v>02</v>
      </c>
      <c r="H40" s="1" t="str">
        <f>VLOOKUP($E40,'Activity List CSI'!$D$4:$J$146,H$1,0)</f>
        <v>EarthWork</v>
      </c>
      <c r="I40" s="1" t="str">
        <f>VLOOKUP(D40,'Activity List CSI'!$C$4:$H$146,6,0)</f>
        <v>02700</v>
      </c>
      <c r="J40" s="1" t="str">
        <f>VLOOKUP($E40,'Activity List CSI'!$D$4:$J$146,J$1,0)</f>
        <v>Bases, Ballast,Pavement &amp; Appurtenances</v>
      </c>
      <c r="K40" s="1" t="s">
        <v>620</v>
      </c>
      <c r="L40" s="1">
        <v>205</v>
      </c>
      <c r="M40" s="1" t="str">
        <f t="shared" si="0"/>
        <v>02700205</v>
      </c>
      <c r="N40" s="12" t="str">
        <f t="shared" si="2"/>
        <v>02700205</v>
      </c>
    </row>
    <row r="41" spans="4:14" ht="23.25" customHeight="1" x14ac:dyDescent="0.25">
      <c r="D41" s="11" t="s">
        <v>244</v>
      </c>
      <c r="E41" s="134" t="str">
        <f>VLOOKUP(F41,'Activity List CSI'!$B$4:$D$146,3,0)</f>
        <v>02700-07</v>
      </c>
      <c r="F41" s="1" t="s">
        <v>45</v>
      </c>
      <c r="G41" s="1" t="str">
        <f>VLOOKUP($E41,'Activity List CSI'!$D$4:$J$146,G$1,0)</f>
        <v>02</v>
      </c>
      <c r="H41" s="1" t="str">
        <f>VLOOKUP($E41,'Activity List CSI'!$D$4:$J$146,H$1,0)</f>
        <v>EarthWork</v>
      </c>
      <c r="I41" s="1" t="str">
        <f>VLOOKUP(D41,'Activity List CSI'!$C$4:$H$146,6,0)</f>
        <v>02700</v>
      </c>
      <c r="J41" s="1" t="str">
        <f>VLOOKUP($E41,'Activity List CSI'!$D$4:$J$146,J$1,0)</f>
        <v>Bases, Ballast,Pavement &amp; Appurtenances</v>
      </c>
      <c r="K41" s="1" t="s">
        <v>660</v>
      </c>
      <c r="L41" s="1">
        <v>210</v>
      </c>
      <c r="M41" s="1" t="str">
        <f t="shared" si="0"/>
        <v>02700210</v>
      </c>
      <c r="N41" s="12" t="str">
        <f t="shared" si="2"/>
        <v>02700210</v>
      </c>
    </row>
    <row r="42" spans="4:14" ht="23.25" customHeight="1" x14ac:dyDescent="0.25">
      <c r="D42" s="11" t="s">
        <v>244</v>
      </c>
      <c r="E42" s="134" t="str">
        <f>VLOOKUP(F42,'Activity List CSI'!$B$4:$D$146,3,0)</f>
        <v>02700-07</v>
      </c>
      <c r="F42" s="1" t="s">
        <v>45</v>
      </c>
      <c r="G42" s="1" t="str">
        <f>VLOOKUP($E42,'Activity List CSI'!$D$4:$J$146,G$1,0)</f>
        <v>02</v>
      </c>
      <c r="H42" s="1" t="str">
        <f>VLOOKUP($E42,'Activity List CSI'!$D$4:$J$146,H$1,0)</f>
        <v>EarthWork</v>
      </c>
      <c r="I42" s="1" t="str">
        <f>VLOOKUP(D42,'Activity List CSI'!$C$4:$H$146,6,0)</f>
        <v>02700</v>
      </c>
      <c r="J42" s="1" t="str">
        <f>VLOOKUP($E42,'Activity List CSI'!$D$4:$J$146,J$1,0)</f>
        <v>Bases, Ballast,Pavement &amp; Appurtenances</v>
      </c>
      <c r="K42" s="1" t="s">
        <v>660</v>
      </c>
      <c r="L42" s="1">
        <v>210</v>
      </c>
      <c r="M42" s="1" t="str">
        <f t="shared" si="0"/>
        <v>02700210</v>
      </c>
      <c r="N42" s="12" t="str">
        <f t="shared" si="2"/>
        <v>02700210</v>
      </c>
    </row>
    <row r="43" spans="4:14" ht="23.25" customHeight="1" x14ac:dyDescent="0.25">
      <c r="D43" s="11" t="s">
        <v>245</v>
      </c>
      <c r="E43" s="134" t="str">
        <f>VLOOKUP(F43,'Activity List CSI'!$B$4:$D$146,3,0)</f>
        <v>02700-08</v>
      </c>
      <c r="F43" s="1" t="s">
        <v>46</v>
      </c>
      <c r="G43" s="1" t="str">
        <f>VLOOKUP($E43,'Activity List CSI'!$D$4:$J$146,G$1,0)</f>
        <v>02</v>
      </c>
      <c r="H43" s="1" t="str">
        <f>VLOOKUP($E43,'Activity List CSI'!$D$4:$J$146,H$1,0)</f>
        <v>EarthWork</v>
      </c>
      <c r="I43" s="1" t="str">
        <f>VLOOKUP(D43,'Activity List CSI'!$C$4:$H$146,6,0)</f>
        <v>02700</v>
      </c>
      <c r="J43" s="1" t="str">
        <f>VLOOKUP($E43,'Activity List CSI'!$D$4:$J$146,J$1,0)</f>
        <v>Bases, Ballast,Pavement &amp; Appurtenances</v>
      </c>
      <c r="K43" s="1" t="s">
        <v>620</v>
      </c>
      <c r="L43" s="1">
        <v>205</v>
      </c>
      <c r="M43" s="1" t="str">
        <f t="shared" si="0"/>
        <v>02700205</v>
      </c>
      <c r="N43" s="12" t="str">
        <f t="shared" si="2"/>
        <v>02700205</v>
      </c>
    </row>
    <row r="44" spans="4:14" ht="23.25" customHeight="1" x14ac:dyDescent="0.25">
      <c r="D44" s="11" t="s">
        <v>245</v>
      </c>
      <c r="E44" s="134" t="str">
        <f>VLOOKUP(F44,'Activity List CSI'!$B$4:$D$146,3,0)</f>
        <v>02700-08</v>
      </c>
      <c r="F44" s="1" t="s">
        <v>46</v>
      </c>
      <c r="G44" s="1" t="str">
        <f>VLOOKUP($E44,'Activity List CSI'!$D$4:$J$146,G$1,0)</f>
        <v>02</v>
      </c>
      <c r="H44" s="1" t="str">
        <f>VLOOKUP($E44,'Activity List CSI'!$D$4:$J$146,H$1,0)</f>
        <v>EarthWork</v>
      </c>
      <c r="I44" s="1" t="str">
        <f>VLOOKUP(D44,'Activity List CSI'!$C$4:$H$146,6,0)</f>
        <v>02700</v>
      </c>
      <c r="J44" s="1" t="str">
        <f>VLOOKUP($E44,'Activity List CSI'!$D$4:$J$146,J$1,0)</f>
        <v>Bases, Ballast,Pavement &amp; Appurtenances</v>
      </c>
      <c r="K44" s="1" t="s">
        <v>620</v>
      </c>
      <c r="L44" s="1">
        <v>205</v>
      </c>
      <c r="M44" s="1" t="str">
        <f t="shared" si="0"/>
        <v>02700205</v>
      </c>
      <c r="N44" s="12" t="str">
        <f t="shared" si="2"/>
        <v>02700205</v>
      </c>
    </row>
    <row r="45" spans="4:14" ht="23.25" customHeight="1" x14ac:dyDescent="0.25">
      <c r="D45" s="11" t="s">
        <v>246</v>
      </c>
      <c r="E45" s="134" t="str">
        <f>VLOOKUP(F45,'Activity List CSI'!$B$4:$D$146,3,0)</f>
        <v>02700-09</v>
      </c>
      <c r="F45" s="1" t="s">
        <v>47</v>
      </c>
      <c r="G45" s="1" t="str">
        <f>VLOOKUP($E45,'Activity List CSI'!$D$4:$J$146,G$1,0)</f>
        <v>02</v>
      </c>
      <c r="H45" s="1" t="str">
        <f>VLOOKUP($E45,'Activity List CSI'!$D$4:$J$146,H$1,0)</f>
        <v>EarthWork</v>
      </c>
      <c r="I45" s="1" t="str">
        <f>VLOOKUP(D45,'Activity List CSI'!$C$4:$H$146,6,0)</f>
        <v>02700</v>
      </c>
      <c r="J45" s="1" t="str">
        <f>VLOOKUP($E45,'Activity List CSI'!$D$4:$J$146,J$1,0)</f>
        <v>Bases, Ballast,Pavement &amp; Appurtenances</v>
      </c>
      <c r="K45" s="1" t="s">
        <v>660</v>
      </c>
      <c r="L45" s="1">
        <v>210</v>
      </c>
      <c r="M45" s="1" t="str">
        <f t="shared" si="0"/>
        <v>02700210</v>
      </c>
      <c r="N45" s="12" t="str">
        <f t="shared" si="2"/>
        <v>02700210</v>
      </c>
    </row>
    <row r="46" spans="4:14" ht="23.25" customHeight="1" x14ac:dyDescent="0.25">
      <c r="D46" s="11" t="s">
        <v>246</v>
      </c>
      <c r="E46" s="134" t="str">
        <f>VLOOKUP(F46,'Activity List CSI'!$B$4:$D$146,3,0)</f>
        <v>02700-09</v>
      </c>
      <c r="F46" s="1" t="s">
        <v>47</v>
      </c>
      <c r="G46" s="1" t="str">
        <f>VLOOKUP($E46,'Activity List CSI'!$D$4:$J$146,G$1,0)</f>
        <v>02</v>
      </c>
      <c r="H46" s="1" t="str">
        <f>VLOOKUP($E46,'Activity List CSI'!$D$4:$J$146,H$1,0)</f>
        <v>EarthWork</v>
      </c>
      <c r="I46" s="1" t="str">
        <f>VLOOKUP(D46,'Activity List CSI'!$C$4:$H$146,6,0)</f>
        <v>02700</v>
      </c>
      <c r="J46" s="1" t="str">
        <f>VLOOKUP($E46,'Activity List CSI'!$D$4:$J$146,J$1,0)</f>
        <v>Bases, Ballast,Pavement &amp; Appurtenances</v>
      </c>
      <c r="K46" s="1" t="s">
        <v>660</v>
      </c>
      <c r="L46" s="1">
        <v>210</v>
      </c>
      <c r="M46" s="1" t="str">
        <f t="shared" si="0"/>
        <v>02700210</v>
      </c>
      <c r="N46" s="12" t="str">
        <f t="shared" si="2"/>
        <v>02700210</v>
      </c>
    </row>
    <row r="47" spans="4:14" ht="23.25" customHeight="1" x14ac:dyDescent="0.25">
      <c r="D47" s="11" t="s">
        <v>247</v>
      </c>
      <c r="E47" s="134" t="str">
        <f>VLOOKUP(F47,'Activity List CSI'!$B$4:$D$146,3,0)</f>
        <v>09900-04</v>
      </c>
      <c r="F47" s="1" t="s">
        <v>48</v>
      </c>
      <c r="G47" s="1" t="str">
        <f>VLOOKUP($E47,'Activity List CSI'!$D$4:$J$146,G$1,0)</f>
        <v>02</v>
      </c>
      <c r="H47" s="1" t="str">
        <f>VLOOKUP($E47,'Activity List CSI'!$D$4:$J$146,H$1,0)</f>
        <v>EarthWork</v>
      </c>
      <c r="I47" s="1" t="str">
        <f>VLOOKUP(D47,'Activity List CSI'!$C$4:$H$146,6,0)</f>
        <v>09900</v>
      </c>
      <c r="J47" s="1" t="str">
        <f>VLOOKUP($E47,'Activity List CSI'!$D$4:$J$146,J$1,0)</f>
        <v>Paints &amp; Coatings</v>
      </c>
      <c r="K47" s="1" t="s">
        <v>621</v>
      </c>
      <c r="L47" s="1">
        <v>205</v>
      </c>
      <c r="M47" s="1" t="str">
        <f t="shared" si="0"/>
        <v>09900205</v>
      </c>
      <c r="N47" s="12" t="str">
        <f t="shared" si="2"/>
        <v>09900205</v>
      </c>
    </row>
    <row r="48" spans="4:14" ht="23.25" customHeight="1" x14ac:dyDescent="0.25">
      <c r="D48" s="11" t="s">
        <v>248</v>
      </c>
      <c r="E48" s="134" t="str">
        <f>VLOOKUP(F48,'Activity List CSI'!$B$4:$D$146,3,0)</f>
        <v>02700-10</v>
      </c>
      <c r="F48" s="1" t="s">
        <v>49</v>
      </c>
      <c r="G48" s="1" t="str">
        <f>VLOOKUP($E48,'Activity List CSI'!$D$4:$J$146,G$1,0)</f>
        <v>02</v>
      </c>
      <c r="H48" s="1" t="str">
        <f>VLOOKUP($E48,'Activity List CSI'!$D$4:$J$146,H$1,0)</f>
        <v>EarthWork</v>
      </c>
      <c r="I48" s="1" t="str">
        <f>VLOOKUP(D48,'Activity List CSI'!$C$4:$H$146,6,0)</f>
        <v>02700</v>
      </c>
      <c r="J48" s="1" t="str">
        <f>VLOOKUP($E48,'Activity List CSI'!$D$4:$J$146,J$1,0)</f>
        <v>Bases, Ballast,Pavement &amp; Appurtenances</v>
      </c>
      <c r="K48" s="1" t="s">
        <v>620</v>
      </c>
      <c r="L48" s="1">
        <v>205</v>
      </c>
      <c r="M48" s="1" t="str">
        <f t="shared" si="0"/>
        <v>02700205</v>
      </c>
      <c r="N48" s="12" t="str">
        <f t="shared" si="2"/>
        <v>02700205</v>
      </c>
    </row>
    <row r="49" spans="4:14" ht="23.25" customHeight="1" x14ac:dyDescent="0.25">
      <c r="D49" s="11" t="s">
        <v>249</v>
      </c>
      <c r="E49" s="134" t="str">
        <f>VLOOKUP(F49,'Activity List CSI'!$B$4:$D$146,3,0)</f>
        <v>10100-02</v>
      </c>
      <c r="F49" s="1" t="s">
        <v>50</v>
      </c>
      <c r="G49" s="1" t="str">
        <f>VLOOKUP($E49,'Activity List CSI'!$D$4:$J$146,G$1,0)</f>
        <v>02</v>
      </c>
      <c r="H49" s="1" t="str">
        <f>VLOOKUP($E49,'Activity List CSI'!$D$4:$J$146,H$1,0)</f>
        <v>EarthWork</v>
      </c>
      <c r="I49" s="1" t="str">
        <f>VLOOKUP(D49,'Activity List CSI'!$C$4:$H$146,6,0)</f>
        <v>10100</v>
      </c>
      <c r="J49" s="1" t="str">
        <f>VLOOKUP($E49,'Activity List CSI'!$D$4:$J$146,J$1,0)</f>
        <v>Visual Display Boards</v>
      </c>
      <c r="K49" s="1" t="s">
        <v>650</v>
      </c>
      <c r="L49" s="1">
        <v>205</v>
      </c>
      <c r="M49" s="1" t="str">
        <f t="shared" si="0"/>
        <v>10100205</v>
      </c>
      <c r="N49" s="12" t="str">
        <f t="shared" si="2"/>
        <v>10100205</v>
      </c>
    </row>
    <row r="50" spans="4:14" ht="23.25" customHeight="1" x14ac:dyDescent="0.25">
      <c r="D50" s="11" t="s">
        <v>250</v>
      </c>
      <c r="E50" s="134" t="str">
        <f>VLOOKUP(F50,'Activity List CSI'!$B$4:$D$146,3,0)</f>
        <v>05650-01</v>
      </c>
      <c r="F50" s="1" t="s">
        <v>51</v>
      </c>
      <c r="G50" s="1" t="str">
        <f>VLOOKUP($E50,'Activity List CSI'!$D$4:$J$146,G$1,0)</f>
        <v>02</v>
      </c>
      <c r="H50" s="1" t="str">
        <f>VLOOKUP($E50,'Activity List CSI'!$D$4:$J$146,H$1,0)</f>
        <v>EarthWork</v>
      </c>
      <c r="I50" s="1" t="str">
        <f>VLOOKUP(D50,'Activity List CSI'!$C$4:$H$146,6,0)</f>
        <v>05650</v>
      </c>
      <c r="J50" s="1" t="str">
        <f>VLOOKUP($E50,'Activity List CSI'!$D$4:$J$146,J$1,0)</f>
        <v>Railroad Track &amp; Accessories</v>
      </c>
      <c r="K50" s="1" t="s">
        <v>664</v>
      </c>
      <c r="L50" s="1">
        <v>205</v>
      </c>
      <c r="M50" s="1" t="str">
        <f t="shared" si="0"/>
        <v>05650205</v>
      </c>
      <c r="N50" s="12" t="str">
        <f t="shared" si="2"/>
        <v>05650205</v>
      </c>
    </row>
    <row r="51" spans="4:14" ht="23.25" customHeight="1" x14ac:dyDescent="0.25">
      <c r="D51" s="11" t="s">
        <v>251</v>
      </c>
      <c r="E51" s="134" t="str">
        <f>VLOOKUP(F51,'Activity List CSI'!$B$4:$D$146,3,0)</f>
        <v>02200-01</v>
      </c>
      <c r="F51" s="1" t="s">
        <v>1</v>
      </c>
      <c r="G51" s="1" t="str">
        <f>VLOOKUP($E51,'Activity List CSI'!$D$4:$J$146,G$1,0)</f>
        <v>02</v>
      </c>
      <c r="H51" s="1" t="str">
        <f>VLOOKUP($E51,'Activity List CSI'!$D$4:$J$146,H$1,0)</f>
        <v>EarthWork</v>
      </c>
      <c r="I51" s="1" t="str">
        <f>VLOOKUP(D51,'Activity List CSI'!$C$4:$H$146,6,0)</f>
        <v>02200</v>
      </c>
      <c r="J51" s="1" t="str">
        <f>VLOOKUP($E51,'Activity List CSI'!$D$4:$J$146,J$1,0)</f>
        <v>Site Prepartion</v>
      </c>
      <c r="K51" s="1" t="s">
        <v>622</v>
      </c>
      <c r="L51" s="1">
        <v>205</v>
      </c>
      <c r="M51" s="13" t="str">
        <f t="shared" si="0"/>
        <v>02200205</v>
      </c>
      <c r="N51" s="12" t="s">
        <v>669</v>
      </c>
    </row>
    <row r="52" spans="4:14" ht="23.25" customHeight="1" x14ac:dyDescent="0.25">
      <c r="D52" s="11" t="s">
        <v>252</v>
      </c>
      <c r="E52" s="134" t="str">
        <f>VLOOKUP(F52,'Activity List CSI'!$B$4:$D$146,3,0)</f>
        <v>02200-02</v>
      </c>
      <c r="F52" s="1" t="s">
        <v>53</v>
      </c>
      <c r="G52" s="1" t="str">
        <f>VLOOKUP($E52,'Activity List CSI'!$D$4:$J$146,G$1,0)</f>
        <v>02</v>
      </c>
      <c r="H52" s="1" t="str">
        <f>VLOOKUP($E52,'Activity List CSI'!$D$4:$J$146,H$1,0)</f>
        <v>EarthWork</v>
      </c>
      <c r="I52" s="1" t="str">
        <f>VLOOKUP(D52,'Activity List CSI'!$C$4:$H$146,6,0)</f>
        <v>02200</v>
      </c>
      <c r="J52" s="1" t="str">
        <f>VLOOKUP($E52,'Activity List CSI'!$D$4:$J$146,J$1,0)</f>
        <v>Site Prepartion</v>
      </c>
      <c r="K52" s="1" t="s">
        <v>622</v>
      </c>
      <c r="L52" s="1">
        <v>205</v>
      </c>
      <c r="M52" s="13" t="str">
        <f t="shared" si="0"/>
        <v>02200205</v>
      </c>
      <c r="N52" s="12" t="s">
        <v>669</v>
      </c>
    </row>
    <row r="53" spans="4:14" ht="23.25" customHeight="1" x14ac:dyDescent="0.25">
      <c r="D53" s="11" t="s">
        <v>253</v>
      </c>
      <c r="E53" s="134" t="str">
        <f>VLOOKUP(F53,'Activity List CSI'!$B$4:$D$146,3,0)</f>
        <v>02500-01</v>
      </c>
      <c r="F53" s="1" t="s">
        <v>56</v>
      </c>
      <c r="G53" s="1" t="str">
        <f>VLOOKUP($E53,'Activity List CSI'!$D$4:$J$146,G$1,0)</f>
        <v>02</v>
      </c>
      <c r="H53" s="1" t="str">
        <f>VLOOKUP($E53,'Activity List CSI'!$D$4:$J$146,H$1,0)</f>
        <v>EarthWork</v>
      </c>
      <c r="I53" s="1" t="str">
        <f>VLOOKUP(D53,'Activity List CSI'!$C$4:$H$146,6,0)</f>
        <v>02500</v>
      </c>
      <c r="J53" s="1" t="str">
        <f>VLOOKUP($E53,'Activity List CSI'!$D$4:$J$146,J$1,0)</f>
        <v>Utility Services</v>
      </c>
      <c r="K53" s="1" t="s">
        <v>622</v>
      </c>
      <c r="L53" s="1">
        <v>205</v>
      </c>
      <c r="M53" s="1" t="str">
        <f t="shared" si="0"/>
        <v>02500205</v>
      </c>
      <c r="N53" s="12" t="str">
        <f t="shared" ref="N53:N58" si="3">M53</f>
        <v>02500205</v>
      </c>
    </row>
    <row r="54" spans="4:14" ht="23.25" customHeight="1" x14ac:dyDescent="0.25">
      <c r="D54" s="11" t="s">
        <v>254</v>
      </c>
      <c r="E54" s="134" t="str">
        <f>VLOOKUP(F54,'Activity List CSI'!$B$4:$D$146,3,0)</f>
        <v>02500-02</v>
      </c>
      <c r="F54" s="1" t="s">
        <v>58</v>
      </c>
      <c r="G54" s="1" t="str">
        <f>VLOOKUP($E54,'Activity List CSI'!$D$4:$J$146,G$1,0)</f>
        <v>02</v>
      </c>
      <c r="H54" s="1" t="str">
        <f>VLOOKUP($E54,'Activity List CSI'!$D$4:$J$146,H$1,0)</f>
        <v>EarthWork</v>
      </c>
      <c r="I54" s="1" t="str">
        <f>VLOOKUP(D54,'Activity List CSI'!$C$4:$H$146,6,0)</f>
        <v>02500</v>
      </c>
      <c r="J54" s="1" t="str">
        <f>VLOOKUP($E54,'Activity List CSI'!$D$4:$J$146,J$1,0)</f>
        <v>Utility Services</v>
      </c>
      <c r="K54" s="1" t="s">
        <v>622</v>
      </c>
      <c r="L54" s="1">
        <v>205</v>
      </c>
      <c r="M54" s="1" t="str">
        <f t="shared" si="0"/>
        <v>02500205</v>
      </c>
      <c r="N54" s="12" t="str">
        <f t="shared" si="3"/>
        <v>02500205</v>
      </c>
    </row>
    <row r="55" spans="4:14" ht="23.25" customHeight="1" x14ac:dyDescent="0.25">
      <c r="D55" s="11" t="s">
        <v>255</v>
      </c>
      <c r="E55" s="134" t="str">
        <f>VLOOKUP(F55,'Activity List CSI'!$B$4:$D$146,3,0)</f>
        <v>02500-03</v>
      </c>
      <c r="F55" s="1" t="s">
        <v>60</v>
      </c>
      <c r="G55" s="1" t="str">
        <f>VLOOKUP($E55,'Activity List CSI'!$D$4:$J$146,G$1,0)</f>
        <v>02</v>
      </c>
      <c r="H55" s="1" t="str">
        <f>VLOOKUP($E55,'Activity List CSI'!$D$4:$J$146,H$1,0)</f>
        <v>EarthWork</v>
      </c>
      <c r="I55" s="1" t="str">
        <f>VLOOKUP(D55,'Activity List CSI'!$C$4:$H$146,6,0)</f>
        <v>02500</v>
      </c>
      <c r="J55" s="1" t="str">
        <f>VLOOKUP($E55,'Activity List CSI'!$D$4:$J$146,J$1,0)</f>
        <v>Utility Services</v>
      </c>
      <c r="K55" s="1" t="s">
        <v>622</v>
      </c>
      <c r="L55" s="1">
        <v>205</v>
      </c>
      <c r="M55" s="1" t="str">
        <f t="shared" si="0"/>
        <v>02500205</v>
      </c>
      <c r="N55" s="12" t="str">
        <f t="shared" si="3"/>
        <v>02500205</v>
      </c>
    </row>
    <row r="56" spans="4:14" ht="23.25" customHeight="1" x14ac:dyDescent="0.25">
      <c r="D56" s="11" t="s">
        <v>256</v>
      </c>
      <c r="E56" s="134" t="str">
        <f>VLOOKUP(F56,'Activity List CSI'!$B$4:$D$146,3,0)</f>
        <v>02500-04</v>
      </c>
      <c r="F56" s="1" t="s">
        <v>62</v>
      </c>
      <c r="G56" s="1" t="str">
        <f>VLOOKUP($E56,'Activity List CSI'!$D$4:$J$146,G$1,0)</f>
        <v>02</v>
      </c>
      <c r="H56" s="1" t="str">
        <f>VLOOKUP($E56,'Activity List CSI'!$D$4:$J$146,H$1,0)</f>
        <v>EarthWork</v>
      </c>
      <c r="I56" s="1" t="str">
        <f>VLOOKUP(D56,'Activity List CSI'!$C$4:$H$146,6,0)</f>
        <v>02500</v>
      </c>
      <c r="J56" s="1" t="str">
        <f>VLOOKUP($E56,'Activity List CSI'!$D$4:$J$146,J$1,0)</f>
        <v>Utility Services</v>
      </c>
      <c r="K56" s="1" t="s">
        <v>622</v>
      </c>
      <c r="L56" s="1">
        <v>205</v>
      </c>
      <c r="M56" s="1" t="str">
        <f t="shared" si="0"/>
        <v>02500205</v>
      </c>
      <c r="N56" s="12" t="str">
        <f t="shared" si="3"/>
        <v>02500205</v>
      </c>
    </row>
    <row r="57" spans="4:14" ht="23.25" customHeight="1" x14ac:dyDescent="0.25">
      <c r="D57" s="11" t="s">
        <v>257</v>
      </c>
      <c r="E57" s="134" t="str">
        <f>VLOOKUP(F57,'Activity List CSI'!$B$4:$D$146,3,0)</f>
        <v>02500-05</v>
      </c>
      <c r="F57" s="1" t="s">
        <v>72</v>
      </c>
      <c r="G57" s="1" t="str">
        <f>VLOOKUP($E57,'Activity List CSI'!$D$4:$J$146,G$1,0)</f>
        <v>02</v>
      </c>
      <c r="H57" s="1" t="str">
        <f>VLOOKUP($E57,'Activity List CSI'!$D$4:$J$146,H$1,0)</f>
        <v>EarthWork</v>
      </c>
      <c r="I57" s="1" t="str">
        <f>VLOOKUP(D57,'Activity List CSI'!$C$4:$H$146,6,0)</f>
        <v>02500</v>
      </c>
      <c r="J57" s="1" t="str">
        <f>VLOOKUP($E57,'Activity List CSI'!$D$4:$J$146,J$1,0)</f>
        <v>Utility Services</v>
      </c>
      <c r="K57" s="1" t="s">
        <v>622</v>
      </c>
      <c r="L57" s="1">
        <v>205</v>
      </c>
      <c r="M57" s="1" t="str">
        <f t="shared" si="0"/>
        <v>02500205</v>
      </c>
      <c r="N57" s="12" t="str">
        <f t="shared" si="3"/>
        <v>02500205</v>
      </c>
    </row>
    <row r="58" spans="4:14" ht="23.25" customHeight="1" x14ac:dyDescent="0.25">
      <c r="D58" s="11" t="s">
        <v>258</v>
      </c>
      <c r="E58" s="134" t="str">
        <f>VLOOKUP(F58,'Activity List CSI'!$B$4:$D$146,3,0)</f>
        <v>02500-06</v>
      </c>
      <c r="F58" s="1" t="s">
        <v>74</v>
      </c>
      <c r="G58" s="1" t="str">
        <f>VLOOKUP($E58,'Activity List CSI'!$D$4:$J$146,G$1,0)</f>
        <v>02</v>
      </c>
      <c r="H58" s="1" t="str">
        <f>VLOOKUP($E58,'Activity List CSI'!$D$4:$J$146,H$1,0)</f>
        <v>EarthWork</v>
      </c>
      <c r="I58" s="1" t="str">
        <f>VLOOKUP(D58,'Activity List CSI'!$C$4:$H$146,6,0)</f>
        <v>02500</v>
      </c>
      <c r="J58" s="1" t="str">
        <f>VLOOKUP($E58,'Activity List CSI'!$D$4:$J$146,J$1,0)</f>
        <v>Utility Services</v>
      </c>
      <c r="K58" s="1" t="s">
        <v>622</v>
      </c>
      <c r="L58" s="1">
        <v>205</v>
      </c>
      <c r="M58" s="1" t="str">
        <f t="shared" si="0"/>
        <v>02500205</v>
      </c>
      <c r="N58" s="12" t="str">
        <f t="shared" si="3"/>
        <v>02500205</v>
      </c>
    </row>
    <row r="59" spans="4:14" ht="23.25" customHeight="1" x14ac:dyDescent="0.25">
      <c r="D59" s="11" t="s">
        <v>259</v>
      </c>
      <c r="E59" s="134" t="str">
        <f>VLOOKUP(F59,'Activity List CSI'!$B$4:$D$146,3,0)</f>
        <v>02200-03</v>
      </c>
      <c r="F59" s="1" t="s">
        <v>64</v>
      </c>
      <c r="G59" s="1" t="str">
        <f>VLOOKUP($E59,'Activity List CSI'!$D$4:$J$146,G$1,0)</f>
        <v>02</v>
      </c>
      <c r="H59" s="1" t="str">
        <f>VLOOKUP($E59,'Activity List CSI'!$D$4:$J$146,H$1,0)</f>
        <v>EarthWork</v>
      </c>
      <c r="I59" s="1" t="str">
        <f>VLOOKUP(D59,'Activity List CSI'!$C$4:$H$146,6,0)</f>
        <v>02200</v>
      </c>
      <c r="J59" s="1" t="str">
        <f>VLOOKUP($E59,'Activity List CSI'!$D$4:$J$146,J$1,0)</f>
        <v>Site Prepartion</v>
      </c>
      <c r="K59" s="1" t="s">
        <v>622</v>
      </c>
      <c r="L59" s="1">
        <v>205</v>
      </c>
      <c r="M59" s="13" t="str">
        <f t="shared" si="0"/>
        <v>02200205</v>
      </c>
      <c r="N59" s="12" t="s">
        <v>669</v>
      </c>
    </row>
    <row r="60" spans="4:14" ht="23.25" customHeight="1" x14ac:dyDescent="0.25">
      <c r="D60" s="11" t="s">
        <v>260</v>
      </c>
      <c r="E60" s="134" t="str">
        <f>VLOOKUP(F60,'Activity List CSI'!$B$4:$D$146,3,0)</f>
        <v>02200-04</v>
      </c>
      <c r="F60" s="1" t="s">
        <v>67</v>
      </c>
      <c r="G60" s="1" t="str">
        <f>VLOOKUP($E60,'Activity List CSI'!$D$4:$J$146,G$1,0)</f>
        <v>02</v>
      </c>
      <c r="H60" s="1" t="str">
        <f>VLOOKUP($E60,'Activity List CSI'!$D$4:$J$146,H$1,0)</f>
        <v>EarthWork</v>
      </c>
      <c r="I60" s="1" t="str">
        <f>VLOOKUP(D60,'Activity List CSI'!$C$4:$H$146,6,0)</f>
        <v>02200</v>
      </c>
      <c r="J60" s="1" t="str">
        <f>VLOOKUP($E60,'Activity List CSI'!$D$4:$J$146,J$1,0)</f>
        <v>Site Prepartion</v>
      </c>
      <c r="K60" s="1" t="s">
        <v>622</v>
      </c>
      <c r="L60" s="1">
        <v>205</v>
      </c>
      <c r="M60" s="13" t="str">
        <f t="shared" si="0"/>
        <v>02200205</v>
      </c>
      <c r="N60" s="12" t="s">
        <v>669</v>
      </c>
    </row>
    <row r="61" spans="4:14" ht="23.25" customHeight="1" x14ac:dyDescent="0.25">
      <c r="D61" s="11" t="s">
        <v>261</v>
      </c>
      <c r="E61" s="134" t="str">
        <f>VLOOKUP(F61,'Activity List CSI'!$B$4:$D$146,3,0)</f>
        <v>02200-05</v>
      </c>
      <c r="F61" s="1" t="s">
        <v>69</v>
      </c>
      <c r="G61" s="1" t="str">
        <f>VLOOKUP($E61,'Activity List CSI'!$D$4:$J$146,G$1,0)</f>
        <v>02</v>
      </c>
      <c r="H61" s="1" t="str">
        <f>VLOOKUP($E61,'Activity List CSI'!$D$4:$J$146,H$1,0)</f>
        <v>EarthWork</v>
      </c>
      <c r="I61" s="1" t="str">
        <f>VLOOKUP(D61,'Activity List CSI'!$C$4:$H$146,6,0)</f>
        <v>02200</v>
      </c>
      <c r="J61" s="1" t="str">
        <f>VLOOKUP($E61,'Activity List CSI'!$D$4:$J$146,J$1,0)</f>
        <v>Site Prepartion</v>
      </c>
      <c r="K61" s="1" t="s">
        <v>613</v>
      </c>
      <c r="L61" s="1">
        <v>205</v>
      </c>
      <c r="M61" s="13" t="str">
        <f t="shared" si="0"/>
        <v>02200205</v>
      </c>
      <c r="N61" s="12" t="s">
        <v>667</v>
      </c>
    </row>
    <row r="62" spans="4:14" ht="23.25" customHeight="1" x14ac:dyDescent="0.25">
      <c r="D62" s="11" t="s">
        <v>75</v>
      </c>
      <c r="E62" s="134" t="str">
        <f>VLOOKUP(F62,'Activity List CSI'!$B$4:$D$146,3,0)</f>
        <v>03300-01</v>
      </c>
      <c r="F62" s="1" t="s">
        <v>76</v>
      </c>
      <c r="G62" s="1" t="str">
        <f>VLOOKUP($E62,'Activity List CSI'!$D$4:$J$146,G$1,0)</f>
        <v>03</v>
      </c>
      <c r="H62" s="1" t="str">
        <f>VLOOKUP($E62,'Activity List CSI'!$D$4:$J$146,H$1,0)</f>
        <v>ConcreteWork</v>
      </c>
      <c r="I62" s="1" t="str">
        <f>VLOOKUP(D62,'Activity List CSI'!$C$4:$H$146,6,0)</f>
        <v>03300</v>
      </c>
      <c r="J62" s="1" t="str">
        <f>VLOOKUP($E62,'Activity List CSI'!$D$4:$J$146,J$1,0)</f>
        <v>Cast-In-Place Concrete</v>
      </c>
      <c r="K62" s="1" t="s">
        <v>623</v>
      </c>
      <c r="L62" s="1">
        <v>205</v>
      </c>
      <c r="M62" s="1" t="str">
        <f t="shared" si="0"/>
        <v>03300205</v>
      </c>
      <c r="N62" s="12" t="str">
        <f t="shared" ref="N62:N97" si="4">M62</f>
        <v>03300205</v>
      </c>
    </row>
    <row r="63" spans="4:14" ht="23.25" customHeight="1" x14ac:dyDescent="0.25">
      <c r="D63" s="11" t="s">
        <v>75</v>
      </c>
      <c r="E63" s="134" t="str">
        <f>VLOOKUP(F63,'Activity List CSI'!$B$4:$D$146,3,0)</f>
        <v>03300-01</v>
      </c>
      <c r="F63" s="1" t="s">
        <v>76</v>
      </c>
      <c r="G63" s="1" t="str">
        <f>VLOOKUP($E63,'Activity List CSI'!$D$4:$J$146,G$1,0)</f>
        <v>03</v>
      </c>
      <c r="H63" s="1" t="str">
        <f>VLOOKUP($E63,'Activity List CSI'!$D$4:$J$146,H$1,0)</f>
        <v>ConcreteWork</v>
      </c>
      <c r="I63" s="1" t="str">
        <f>VLOOKUP(D63,'Activity List CSI'!$C$4:$H$146,6,0)</f>
        <v>03300</v>
      </c>
      <c r="J63" s="1" t="str">
        <f>VLOOKUP($E63,'Activity List CSI'!$D$4:$J$146,J$1,0)</f>
        <v>Cast-In-Place Concrete</v>
      </c>
      <c r="K63" s="1" t="s">
        <v>623</v>
      </c>
      <c r="L63" s="1">
        <v>205</v>
      </c>
      <c r="M63" s="1" t="str">
        <f t="shared" si="0"/>
        <v>03300205</v>
      </c>
      <c r="N63" s="12" t="str">
        <f t="shared" si="4"/>
        <v>03300205</v>
      </c>
    </row>
    <row r="64" spans="4:14" ht="23.25" customHeight="1" x14ac:dyDescent="0.25">
      <c r="D64" s="11" t="s">
        <v>77</v>
      </c>
      <c r="E64" s="134" t="str">
        <f>VLOOKUP(F64,'Activity List CSI'!$B$4:$D$146,3,0)</f>
        <v>03300-02</v>
      </c>
      <c r="F64" s="1" t="s">
        <v>78</v>
      </c>
      <c r="G64" s="1" t="str">
        <f>VLOOKUP($E64,'Activity List CSI'!$D$4:$J$146,G$1,0)</f>
        <v>03</v>
      </c>
      <c r="H64" s="1" t="str">
        <f>VLOOKUP($E64,'Activity List CSI'!$D$4:$J$146,H$1,0)</f>
        <v>ConcreteWork</v>
      </c>
      <c r="I64" s="1" t="str">
        <f>VLOOKUP(D64,'Activity List CSI'!$C$4:$H$146,6,0)</f>
        <v>03300</v>
      </c>
      <c r="J64" s="1" t="str">
        <f>VLOOKUP($E64,'Activity List CSI'!$D$4:$J$146,J$1,0)</f>
        <v>Cast-In-Place Concrete</v>
      </c>
      <c r="K64" s="1" t="s">
        <v>623</v>
      </c>
      <c r="L64" s="1">
        <v>205</v>
      </c>
      <c r="M64" s="1" t="str">
        <f t="shared" si="0"/>
        <v>03300205</v>
      </c>
      <c r="N64" s="12" t="str">
        <f t="shared" si="4"/>
        <v>03300205</v>
      </c>
    </row>
    <row r="65" spans="4:14" ht="23.25" customHeight="1" x14ac:dyDescent="0.25">
      <c r="D65" s="11" t="s">
        <v>77</v>
      </c>
      <c r="E65" s="134" t="str">
        <f>VLOOKUP(F65,'Activity List CSI'!$B$4:$D$146,3,0)</f>
        <v>03300-02</v>
      </c>
      <c r="F65" s="1" t="s">
        <v>78</v>
      </c>
      <c r="G65" s="1" t="str">
        <f>VLOOKUP($E65,'Activity List CSI'!$D$4:$J$146,G$1,0)</f>
        <v>03</v>
      </c>
      <c r="H65" s="1" t="str">
        <f>VLOOKUP($E65,'Activity List CSI'!$D$4:$J$146,H$1,0)</f>
        <v>ConcreteWork</v>
      </c>
      <c r="I65" s="1" t="str">
        <f>VLOOKUP(D65,'Activity List CSI'!$C$4:$H$146,6,0)</f>
        <v>03300</v>
      </c>
      <c r="J65" s="1" t="str">
        <f>VLOOKUP($E65,'Activity List CSI'!$D$4:$J$146,J$1,0)</f>
        <v>Cast-In-Place Concrete</v>
      </c>
      <c r="K65" s="1" t="s">
        <v>623</v>
      </c>
      <c r="L65" s="1">
        <v>205</v>
      </c>
      <c r="M65" s="1" t="str">
        <f t="shared" si="0"/>
        <v>03300205</v>
      </c>
      <c r="N65" s="12" t="str">
        <f t="shared" si="4"/>
        <v>03300205</v>
      </c>
    </row>
    <row r="66" spans="4:14" ht="23.25" customHeight="1" x14ac:dyDescent="0.25">
      <c r="D66" s="11" t="s">
        <v>79</v>
      </c>
      <c r="E66" s="134" t="str">
        <f>VLOOKUP(F66,'Activity List CSI'!$B$4:$D$146,3,0)</f>
        <v>03300-03</v>
      </c>
      <c r="F66" s="1" t="s">
        <v>80</v>
      </c>
      <c r="G66" s="1" t="str">
        <f>VLOOKUP($E66,'Activity List CSI'!$D$4:$J$146,G$1,0)</f>
        <v>03</v>
      </c>
      <c r="H66" s="1" t="str">
        <f>VLOOKUP($E66,'Activity List CSI'!$D$4:$J$146,H$1,0)</f>
        <v>ConcreteWork</v>
      </c>
      <c r="I66" s="1" t="str">
        <f>VLOOKUP(D66,'Activity List CSI'!$C$4:$H$146,6,0)</f>
        <v>03300</v>
      </c>
      <c r="J66" s="1" t="str">
        <f>VLOOKUP($E66,'Activity List CSI'!$D$4:$J$146,J$1,0)</f>
        <v>Cast-In-Place Concrete</v>
      </c>
      <c r="K66" s="1" t="s">
        <v>623</v>
      </c>
      <c r="L66" s="1">
        <v>205</v>
      </c>
      <c r="M66" s="1" t="str">
        <f t="shared" si="0"/>
        <v>03300205</v>
      </c>
      <c r="N66" s="12" t="str">
        <f t="shared" si="4"/>
        <v>03300205</v>
      </c>
    </row>
    <row r="67" spans="4:14" ht="23.25" customHeight="1" x14ac:dyDescent="0.25">
      <c r="D67" s="11" t="s">
        <v>79</v>
      </c>
      <c r="E67" s="134" t="str">
        <f>VLOOKUP(F67,'Activity List CSI'!$B$4:$D$146,3,0)</f>
        <v>03300-03</v>
      </c>
      <c r="F67" s="1" t="s">
        <v>80</v>
      </c>
      <c r="G67" s="1" t="str">
        <f>VLOOKUP($E67,'Activity List CSI'!$D$4:$J$146,G$1,0)</f>
        <v>03</v>
      </c>
      <c r="H67" s="1" t="str">
        <f>VLOOKUP($E67,'Activity List CSI'!$D$4:$J$146,H$1,0)</f>
        <v>ConcreteWork</v>
      </c>
      <c r="I67" s="1" t="str">
        <f>VLOOKUP(D67,'Activity List CSI'!$C$4:$H$146,6,0)</f>
        <v>03300</v>
      </c>
      <c r="J67" s="1" t="str">
        <f>VLOOKUP($E67,'Activity List CSI'!$D$4:$J$146,J$1,0)</f>
        <v>Cast-In-Place Concrete</v>
      </c>
      <c r="K67" s="1" t="s">
        <v>623</v>
      </c>
      <c r="L67" s="1">
        <v>205</v>
      </c>
      <c r="M67" s="1" t="str">
        <f t="shared" si="0"/>
        <v>03300205</v>
      </c>
      <c r="N67" s="12" t="str">
        <f t="shared" si="4"/>
        <v>03300205</v>
      </c>
    </row>
    <row r="68" spans="4:14" ht="23.25" customHeight="1" x14ac:dyDescent="0.25">
      <c r="D68" s="11" t="s">
        <v>81</v>
      </c>
      <c r="E68" s="134" t="str">
        <f>VLOOKUP(F68,'Activity List CSI'!$B$4:$D$146,3,0)</f>
        <v>03300-04</v>
      </c>
      <c r="F68" s="1" t="s">
        <v>82</v>
      </c>
      <c r="G68" s="1" t="str">
        <f>VLOOKUP($E68,'Activity List CSI'!$D$4:$J$146,G$1,0)</f>
        <v>03</v>
      </c>
      <c r="H68" s="1" t="str">
        <f>VLOOKUP($E68,'Activity List CSI'!$D$4:$J$146,H$1,0)</f>
        <v>ConcreteWork</v>
      </c>
      <c r="I68" s="1" t="str">
        <f>VLOOKUP(D68,'Activity List CSI'!$C$4:$H$146,6,0)</f>
        <v>03300</v>
      </c>
      <c r="J68" s="1" t="str">
        <f>VLOOKUP($E68,'Activity List CSI'!$D$4:$J$146,J$1,0)</f>
        <v>Cast-In-Place Concrete</v>
      </c>
      <c r="K68" s="1" t="s">
        <v>623</v>
      </c>
      <c r="L68" s="1">
        <v>205</v>
      </c>
      <c r="M68" s="1" t="str">
        <f t="shared" si="0"/>
        <v>03300205</v>
      </c>
      <c r="N68" s="12" t="str">
        <f t="shared" si="4"/>
        <v>03300205</v>
      </c>
    </row>
    <row r="69" spans="4:14" ht="23.25" customHeight="1" x14ac:dyDescent="0.25">
      <c r="D69" s="11" t="s">
        <v>81</v>
      </c>
      <c r="E69" s="134" t="str">
        <f>VLOOKUP(F69,'Activity List CSI'!$B$4:$D$146,3,0)</f>
        <v>03300-04</v>
      </c>
      <c r="F69" s="1" t="s">
        <v>82</v>
      </c>
      <c r="G69" s="1" t="str">
        <f>VLOOKUP($E69,'Activity List CSI'!$D$4:$J$146,G$1,0)</f>
        <v>03</v>
      </c>
      <c r="H69" s="1" t="str">
        <f>VLOOKUP($E69,'Activity List CSI'!$D$4:$J$146,H$1,0)</f>
        <v>ConcreteWork</v>
      </c>
      <c r="I69" s="1" t="str">
        <f>VLOOKUP(D69,'Activity List CSI'!$C$4:$H$146,6,0)</f>
        <v>03300</v>
      </c>
      <c r="J69" s="1" t="str">
        <f>VLOOKUP($E69,'Activity List CSI'!$D$4:$J$146,J$1,0)</f>
        <v>Cast-In-Place Concrete</v>
      </c>
      <c r="K69" s="1" t="s">
        <v>623</v>
      </c>
      <c r="L69" s="1">
        <v>205</v>
      </c>
      <c r="M69" s="1" t="str">
        <f t="shared" ref="M69:M132" si="5">I69&amp;L69</f>
        <v>03300205</v>
      </c>
      <c r="N69" s="12" t="str">
        <f t="shared" si="4"/>
        <v>03300205</v>
      </c>
    </row>
    <row r="70" spans="4:14" ht="23.25" customHeight="1" x14ac:dyDescent="0.25">
      <c r="D70" s="11" t="s">
        <v>83</v>
      </c>
      <c r="E70" s="134" t="str">
        <f>VLOOKUP(F70,'Activity List CSI'!$B$4:$D$146,3,0)</f>
        <v>03300-05</v>
      </c>
      <c r="F70" s="1" t="s">
        <v>84</v>
      </c>
      <c r="G70" s="1" t="str">
        <f>VLOOKUP($E70,'Activity List CSI'!$D$4:$J$146,G$1,0)</f>
        <v>03</v>
      </c>
      <c r="H70" s="1" t="str">
        <f>VLOOKUP($E70,'Activity List CSI'!$D$4:$J$146,H$1,0)</f>
        <v>ConcreteWork</v>
      </c>
      <c r="I70" s="1" t="str">
        <f>VLOOKUP(D70,'Activity List CSI'!$C$4:$H$146,6,0)</f>
        <v>03300</v>
      </c>
      <c r="J70" s="1" t="str">
        <f>VLOOKUP($E70,'Activity List CSI'!$D$4:$J$146,J$1,0)</f>
        <v>Cast-In-Place Concrete</v>
      </c>
      <c r="K70" s="1" t="s">
        <v>623</v>
      </c>
      <c r="L70" s="1">
        <v>205</v>
      </c>
      <c r="M70" s="1" t="str">
        <f t="shared" si="5"/>
        <v>03300205</v>
      </c>
      <c r="N70" s="12" t="str">
        <f t="shared" si="4"/>
        <v>03300205</v>
      </c>
    </row>
    <row r="71" spans="4:14" ht="23.25" customHeight="1" x14ac:dyDescent="0.25">
      <c r="D71" s="11" t="s">
        <v>83</v>
      </c>
      <c r="E71" s="134" t="str">
        <f>VLOOKUP(F71,'Activity List CSI'!$B$4:$D$146,3,0)</f>
        <v>03300-05</v>
      </c>
      <c r="F71" s="1" t="s">
        <v>84</v>
      </c>
      <c r="G71" s="1" t="str">
        <f>VLOOKUP($E71,'Activity List CSI'!$D$4:$J$146,G$1,0)</f>
        <v>03</v>
      </c>
      <c r="H71" s="1" t="str">
        <f>VLOOKUP($E71,'Activity List CSI'!$D$4:$J$146,H$1,0)</f>
        <v>ConcreteWork</v>
      </c>
      <c r="I71" s="1" t="str">
        <f>VLOOKUP(D71,'Activity List CSI'!$C$4:$H$146,6,0)</f>
        <v>03300</v>
      </c>
      <c r="J71" s="1" t="str">
        <f>VLOOKUP($E71,'Activity List CSI'!$D$4:$J$146,J$1,0)</f>
        <v>Cast-In-Place Concrete</v>
      </c>
      <c r="K71" s="1" t="s">
        <v>623</v>
      </c>
      <c r="L71" s="1">
        <v>205</v>
      </c>
      <c r="M71" s="1" t="str">
        <f t="shared" si="5"/>
        <v>03300205</v>
      </c>
      <c r="N71" s="12" t="str">
        <f t="shared" si="4"/>
        <v>03300205</v>
      </c>
    </row>
    <row r="72" spans="4:14" ht="23.25" customHeight="1" x14ac:dyDescent="0.25">
      <c r="D72" s="11" t="s">
        <v>85</v>
      </c>
      <c r="E72" s="134" t="str">
        <f>VLOOKUP(F72,'Activity List CSI'!$B$4:$D$146,3,0)</f>
        <v>03300-06</v>
      </c>
      <c r="F72" s="1" t="s">
        <v>86</v>
      </c>
      <c r="G72" s="1" t="str">
        <f>VLOOKUP($E72,'Activity List CSI'!$D$4:$J$146,G$1,0)</f>
        <v>03</v>
      </c>
      <c r="H72" s="1" t="str">
        <f>VLOOKUP($E72,'Activity List CSI'!$D$4:$J$146,H$1,0)</f>
        <v>ConcreteWork</v>
      </c>
      <c r="I72" s="1" t="str">
        <f>VLOOKUP(D72,'Activity List CSI'!$C$4:$H$146,6,0)</f>
        <v>03300</v>
      </c>
      <c r="J72" s="1" t="str">
        <f>VLOOKUP($E72,'Activity List CSI'!$D$4:$J$146,J$1,0)</f>
        <v>Cast-In-Place Concrete</v>
      </c>
      <c r="K72" s="1" t="s">
        <v>623</v>
      </c>
      <c r="L72" s="1">
        <v>205</v>
      </c>
      <c r="M72" s="1" t="str">
        <f t="shared" si="5"/>
        <v>03300205</v>
      </c>
      <c r="N72" s="12" t="str">
        <f t="shared" si="4"/>
        <v>03300205</v>
      </c>
    </row>
    <row r="73" spans="4:14" ht="23.25" customHeight="1" x14ac:dyDescent="0.25">
      <c r="D73" s="11" t="s">
        <v>85</v>
      </c>
      <c r="E73" s="134" t="str">
        <f>VLOOKUP(F73,'Activity List CSI'!$B$4:$D$146,3,0)</f>
        <v>03300-06</v>
      </c>
      <c r="F73" s="1" t="s">
        <v>86</v>
      </c>
      <c r="G73" s="1" t="str">
        <f>VLOOKUP($E73,'Activity List CSI'!$D$4:$J$146,G$1,0)</f>
        <v>03</v>
      </c>
      <c r="H73" s="1" t="str">
        <f>VLOOKUP($E73,'Activity List CSI'!$D$4:$J$146,H$1,0)</f>
        <v>ConcreteWork</v>
      </c>
      <c r="I73" s="1" t="str">
        <f>VLOOKUP(D73,'Activity List CSI'!$C$4:$H$146,6,0)</f>
        <v>03300</v>
      </c>
      <c r="J73" s="1" t="str">
        <f>VLOOKUP($E73,'Activity List CSI'!$D$4:$J$146,J$1,0)</f>
        <v>Cast-In-Place Concrete</v>
      </c>
      <c r="K73" s="1" t="s">
        <v>623</v>
      </c>
      <c r="L73" s="1">
        <v>205</v>
      </c>
      <c r="M73" s="1" t="str">
        <f t="shared" si="5"/>
        <v>03300205</v>
      </c>
      <c r="N73" s="12" t="str">
        <f t="shared" si="4"/>
        <v>03300205</v>
      </c>
    </row>
    <row r="74" spans="4:14" ht="23.25" customHeight="1" x14ac:dyDescent="0.25">
      <c r="D74" s="11" t="s">
        <v>87</v>
      </c>
      <c r="E74" s="134" t="str">
        <f>VLOOKUP(F74,'Activity List CSI'!$B$4:$D$146,3,0)</f>
        <v>03300-07</v>
      </c>
      <c r="F74" s="1" t="s">
        <v>88</v>
      </c>
      <c r="G74" s="1" t="str">
        <f>VLOOKUP($E74,'Activity List CSI'!$D$4:$J$146,G$1,0)</f>
        <v>03</v>
      </c>
      <c r="H74" s="1" t="str">
        <f>VLOOKUP($E74,'Activity List CSI'!$D$4:$J$146,H$1,0)</f>
        <v>ConcreteWork</v>
      </c>
      <c r="I74" s="1" t="str">
        <f>VLOOKUP(D74,'Activity List CSI'!$C$4:$H$146,6,0)</f>
        <v>03300</v>
      </c>
      <c r="J74" s="1" t="str">
        <f>VLOOKUP($E74,'Activity List CSI'!$D$4:$J$146,J$1,0)</f>
        <v>Cast-In-Place Concrete</v>
      </c>
      <c r="K74" s="1" t="s">
        <v>623</v>
      </c>
      <c r="L74" s="1">
        <v>205</v>
      </c>
      <c r="M74" s="1" t="str">
        <f t="shared" si="5"/>
        <v>03300205</v>
      </c>
      <c r="N74" s="12" t="str">
        <f t="shared" si="4"/>
        <v>03300205</v>
      </c>
    </row>
    <row r="75" spans="4:14" ht="23.25" customHeight="1" x14ac:dyDescent="0.25">
      <c r="D75" s="11" t="s">
        <v>87</v>
      </c>
      <c r="E75" s="134" t="str">
        <f>VLOOKUP(F75,'Activity List CSI'!$B$4:$D$146,3,0)</f>
        <v>03300-07</v>
      </c>
      <c r="F75" s="1" t="s">
        <v>88</v>
      </c>
      <c r="G75" s="1" t="str">
        <f>VLOOKUP($E75,'Activity List CSI'!$D$4:$J$146,G$1,0)</f>
        <v>03</v>
      </c>
      <c r="H75" s="1" t="str">
        <f>VLOOKUP($E75,'Activity List CSI'!$D$4:$J$146,H$1,0)</f>
        <v>ConcreteWork</v>
      </c>
      <c r="I75" s="1" t="str">
        <f>VLOOKUP(D75,'Activity List CSI'!$C$4:$H$146,6,0)</f>
        <v>03300</v>
      </c>
      <c r="J75" s="1" t="str">
        <f>VLOOKUP($E75,'Activity List CSI'!$D$4:$J$146,J$1,0)</f>
        <v>Cast-In-Place Concrete</v>
      </c>
      <c r="K75" s="1" t="s">
        <v>623</v>
      </c>
      <c r="L75" s="1">
        <v>205</v>
      </c>
      <c r="M75" s="1" t="str">
        <f t="shared" si="5"/>
        <v>03300205</v>
      </c>
      <c r="N75" s="12" t="str">
        <f t="shared" si="4"/>
        <v>03300205</v>
      </c>
    </row>
    <row r="76" spans="4:14" ht="23.25" customHeight="1" x14ac:dyDescent="0.25">
      <c r="D76" s="11" t="s">
        <v>89</v>
      </c>
      <c r="E76" s="134" t="str">
        <f>VLOOKUP(F76,'Activity List CSI'!$B$4:$D$146,3,0)</f>
        <v>03300-08</v>
      </c>
      <c r="F76" s="1" t="s">
        <v>90</v>
      </c>
      <c r="G76" s="1" t="str">
        <f>VLOOKUP($E76,'Activity List CSI'!$D$4:$J$146,G$1,0)</f>
        <v>03</v>
      </c>
      <c r="H76" s="1" t="str">
        <f>VLOOKUP($E76,'Activity List CSI'!$D$4:$J$146,H$1,0)</f>
        <v>ConcreteWork</v>
      </c>
      <c r="I76" s="1" t="str">
        <f>VLOOKUP(D76,'Activity List CSI'!$C$4:$H$146,6,0)</f>
        <v>03300</v>
      </c>
      <c r="J76" s="1" t="str">
        <f>VLOOKUP($E76,'Activity List CSI'!$D$4:$J$146,J$1,0)</f>
        <v>Cast-In-Place Concrete</v>
      </c>
      <c r="K76" s="1" t="s">
        <v>623</v>
      </c>
      <c r="L76" s="1">
        <v>205</v>
      </c>
      <c r="M76" s="1" t="str">
        <f t="shared" si="5"/>
        <v>03300205</v>
      </c>
      <c r="N76" s="12" t="str">
        <f t="shared" si="4"/>
        <v>03300205</v>
      </c>
    </row>
    <row r="77" spans="4:14" ht="23.25" customHeight="1" x14ac:dyDescent="0.25">
      <c r="D77" s="11" t="s">
        <v>89</v>
      </c>
      <c r="E77" s="134" t="str">
        <f>VLOOKUP(F77,'Activity List CSI'!$B$4:$D$146,3,0)</f>
        <v>03300-08</v>
      </c>
      <c r="F77" s="1" t="s">
        <v>90</v>
      </c>
      <c r="G77" s="1" t="str">
        <f>VLOOKUP($E77,'Activity List CSI'!$D$4:$J$146,G$1,0)</f>
        <v>03</v>
      </c>
      <c r="H77" s="1" t="str">
        <f>VLOOKUP($E77,'Activity List CSI'!$D$4:$J$146,H$1,0)</f>
        <v>ConcreteWork</v>
      </c>
      <c r="I77" s="1" t="str">
        <f>VLOOKUP(D77,'Activity List CSI'!$C$4:$H$146,6,0)</f>
        <v>03300</v>
      </c>
      <c r="J77" s="1" t="str">
        <f>VLOOKUP($E77,'Activity List CSI'!$D$4:$J$146,J$1,0)</f>
        <v>Cast-In-Place Concrete</v>
      </c>
      <c r="K77" s="1" t="s">
        <v>623</v>
      </c>
      <c r="L77" s="1">
        <v>205</v>
      </c>
      <c r="M77" s="1" t="str">
        <f t="shared" si="5"/>
        <v>03300205</v>
      </c>
      <c r="N77" s="12" t="str">
        <f t="shared" si="4"/>
        <v>03300205</v>
      </c>
    </row>
    <row r="78" spans="4:14" ht="23.25" customHeight="1" x14ac:dyDescent="0.25">
      <c r="D78" s="11" t="s">
        <v>91</v>
      </c>
      <c r="E78" s="134" t="str">
        <f>VLOOKUP(F78,'Activity List CSI'!$B$4:$D$146,3,0)</f>
        <v>03300-09</v>
      </c>
      <c r="F78" s="1" t="s">
        <v>92</v>
      </c>
      <c r="G78" s="1" t="str">
        <f>VLOOKUP($E78,'Activity List CSI'!$D$4:$J$146,G$1,0)</f>
        <v>03</v>
      </c>
      <c r="H78" s="1" t="str">
        <f>VLOOKUP($E78,'Activity List CSI'!$D$4:$J$146,H$1,0)</f>
        <v>ConcreteWork</v>
      </c>
      <c r="I78" s="1" t="str">
        <f>VLOOKUP(D78,'Activity List CSI'!$C$4:$H$146,6,0)</f>
        <v>03300</v>
      </c>
      <c r="J78" s="1" t="str">
        <f>VLOOKUP($E78,'Activity List CSI'!$D$4:$J$146,J$1,0)</f>
        <v>Cast-In-Place Concrete</v>
      </c>
      <c r="K78" s="1" t="s">
        <v>623</v>
      </c>
      <c r="L78" s="1">
        <v>205</v>
      </c>
      <c r="M78" s="1" t="str">
        <f t="shared" si="5"/>
        <v>03300205</v>
      </c>
      <c r="N78" s="12" t="str">
        <f t="shared" si="4"/>
        <v>03300205</v>
      </c>
    </row>
    <row r="79" spans="4:14" ht="23.25" customHeight="1" x14ac:dyDescent="0.25">
      <c r="D79" s="11" t="s">
        <v>91</v>
      </c>
      <c r="E79" s="134" t="str">
        <f>VLOOKUP(F79,'Activity List CSI'!$B$4:$D$146,3,0)</f>
        <v>03300-09</v>
      </c>
      <c r="F79" s="1" t="s">
        <v>92</v>
      </c>
      <c r="G79" s="1" t="str">
        <f>VLOOKUP($E79,'Activity List CSI'!$D$4:$J$146,G$1,0)</f>
        <v>03</v>
      </c>
      <c r="H79" s="1" t="str">
        <f>VLOOKUP($E79,'Activity List CSI'!$D$4:$J$146,H$1,0)</f>
        <v>ConcreteWork</v>
      </c>
      <c r="I79" s="1" t="str">
        <f>VLOOKUP(D79,'Activity List CSI'!$C$4:$H$146,6,0)</f>
        <v>03300</v>
      </c>
      <c r="J79" s="1" t="str">
        <f>VLOOKUP($E79,'Activity List CSI'!$D$4:$J$146,J$1,0)</f>
        <v>Cast-In-Place Concrete</v>
      </c>
      <c r="K79" s="1" t="s">
        <v>623</v>
      </c>
      <c r="L79" s="1">
        <v>205</v>
      </c>
      <c r="M79" s="1" t="str">
        <f t="shared" si="5"/>
        <v>03300205</v>
      </c>
      <c r="N79" s="12" t="str">
        <f t="shared" si="4"/>
        <v>03300205</v>
      </c>
    </row>
    <row r="80" spans="4:14" ht="23.25" customHeight="1" x14ac:dyDescent="0.25">
      <c r="D80" s="11" t="s">
        <v>93</v>
      </c>
      <c r="E80" s="134" t="str">
        <f>VLOOKUP(F80,'Activity List CSI'!$B$4:$D$146,3,0)</f>
        <v>03300-10</v>
      </c>
      <c r="F80" s="1" t="s">
        <v>94</v>
      </c>
      <c r="G80" s="1" t="str">
        <f>VLOOKUP($E80,'Activity List CSI'!$D$4:$J$146,G$1,0)</f>
        <v>03</v>
      </c>
      <c r="H80" s="1" t="str">
        <f>VLOOKUP($E80,'Activity List CSI'!$D$4:$J$146,H$1,0)</f>
        <v>ConcreteWork</v>
      </c>
      <c r="I80" s="1" t="str">
        <f>VLOOKUP(D80,'Activity List CSI'!$C$4:$H$146,6,0)</f>
        <v>03300</v>
      </c>
      <c r="J80" s="1" t="str">
        <f>VLOOKUP($E80,'Activity List CSI'!$D$4:$J$146,J$1,0)</f>
        <v>Cast-In-Place Concrete</v>
      </c>
      <c r="K80" s="1" t="s">
        <v>623</v>
      </c>
      <c r="L80" s="1">
        <v>205</v>
      </c>
      <c r="M80" s="1" t="str">
        <f t="shared" si="5"/>
        <v>03300205</v>
      </c>
      <c r="N80" s="12" t="str">
        <f t="shared" si="4"/>
        <v>03300205</v>
      </c>
    </row>
    <row r="81" spans="4:14" ht="23.25" customHeight="1" x14ac:dyDescent="0.25">
      <c r="D81" s="11" t="s">
        <v>93</v>
      </c>
      <c r="E81" s="134" t="str">
        <f>VLOOKUP(F81,'Activity List CSI'!$B$4:$D$146,3,0)</f>
        <v>03300-10</v>
      </c>
      <c r="F81" s="1" t="s">
        <v>94</v>
      </c>
      <c r="G81" s="1" t="str">
        <f>VLOOKUP($E81,'Activity List CSI'!$D$4:$J$146,G$1,0)</f>
        <v>03</v>
      </c>
      <c r="H81" s="1" t="str">
        <f>VLOOKUP($E81,'Activity List CSI'!$D$4:$J$146,H$1,0)</f>
        <v>ConcreteWork</v>
      </c>
      <c r="I81" s="1" t="str">
        <f>VLOOKUP(D81,'Activity List CSI'!$C$4:$H$146,6,0)</f>
        <v>03300</v>
      </c>
      <c r="J81" s="1" t="str">
        <f>VLOOKUP($E81,'Activity List CSI'!$D$4:$J$146,J$1,0)</f>
        <v>Cast-In-Place Concrete</v>
      </c>
      <c r="K81" s="1" t="s">
        <v>623</v>
      </c>
      <c r="L81" s="1">
        <v>205</v>
      </c>
      <c r="M81" s="1" t="str">
        <f t="shared" si="5"/>
        <v>03300205</v>
      </c>
      <c r="N81" s="12" t="str">
        <f t="shared" si="4"/>
        <v>03300205</v>
      </c>
    </row>
    <row r="82" spans="4:14" ht="23.25" customHeight="1" x14ac:dyDescent="0.25">
      <c r="D82" s="11" t="s">
        <v>95</v>
      </c>
      <c r="E82" s="134" t="str">
        <f>VLOOKUP(F82,'Activity List CSI'!$B$4:$D$146,3,0)</f>
        <v>03300-11</v>
      </c>
      <c r="F82" s="1" t="s">
        <v>96</v>
      </c>
      <c r="G82" s="1" t="str">
        <f>VLOOKUP($E82,'Activity List CSI'!$D$4:$J$146,G$1,0)</f>
        <v>03</v>
      </c>
      <c r="H82" s="1" t="str">
        <f>VLOOKUP($E82,'Activity List CSI'!$D$4:$J$146,H$1,0)</f>
        <v>ConcreteWork</v>
      </c>
      <c r="I82" s="1" t="str">
        <f>VLOOKUP(D82,'Activity List CSI'!$C$4:$H$146,6,0)</f>
        <v>03300</v>
      </c>
      <c r="J82" s="1" t="str">
        <f>VLOOKUP($E82,'Activity List CSI'!$D$4:$J$146,J$1,0)</f>
        <v>Cast-In-Place Concrete</v>
      </c>
      <c r="K82" s="1" t="s">
        <v>623</v>
      </c>
      <c r="L82" s="1">
        <v>205</v>
      </c>
      <c r="M82" s="1" t="str">
        <f t="shared" si="5"/>
        <v>03300205</v>
      </c>
      <c r="N82" s="12" t="str">
        <f t="shared" si="4"/>
        <v>03300205</v>
      </c>
    </row>
    <row r="83" spans="4:14" ht="23.25" customHeight="1" x14ac:dyDescent="0.25">
      <c r="D83" s="11" t="s">
        <v>95</v>
      </c>
      <c r="E83" s="134" t="str">
        <f>VLOOKUP(F83,'Activity List CSI'!$B$4:$D$146,3,0)</f>
        <v>03300-11</v>
      </c>
      <c r="F83" s="1" t="s">
        <v>96</v>
      </c>
      <c r="G83" s="1" t="str">
        <f>VLOOKUP($E83,'Activity List CSI'!$D$4:$J$146,G$1,0)</f>
        <v>03</v>
      </c>
      <c r="H83" s="1" t="str">
        <f>VLOOKUP($E83,'Activity List CSI'!$D$4:$J$146,H$1,0)</f>
        <v>ConcreteWork</v>
      </c>
      <c r="I83" s="1" t="str">
        <f>VLOOKUP(D83,'Activity List CSI'!$C$4:$H$146,6,0)</f>
        <v>03300</v>
      </c>
      <c r="J83" s="1" t="str">
        <f>VLOOKUP($E83,'Activity List CSI'!$D$4:$J$146,J$1,0)</f>
        <v>Cast-In-Place Concrete</v>
      </c>
      <c r="K83" s="1" t="s">
        <v>623</v>
      </c>
      <c r="L83" s="1">
        <v>205</v>
      </c>
      <c r="M83" s="1" t="str">
        <f t="shared" si="5"/>
        <v>03300205</v>
      </c>
      <c r="N83" s="12" t="str">
        <f t="shared" si="4"/>
        <v>03300205</v>
      </c>
    </row>
    <row r="84" spans="4:14" ht="23.25" customHeight="1" x14ac:dyDescent="0.25">
      <c r="D84" s="11" t="s">
        <v>97</v>
      </c>
      <c r="E84" s="134" t="str">
        <f>VLOOKUP(F84,'Activity List CSI'!$B$4:$D$146,3,0)</f>
        <v>03300-12</v>
      </c>
      <c r="F84" s="1" t="s">
        <v>98</v>
      </c>
      <c r="G84" s="1" t="str">
        <f>VLOOKUP($E84,'Activity List CSI'!$D$4:$J$146,G$1,0)</f>
        <v>03</v>
      </c>
      <c r="H84" s="1" t="str">
        <f>VLOOKUP($E84,'Activity List CSI'!$D$4:$J$146,H$1,0)</f>
        <v>ConcreteWork</v>
      </c>
      <c r="I84" s="1" t="str">
        <f>VLOOKUP(D84,'Activity List CSI'!$C$4:$H$146,6,0)</f>
        <v>03300</v>
      </c>
      <c r="J84" s="1" t="str">
        <f>VLOOKUP($E84,'Activity List CSI'!$D$4:$J$146,J$1,0)</f>
        <v>Cast-In-Place Concrete</v>
      </c>
      <c r="K84" s="1" t="s">
        <v>623</v>
      </c>
      <c r="L84" s="1">
        <v>205</v>
      </c>
      <c r="M84" s="1" t="str">
        <f t="shared" si="5"/>
        <v>03300205</v>
      </c>
      <c r="N84" s="12" t="str">
        <f t="shared" si="4"/>
        <v>03300205</v>
      </c>
    </row>
    <row r="85" spans="4:14" ht="23.25" customHeight="1" x14ac:dyDescent="0.25">
      <c r="D85" s="11" t="s">
        <v>97</v>
      </c>
      <c r="E85" s="134" t="str">
        <f>VLOOKUP(F85,'Activity List CSI'!$B$4:$D$146,3,0)</f>
        <v>03300-12</v>
      </c>
      <c r="F85" s="1" t="s">
        <v>98</v>
      </c>
      <c r="G85" s="1" t="str">
        <f>VLOOKUP($E85,'Activity List CSI'!$D$4:$J$146,G$1,0)</f>
        <v>03</v>
      </c>
      <c r="H85" s="1" t="str">
        <f>VLOOKUP($E85,'Activity List CSI'!$D$4:$J$146,H$1,0)</f>
        <v>ConcreteWork</v>
      </c>
      <c r="I85" s="1" t="str">
        <f>VLOOKUP(D85,'Activity List CSI'!$C$4:$H$146,6,0)</f>
        <v>03300</v>
      </c>
      <c r="J85" s="1" t="str">
        <f>VLOOKUP($E85,'Activity List CSI'!$D$4:$J$146,J$1,0)</f>
        <v>Cast-In-Place Concrete</v>
      </c>
      <c r="K85" s="1" t="s">
        <v>623</v>
      </c>
      <c r="L85" s="1">
        <v>205</v>
      </c>
      <c r="M85" s="1" t="str">
        <f t="shared" si="5"/>
        <v>03300205</v>
      </c>
      <c r="N85" s="12" t="str">
        <f t="shared" si="4"/>
        <v>03300205</v>
      </c>
    </row>
    <row r="86" spans="4:14" ht="23.25" customHeight="1" x14ac:dyDescent="0.25">
      <c r="D86" s="11" t="s">
        <v>99</v>
      </c>
      <c r="E86" s="134" t="str">
        <f>VLOOKUP(F86,'Activity List CSI'!$B$4:$D$146,3,0)</f>
        <v>03400-01</v>
      </c>
      <c r="F86" s="1" t="s">
        <v>100</v>
      </c>
      <c r="G86" s="1" t="str">
        <f>VLOOKUP($E86,'Activity List CSI'!$D$4:$J$146,G$1,0)</f>
        <v>03</v>
      </c>
      <c r="H86" s="1" t="str">
        <f>VLOOKUP($E86,'Activity List CSI'!$D$4:$J$146,H$1,0)</f>
        <v>ConcreteWork</v>
      </c>
      <c r="I86" s="1" t="str">
        <f>VLOOKUP(D86,'Activity List CSI'!$C$4:$H$146,6,0)</f>
        <v>03400</v>
      </c>
      <c r="J86" s="1" t="str">
        <f>VLOOKUP($E86,'Activity List CSI'!$D$4:$J$146,J$1,0)</f>
        <v>Precast Concrete</v>
      </c>
      <c r="K86" s="1" t="s">
        <v>624</v>
      </c>
      <c r="L86" s="1">
        <v>205</v>
      </c>
      <c r="M86" s="1" t="str">
        <f t="shared" si="5"/>
        <v>03400205</v>
      </c>
      <c r="N86" s="12" t="str">
        <f t="shared" si="4"/>
        <v>03400205</v>
      </c>
    </row>
    <row r="87" spans="4:14" ht="23.25" customHeight="1" x14ac:dyDescent="0.25">
      <c r="D87" s="11" t="s">
        <v>99</v>
      </c>
      <c r="E87" s="134" t="str">
        <f>VLOOKUP(F87,'Activity List CSI'!$B$4:$D$146,3,0)</f>
        <v>03400-01</v>
      </c>
      <c r="F87" s="1" t="s">
        <v>100</v>
      </c>
      <c r="G87" s="1" t="str">
        <f>VLOOKUP($E87,'Activity List CSI'!$D$4:$J$146,G$1,0)</f>
        <v>03</v>
      </c>
      <c r="H87" s="1" t="str">
        <f>VLOOKUP($E87,'Activity List CSI'!$D$4:$J$146,H$1,0)</f>
        <v>ConcreteWork</v>
      </c>
      <c r="I87" s="1" t="str">
        <f>VLOOKUP(D87,'Activity List CSI'!$C$4:$H$146,6,0)</f>
        <v>03400</v>
      </c>
      <c r="J87" s="1" t="str">
        <f>VLOOKUP($E87,'Activity List CSI'!$D$4:$J$146,J$1,0)</f>
        <v>Precast Concrete</v>
      </c>
      <c r="K87" s="1" t="s">
        <v>624</v>
      </c>
      <c r="L87" s="1">
        <v>205</v>
      </c>
      <c r="M87" s="1" t="str">
        <f t="shared" si="5"/>
        <v>03400205</v>
      </c>
      <c r="N87" s="12" t="str">
        <f t="shared" si="4"/>
        <v>03400205</v>
      </c>
    </row>
    <row r="88" spans="4:14" ht="23.25" customHeight="1" x14ac:dyDescent="0.25">
      <c r="D88" s="11" t="s">
        <v>101</v>
      </c>
      <c r="E88" s="134" t="str">
        <f>VLOOKUP(F88,'Activity List CSI'!$B$4:$D$146,3,0)</f>
        <v>03400-02</v>
      </c>
      <c r="F88" s="1" t="s">
        <v>435</v>
      </c>
      <c r="G88" s="1" t="str">
        <f>VLOOKUP($E88,'Activity List CSI'!$D$4:$J$146,G$1,0)</f>
        <v>03</v>
      </c>
      <c r="H88" s="1" t="str">
        <f>VLOOKUP($E88,'Activity List CSI'!$D$4:$J$146,H$1,0)</f>
        <v>ConcreteWork</v>
      </c>
      <c r="I88" s="1" t="str">
        <f>VLOOKUP(D88,'Activity List CSI'!$C$4:$H$146,6,0)</f>
        <v>03400</v>
      </c>
      <c r="J88" s="1" t="str">
        <f>VLOOKUP($E88,'Activity List CSI'!$D$4:$J$146,J$1,0)</f>
        <v>Precast Concrete</v>
      </c>
      <c r="K88" s="1" t="s">
        <v>625</v>
      </c>
      <c r="L88" s="1">
        <v>210</v>
      </c>
      <c r="M88" s="1" t="str">
        <f t="shared" si="5"/>
        <v>03400210</v>
      </c>
      <c r="N88" s="12" t="str">
        <f t="shared" si="4"/>
        <v>03400210</v>
      </c>
    </row>
    <row r="89" spans="4:14" ht="23.25" customHeight="1" x14ac:dyDescent="0.25">
      <c r="D89" s="11" t="s">
        <v>101</v>
      </c>
      <c r="E89" s="134" t="str">
        <f>VLOOKUP(F89,'Activity List CSI'!$B$4:$D$146,3,0)</f>
        <v>03400-02</v>
      </c>
      <c r="F89" s="1" t="s">
        <v>435</v>
      </c>
      <c r="G89" s="1" t="str">
        <f>VLOOKUP($E89,'Activity List CSI'!$D$4:$J$146,G$1,0)</f>
        <v>03</v>
      </c>
      <c r="H89" s="1" t="str">
        <f>VLOOKUP($E89,'Activity List CSI'!$D$4:$J$146,H$1,0)</f>
        <v>ConcreteWork</v>
      </c>
      <c r="I89" s="1" t="str">
        <f>VLOOKUP(D89,'Activity List CSI'!$C$4:$H$146,6,0)</f>
        <v>03400</v>
      </c>
      <c r="J89" s="1" t="str">
        <f>VLOOKUP($E89,'Activity List CSI'!$D$4:$J$146,J$1,0)</f>
        <v>Precast Concrete</v>
      </c>
      <c r="K89" s="1" t="s">
        <v>625</v>
      </c>
      <c r="L89" s="1">
        <v>210</v>
      </c>
      <c r="M89" s="1" t="str">
        <f t="shared" si="5"/>
        <v>03400210</v>
      </c>
      <c r="N89" s="12" t="str">
        <f t="shared" si="4"/>
        <v>03400210</v>
      </c>
    </row>
    <row r="90" spans="4:14" ht="23.25" customHeight="1" x14ac:dyDescent="0.25">
      <c r="D90" s="11" t="s">
        <v>102</v>
      </c>
      <c r="E90" s="134" t="str">
        <f>VLOOKUP(F90,'Activity List CSI'!$B$4:$D$146,3,0)</f>
        <v>03300-13</v>
      </c>
      <c r="F90" s="1" t="s">
        <v>103</v>
      </c>
      <c r="G90" s="1" t="str">
        <f>VLOOKUP($E90,'Activity List CSI'!$D$4:$J$146,G$1,0)</f>
        <v>03</v>
      </c>
      <c r="H90" s="1" t="str">
        <f>VLOOKUP($E90,'Activity List CSI'!$D$4:$J$146,H$1,0)</f>
        <v>ConcreteWork</v>
      </c>
      <c r="I90" s="1" t="str">
        <f>VLOOKUP(D90,'Activity List CSI'!$C$4:$H$146,6,0)</f>
        <v>03300</v>
      </c>
      <c r="J90" s="1" t="str">
        <f>VLOOKUP($E90,'Activity List CSI'!$D$4:$J$146,J$1,0)</f>
        <v>Cast-In-Place Concrete</v>
      </c>
      <c r="K90" s="1" t="s">
        <v>623</v>
      </c>
      <c r="L90" s="1">
        <v>205</v>
      </c>
      <c r="M90" s="1" t="str">
        <f t="shared" si="5"/>
        <v>03300205</v>
      </c>
      <c r="N90" s="12" t="str">
        <f t="shared" si="4"/>
        <v>03300205</v>
      </c>
    </row>
    <row r="91" spans="4:14" ht="23.25" customHeight="1" x14ac:dyDescent="0.25">
      <c r="D91" s="11" t="s">
        <v>102</v>
      </c>
      <c r="E91" s="134" t="str">
        <f>VLOOKUP(F91,'Activity List CSI'!$B$4:$D$146,3,0)</f>
        <v>03300-13</v>
      </c>
      <c r="F91" s="1" t="s">
        <v>103</v>
      </c>
      <c r="G91" s="1" t="str">
        <f>VLOOKUP($E91,'Activity List CSI'!$D$4:$J$146,G$1,0)</f>
        <v>03</v>
      </c>
      <c r="H91" s="1" t="str">
        <f>VLOOKUP($E91,'Activity List CSI'!$D$4:$J$146,H$1,0)</f>
        <v>ConcreteWork</v>
      </c>
      <c r="I91" s="1" t="str">
        <f>VLOOKUP(D91,'Activity List CSI'!$C$4:$H$146,6,0)</f>
        <v>03300</v>
      </c>
      <c r="J91" s="1" t="str">
        <f>VLOOKUP($E91,'Activity List CSI'!$D$4:$J$146,J$1,0)</f>
        <v>Cast-In-Place Concrete</v>
      </c>
      <c r="K91" s="1" t="s">
        <v>623</v>
      </c>
      <c r="L91" s="1">
        <v>205</v>
      </c>
      <c r="M91" s="1" t="str">
        <f t="shared" si="5"/>
        <v>03300205</v>
      </c>
      <c r="N91" s="12" t="str">
        <f t="shared" si="4"/>
        <v>03300205</v>
      </c>
    </row>
    <row r="92" spans="4:14" ht="23.25" customHeight="1" x14ac:dyDescent="0.25">
      <c r="D92" s="11" t="s">
        <v>228</v>
      </c>
      <c r="E92" s="134" t="str">
        <f>VLOOKUP(F92,'Activity List CSI'!$B$4:$D$146,3,0)</f>
        <v>03300-14</v>
      </c>
      <c r="F92" s="1" t="s">
        <v>437</v>
      </c>
      <c r="G92" s="1" t="str">
        <f>VLOOKUP($E92,'Activity List CSI'!$D$4:$J$146,G$1,0)</f>
        <v>03</v>
      </c>
      <c r="H92" s="1" t="str">
        <f>VLOOKUP($E92,'Activity List CSI'!$D$4:$J$146,H$1,0)</f>
        <v>ConcreteWork</v>
      </c>
      <c r="I92" s="1" t="str">
        <f>VLOOKUP(D92,'Activity List CSI'!$C$4:$H$146,6,0)</f>
        <v>03300</v>
      </c>
      <c r="J92" s="1" t="str">
        <f>VLOOKUP($E92,'Activity List CSI'!$D$4:$J$146,J$1,0)</f>
        <v>Cast-In-Place Concrete</v>
      </c>
      <c r="K92" s="1" t="s">
        <v>623</v>
      </c>
      <c r="L92" s="1">
        <v>205</v>
      </c>
      <c r="M92" s="1" t="str">
        <f t="shared" si="5"/>
        <v>03300205</v>
      </c>
      <c r="N92" s="12" t="str">
        <f t="shared" si="4"/>
        <v>03300205</v>
      </c>
    </row>
    <row r="93" spans="4:14" ht="23.25" customHeight="1" x14ac:dyDescent="0.25">
      <c r="D93" s="11" t="s">
        <v>228</v>
      </c>
      <c r="E93" s="134" t="str">
        <f>VLOOKUP(F93,'Activity List CSI'!$B$4:$D$146,3,0)</f>
        <v>03300-14</v>
      </c>
      <c r="F93" s="1" t="s">
        <v>437</v>
      </c>
      <c r="G93" s="1" t="str">
        <f>VLOOKUP($E93,'Activity List CSI'!$D$4:$J$146,G$1,0)</f>
        <v>03</v>
      </c>
      <c r="H93" s="1" t="str">
        <f>VLOOKUP($E93,'Activity List CSI'!$D$4:$J$146,H$1,0)</f>
        <v>ConcreteWork</v>
      </c>
      <c r="I93" s="1" t="str">
        <f>VLOOKUP(D93,'Activity List CSI'!$C$4:$H$146,6,0)</f>
        <v>03300</v>
      </c>
      <c r="J93" s="1" t="str">
        <f>VLOOKUP($E93,'Activity List CSI'!$D$4:$J$146,J$1,0)</f>
        <v>Cast-In-Place Concrete</v>
      </c>
      <c r="K93" s="1" t="s">
        <v>623</v>
      </c>
      <c r="L93" s="1">
        <v>205</v>
      </c>
      <c r="M93" s="1" t="str">
        <f t="shared" si="5"/>
        <v>03300205</v>
      </c>
      <c r="N93" s="12" t="str">
        <f t="shared" si="4"/>
        <v>03300205</v>
      </c>
    </row>
    <row r="94" spans="4:14" ht="23.25" customHeight="1" x14ac:dyDescent="0.25">
      <c r="D94" s="11" t="s">
        <v>104</v>
      </c>
      <c r="E94" s="134" t="str">
        <f>VLOOKUP(F94,'Activity List CSI'!$B$4:$D$146,3,0)</f>
        <v>04200-01</v>
      </c>
      <c r="F94" s="1" t="s">
        <v>4</v>
      </c>
      <c r="G94" s="1" t="str">
        <f>VLOOKUP($E94,'Activity List CSI'!$D$4:$J$146,G$1,0)</f>
        <v>04</v>
      </c>
      <c r="H94" s="1" t="str">
        <f>VLOOKUP($E94,'Activity List CSI'!$D$4:$J$146,H$1,0)</f>
        <v>BlockWork</v>
      </c>
      <c r="I94" s="1" t="str">
        <f>VLOOKUP(D94,'Activity List CSI'!$C$4:$H$146,6,0)</f>
        <v>04200</v>
      </c>
      <c r="J94" s="1" t="str">
        <f>VLOOKUP($E94,'Activity List CSI'!$D$4:$J$146,J$1,0)</f>
        <v>Masonary Units</v>
      </c>
      <c r="K94" s="1" t="s">
        <v>626</v>
      </c>
      <c r="L94" s="1">
        <v>205</v>
      </c>
      <c r="M94" s="1" t="str">
        <f t="shared" si="5"/>
        <v>04200205</v>
      </c>
      <c r="N94" s="12" t="str">
        <f t="shared" si="4"/>
        <v>04200205</v>
      </c>
    </row>
    <row r="95" spans="4:14" ht="23.25" customHeight="1" x14ac:dyDescent="0.25">
      <c r="D95" s="11" t="s">
        <v>104</v>
      </c>
      <c r="E95" s="134" t="str">
        <f>VLOOKUP(F95,'Activity List CSI'!$B$4:$D$146,3,0)</f>
        <v>04200-01</v>
      </c>
      <c r="F95" s="1" t="s">
        <v>4</v>
      </c>
      <c r="G95" s="1" t="str">
        <f>VLOOKUP($E95,'Activity List CSI'!$D$4:$J$146,G$1,0)</f>
        <v>04</v>
      </c>
      <c r="H95" s="1" t="str">
        <f>VLOOKUP($E95,'Activity List CSI'!$D$4:$J$146,H$1,0)</f>
        <v>BlockWork</v>
      </c>
      <c r="I95" s="1" t="str">
        <f>VLOOKUP(D95,'Activity List CSI'!$C$4:$H$146,6,0)</f>
        <v>04200</v>
      </c>
      <c r="J95" s="1" t="str">
        <f>VLOOKUP($E95,'Activity List CSI'!$D$4:$J$146,J$1,0)</f>
        <v>Masonary Units</v>
      </c>
      <c r="K95" s="1" t="s">
        <v>626</v>
      </c>
      <c r="L95" s="1">
        <v>205</v>
      </c>
      <c r="M95" s="1" t="str">
        <f t="shared" si="5"/>
        <v>04200205</v>
      </c>
      <c r="N95" s="12" t="str">
        <f t="shared" si="4"/>
        <v>04200205</v>
      </c>
    </row>
    <row r="96" spans="4:14" ht="23.25" customHeight="1" x14ac:dyDescent="0.25">
      <c r="D96" s="11" t="s">
        <v>105</v>
      </c>
      <c r="E96" s="134" t="str">
        <f>VLOOKUP(F96,'Activity List CSI'!$B$4:$D$146,3,0)</f>
        <v>04200-02</v>
      </c>
      <c r="F96" s="1" t="s">
        <v>106</v>
      </c>
      <c r="G96" s="1" t="str">
        <f>VLOOKUP($E96,'Activity List CSI'!$D$4:$J$146,G$1,0)</f>
        <v>04</v>
      </c>
      <c r="H96" s="1" t="str">
        <f>VLOOKUP($E96,'Activity List CSI'!$D$4:$J$146,H$1,0)</f>
        <v>BlockWork</v>
      </c>
      <c r="I96" s="1" t="str">
        <f>VLOOKUP(D96,'Activity List CSI'!$C$4:$H$146,6,0)</f>
        <v>04200</v>
      </c>
      <c r="J96" s="1" t="str">
        <f>VLOOKUP($E96,'Activity List CSI'!$D$4:$J$146,J$1,0)</f>
        <v>Masonary Units</v>
      </c>
      <c r="K96" s="1" t="s">
        <v>626</v>
      </c>
      <c r="L96" s="1">
        <v>205</v>
      </c>
      <c r="M96" s="1" t="str">
        <f t="shared" si="5"/>
        <v>04200205</v>
      </c>
      <c r="N96" s="12" t="str">
        <f t="shared" si="4"/>
        <v>04200205</v>
      </c>
    </row>
    <row r="97" spans="4:14" ht="23.25" customHeight="1" x14ac:dyDescent="0.25">
      <c r="D97" s="11" t="s">
        <v>105</v>
      </c>
      <c r="E97" s="134" t="str">
        <f>VLOOKUP(F97,'Activity List CSI'!$B$4:$D$146,3,0)</f>
        <v>04200-02</v>
      </c>
      <c r="F97" s="1" t="s">
        <v>106</v>
      </c>
      <c r="G97" s="1" t="str">
        <f>VLOOKUP($E97,'Activity List CSI'!$D$4:$J$146,G$1,0)</f>
        <v>04</v>
      </c>
      <c r="H97" s="1" t="str">
        <f>VLOOKUP($E97,'Activity List CSI'!$D$4:$J$146,H$1,0)</f>
        <v>BlockWork</v>
      </c>
      <c r="I97" s="1" t="str">
        <f>VLOOKUP(D97,'Activity List CSI'!$C$4:$H$146,6,0)</f>
        <v>04200</v>
      </c>
      <c r="J97" s="1" t="str">
        <f>VLOOKUP($E97,'Activity List CSI'!$D$4:$J$146,J$1,0)</f>
        <v>Masonary Units</v>
      </c>
      <c r="K97" s="1" t="s">
        <v>626</v>
      </c>
      <c r="L97" s="1">
        <v>205</v>
      </c>
      <c r="M97" s="1" t="str">
        <f t="shared" si="5"/>
        <v>04200205</v>
      </c>
      <c r="N97" s="12" t="str">
        <f t="shared" si="4"/>
        <v>04200205</v>
      </c>
    </row>
    <row r="98" spans="4:14" ht="23.25" customHeight="1" x14ac:dyDescent="0.25">
      <c r="D98" s="11" t="s">
        <v>107</v>
      </c>
      <c r="E98" s="134" t="str">
        <f>VLOOKUP(F98,'Activity List CSI'!$B$4:$D$146,3,0)</f>
        <v>04400-01</v>
      </c>
      <c r="F98" s="1" t="s">
        <v>108</v>
      </c>
      <c r="G98" s="1" t="str">
        <f>VLOOKUP($E98,'Activity List CSI'!$D$4:$J$146,G$1,0)</f>
        <v>04</v>
      </c>
      <c r="H98" s="1" t="str">
        <f>VLOOKUP($E98,'Activity List CSI'!$D$4:$J$146,H$1,0)</f>
        <v>BlockWork</v>
      </c>
      <c r="I98" s="1" t="str">
        <f>VLOOKUP(D98,'Activity List CSI'!$C$4:$H$146,6,0)</f>
        <v>04400</v>
      </c>
      <c r="J98" s="1" t="str">
        <f>VLOOKUP($E98,'Activity List CSI'!$D$4:$J$146,J$1,0)</f>
        <v>Stone</v>
      </c>
      <c r="K98" s="1" t="s">
        <v>626</v>
      </c>
      <c r="L98" s="1">
        <v>205</v>
      </c>
      <c r="M98" s="13" t="str">
        <f t="shared" si="5"/>
        <v>04400205</v>
      </c>
      <c r="N98" s="12" t="s">
        <v>686</v>
      </c>
    </row>
    <row r="99" spans="4:14" ht="23.25" customHeight="1" x14ac:dyDescent="0.25">
      <c r="D99" s="11" t="s">
        <v>107</v>
      </c>
      <c r="E99" s="134" t="str">
        <f>VLOOKUP(F99,'Activity List CSI'!$B$4:$D$146,3,0)</f>
        <v>04400-01</v>
      </c>
      <c r="F99" s="1" t="s">
        <v>108</v>
      </c>
      <c r="G99" s="1" t="str">
        <f>VLOOKUP($E99,'Activity List CSI'!$D$4:$J$146,G$1,0)</f>
        <v>04</v>
      </c>
      <c r="H99" s="1" t="str">
        <f>VLOOKUP($E99,'Activity List CSI'!$D$4:$J$146,H$1,0)</f>
        <v>BlockWork</v>
      </c>
      <c r="I99" s="1" t="str">
        <f>VLOOKUP(D99,'Activity List CSI'!$C$4:$H$146,6,0)</f>
        <v>04400</v>
      </c>
      <c r="J99" s="1" t="str">
        <f>VLOOKUP($E99,'Activity List CSI'!$D$4:$J$146,J$1,0)</f>
        <v>Stone</v>
      </c>
      <c r="K99" s="1" t="s">
        <v>626</v>
      </c>
      <c r="L99" s="1">
        <v>205</v>
      </c>
      <c r="M99" s="13" t="str">
        <f t="shared" si="5"/>
        <v>04400205</v>
      </c>
      <c r="N99" s="12" t="s">
        <v>686</v>
      </c>
    </row>
    <row r="100" spans="4:14" ht="23.25" customHeight="1" x14ac:dyDescent="0.25">
      <c r="D100" s="11" t="s">
        <v>109</v>
      </c>
      <c r="E100" s="134" t="str">
        <f>VLOOKUP(F100,'Activity List CSI'!$B$4:$D$146,3,0)</f>
        <v>05500-01</v>
      </c>
      <c r="F100" s="1" t="s">
        <v>110</v>
      </c>
      <c r="G100" s="1" t="str">
        <f>VLOOKUP($E100,'Activity List CSI'!$D$4:$J$146,G$1,0)</f>
        <v>05</v>
      </c>
      <c r="H100" s="1" t="str">
        <f>VLOOKUP($E100,'Activity List CSI'!$D$4:$J$146,H$1,0)</f>
        <v>MetalWork</v>
      </c>
      <c r="I100" s="1" t="str">
        <f>VLOOKUP(D100,'Activity List CSI'!$C$4:$H$146,6,0)</f>
        <v>05500</v>
      </c>
      <c r="J100" s="1" t="str">
        <f>VLOOKUP($E100,'Activity List CSI'!$D$4:$J$146,J$1,0)</f>
        <v>Metal Fabrication</v>
      </c>
      <c r="K100" s="1" t="s">
        <v>663</v>
      </c>
      <c r="L100" s="1">
        <v>205</v>
      </c>
      <c r="M100" s="13" t="str">
        <f t="shared" si="5"/>
        <v>05500205</v>
      </c>
      <c r="N100" s="1" t="s">
        <v>684</v>
      </c>
    </row>
    <row r="101" spans="4:14" ht="23.25" customHeight="1" x14ac:dyDescent="0.25">
      <c r="D101" s="11" t="s">
        <v>112</v>
      </c>
      <c r="E101" s="134" t="str">
        <f>VLOOKUP(F101,'Activity List CSI'!$B$4:$D$146,3,0)</f>
        <v>05100-01</v>
      </c>
      <c r="F101" s="1" t="s">
        <v>113</v>
      </c>
      <c r="G101" s="1" t="str">
        <f>VLOOKUP($E101,'Activity List CSI'!$D$4:$J$146,G$1,0)</f>
        <v>05</v>
      </c>
      <c r="H101" s="1" t="str">
        <f>VLOOKUP($E101,'Activity List CSI'!$D$4:$J$146,H$1,0)</f>
        <v>MetalWork</v>
      </c>
      <c r="I101" s="1" t="str">
        <f>VLOOKUP(D101,'Activity List CSI'!$C$4:$H$146,6,0)</f>
        <v>05100</v>
      </c>
      <c r="J101" s="1" t="str">
        <f>VLOOKUP($E101,'Activity List CSI'!$D$4:$J$146,J$1,0)</f>
        <v>Structural Metal Framing</v>
      </c>
      <c r="K101" s="1" t="s">
        <v>663</v>
      </c>
      <c r="L101" s="1">
        <v>205</v>
      </c>
      <c r="M101" s="1" t="str">
        <f t="shared" si="5"/>
        <v>05100205</v>
      </c>
      <c r="N101" s="12" t="str">
        <f t="shared" ref="N101:N114" si="6">M101</f>
        <v>05100205</v>
      </c>
    </row>
    <row r="102" spans="4:14" ht="23.25" customHeight="1" x14ac:dyDescent="0.25">
      <c r="D102" s="11" t="s">
        <v>114</v>
      </c>
      <c r="E102" s="134" t="str">
        <f>VLOOKUP(F102,'Activity List CSI'!$B$4:$D$146,3,0)</f>
        <v>05100-02</v>
      </c>
      <c r="F102" s="1" t="s">
        <v>115</v>
      </c>
      <c r="G102" s="1" t="str">
        <f>VLOOKUP($E102,'Activity List CSI'!$D$4:$J$146,G$1,0)</f>
        <v>05</v>
      </c>
      <c r="H102" s="1" t="str">
        <f>VLOOKUP($E102,'Activity List CSI'!$D$4:$J$146,H$1,0)</f>
        <v>MetalWork</v>
      </c>
      <c r="I102" s="1" t="str">
        <f>VLOOKUP(D102,'Activity List CSI'!$C$4:$H$146,6,0)</f>
        <v>05100</v>
      </c>
      <c r="J102" s="1" t="str">
        <f>VLOOKUP($E102,'Activity List CSI'!$D$4:$J$146,J$1,0)</f>
        <v>Structural Metal Framing</v>
      </c>
      <c r="K102" s="1" t="s">
        <v>663</v>
      </c>
      <c r="L102" s="1">
        <v>205</v>
      </c>
      <c r="M102" s="1" t="str">
        <f t="shared" si="5"/>
        <v>05100205</v>
      </c>
      <c r="N102" s="12" t="str">
        <f t="shared" si="6"/>
        <v>05100205</v>
      </c>
    </row>
    <row r="103" spans="4:14" ht="23.25" customHeight="1" x14ac:dyDescent="0.25">
      <c r="D103" s="11" t="s">
        <v>305</v>
      </c>
      <c r="E103" s="134" t="str">
        <f>VLOOKUP(F103,'Activity List CSI'!$B$4:$D$146,3,0)</f>
        <v>05700-01</v>
      </c>
      <c r="F103" s="1" t="s">
        <v>306</v>
      </c>
      <c r="G103" s="1" t="str">
        <f>VLOOKUP($E103,'Activity List CSI'!$D$4:$J$146,G$1,0)</f>
        <v>05</v>
      </c>
      <c r="H103" s="1" t="str">
        <f>VLOOKUP($E103,'Activity List CSI'!$D$4:$J$146,H$1,0)</f>
        <v>MetalWork</v>
      </c>
      <c r="I103" s="1" t="str">
        <f>VLOOKUP(D103,'Activity List CSI'!$C$4:$H$146,6,0)</f>
        <v>05700</v>
      </c>
      <c r="J103" s="1" t="str">
        <f>VLOOKUP($E103,'Activity List CSI'!$D$4:$J$146,J$1,0)</f>
        <v>Ornamental Work</v>
      </c>
      <c r="K103" s="1" t="s">
        <v>627</v>
      </c>
      <c r="L103" s="1">
        <v>205</v>
      </c>
      <c r="M103" s="1" t="str">
        <f t="shared" si="5"/>
        <v>05700205</v>
      </c>
      <c r="N103" s="12" t="str">
        <f t="shared" si="6"/>
        <v>05700205</v>
      </c>
    </row>
    <row r="104" spans="4:14" ht="23.25" customHeight="1" x14ac:dyDescent="0.25">
      <c r="D104" s="11" t="s">
        <v>116</v>
      </c>
      <c r="E104" s="134" t="str">
        <f>VLOOKUP(F104,'Activity List CSI'!$B$4:$D$146,3,0)</f>
        <v>06400-01</v>
      </c>
      <c r="F104" s="1" t="s">
        <v>117</v>
      </c>
      <c r="G104" s="1" t="str">
        <f>VLOOKUP($E104,'Activity List CSI'!$D$4:$J$146,G$1,0)</f>
        <v>06</v>
      </c>
      <c r="H104" s="1" t="str">
        <f>VLOOKUP($E104,'Activity List CSI'!$D$4:$J$146,H$1,0)</f>
        <v>Wood&amp;Plastic</v>
      </c>
      <c r="I104" s="1" t="str">
        <f>VLOOKUP(D104,'Activity List CSI'!$C$4:$H$146,6,0)</f>
        <v>06400</v>
      </c>
      <c r="J104" s="1" t="str">
        <f>VLOOKUP($E104,'Activity List CSI'!$D$4:$J$146,J$1,0)</f>
        <v>Architectural Wood work</v>
      </c>
      <c r="K104" s="1" t="s">
        <v>628</v>
      </c>
      <c r="L104" s="1">
        <v>205</v>
      </c>
      <c r="M104" s="1" t="str">
        <f t="shared" si="5"/>
        <v>06400205</v>
      </c>
      <c r="N104" s="12" t="str">
        <f t="shared" si="6"/>
        <v>06400205</v>
      </c>
    </row>
    <row r="105" spans="4:14" ht="23.25" customHeight="1" x14ac:dyDescent="0.25">
      <c r="D105" s="11" t="s">
        <v>118</v>
      </c>
      <c r="E105" s="134" t="str">
        <f>VLOOKUP(F105,'Activity List CSI'!$B$4:$D$146,3,0)</f>
        <v>06400-02</v>
      </c>
      <c r="F105" s="1" t="s">
        <v>119</v>
      </c>
      <c r="G105" s="1" t="str">
        <f>VLOOKUP($E105,'Activity List CSI'!$D$4:$J$146,G$1,0)</f>
        <v>06</v>
      </c>
      <c r="H105" s="1" t="str">
        <f>VLOOKUP($E105,'Activity List CSI'!$D$4:$J$146,H$1,0)</f>
        <v>Wood&amp;Plastic</v>
      </c>
      <c r="I105" s="1" t="str">
        <f>VLOOKUP(D105,'Activity List CSI'!$C$4:$H$146,6,0)</f>
        <v>06400</v>
      </c>
      <c r="J105" s="1" t="str">
        <f>VLOOKUP($E105,'Activity List CSI'!$D$4:$J$146,J$1,0)</f>
        <v>Architectural Wood work</v>
      </c>
      <c r="K105" s="1" t="s">
        <v>628</v>
      </c>
      <c r="L105" s="1">
        <v>205</v>
      </c>
      <c r="M105" s="1" t="str">
        <f t="shared" si="5"/>
        <v>06400205</v>
      </c>
      <c r="N105" s="12" t="str">
        <f t="shared" si="6"/>
        <v>06400205</v>
      </c>
    </row>
    <row r="106" spans="4:14" ht="23.25" customHeight="1" x14ac:dyDescent="0.25">
      <c r="D106" s="11" t="s">
        <v>120</v>
      </c>
      <c r="E106" s="134" t="str">
        <f>VLOOKUP(F106,'Activity List CSI'!$B$4:$D$146,3,0)</f>
        <v>06400-03</v>
      </c>
      <c r="F106" s="1" t="s">
        <v>121</v>
      </c>
      <c r="G106" s="1" t="str">
        <f>VLOOKUP($E106,'Activity List CSI'!$D$4:$J$146,G$1,0)</f>
        <v>06</v>
      </c>
      <c r="H106" s="1" t="str">
        <f>VLOOKUP($E106,'Activity List CSI'!$D$4:$J$146,H$1,0)</f>
        <v>Wood&amp;Plastic</v>
      </c>
      <c r="I106" s="1" t="str">
        <f>VLOOKUP(D106,'Activity List CSI'!$C$4:$H$146,6,0)</f>
        <v>06400</v>
      </c>
      <c r="J106" s="1" t="str">
        <f>VLOOKUP($E106,'Activity List CSI'!$D$4:$J$146,J$1,0)</f>
        <v>Architectural Wood work</v>
      </c>
      <c r="K106" s="1" t="s">
        <v>628</v>
      </c>
      <c r="L106" s="1">
        <v>205</v>
      </c>
      <c r="M106" s="1" t="str">
        <f t="shared" si="5"/>
        <v>06400205</v>
      </c>
      <c r="N106" s="12" t="str">
        <f t="shared" si="6"/>
        <v>06400205</v>
      </c>
    </row>
    <row r="107" spans="4:14" ht="23.25" customHeight="1" x14ac:dyDescent="0.25">
      <c r="D107" s="11" t="s">
        <v>122</v>
      </c>
      <c r="E107" s="134" t="str">
        <f>VLOOKUP(F107,'Activity List CSI'!$B$4:$D$146,3,0)</f>
        <v>07100-01</v>
      </c>
      <c r="F107" s="1" t="s">
        <v>123</v>
      </c>
      <c r="G107" s="1" t="str">
        <f>VLOOKUP($E107,'Activity List CSI'!$D$4:$J$146,G$1,0)</f>
        <v>07</v>
      </c>
      <c r="H107" s="1" t="str">
        <f>VLOOKUP($E107,'Activity List CSI'!$D$4:$J$146,H$1,0)</f>
        <v>Insulation</v>
      </c>
      <c r="I107" s="1" t="str">
        <f>VLOOKUP(D107,'Activity List CSI'!$C$4:$H$146,6,0)</f>
        <v>07100</v>
      </c>
      <c r="J107" s="1" t="str">
        <f>VLOOKUP($E107,'Activity List CSI'!$D$4:$J$146,J$1,0)</f>
        <v>Damproofing &amp; Waterproofing</v>
      </c>
      <c r="K107" s="1" t="s">
        <v>629</v>
      </c>
      <c r="L107" s="1">
        <v>205</v>
      </c>
      <c r="M107" s="1" t="str">
        <f t="shared" si="5"/>
        <v>07100205</v>
      </c>
      <c r="N107" s="12" t="str">
        <f t="shared" si="6"/>
        <v>07100205</v>
      </c>
    </row>
    <row r="108" spans="4:14" ht="23.25" customHeight="1" x14ac:dyDescent="0.25">
      <c r="D108" s="11" t="s">
        <v>122</v>
      </c>
      <c r="E108" s="134" t="str">
        <f>VLOOKUP(F108,'Activity List CSI'!$B$4:$D$146,3,0)</f>
        <v>07100-01</v>
      </c>
      <c r="F108" s="1" t="s">
        <v>123</v>
      </c>
      <c r="G108" s="1" t="str">
        <f>VLOOKUP($E108,'Activity List CSI'!$D$4:$J$146,G$1,0)</f>
        <v>07</v>
      </c>
      <c r="H108" s="1" t="str">
        <f>VLOOKUP($E108,'Activity List CSI'!$D$4:$J$146,H$1,0)</f>
        <v>Insulation</v>
      </c>
      <c r="I108" s="1" t="str">
        <f>VLOOKUP(D108,'Activity List CSI'!$C$4:$H$146,6,0)</f>
        <v>07100</v>
      </c>
      <c r="J108" s="1" t="str">
        <f>VLOOKUP($E108,'Activity List CSI'!$D$4:$J$146,J$1,0)</f>
        <v>Damproofing &amp; Waterproofing</v>
      </c>
      <c r="K108" s="1" t="s">
        <v>629</v>
      </c>
      <c r="L108" s="1">
        <v>205</v>
      </c>
      <c r="M108" s="1" t="str">
        <f t="shared" si="5"/>
        <v>07100205</v>
      </c>
      <c r="N108" s="12" t="str">
        <f t="shared" si="6"/>
        <v>07100205</v>
      </c>
    </row>
    <row r="109" spans="4:14" ht="23.25" customHeight="1" x14ac:dyDescent="0.25">
      <c r="D109" s="11" t="s">
        <v>124</v>
      </c>
      <c r="E109" s="134" t="str">
        <f>VLOOKUP(F109,'Activity List CSI'!$B$4:$D$146,3,0)</f>
        <v>07100-02</v>
      </c>
      <c r="F109" s="1" t="s">
        <v>125</v>
      </c>
      <c r="G109" s="1" t="str">
        <f>VLOOKUP($E109,'Activity List CSI'!$D$4:$J$146,G$1,0)</f>
        <v>07</v>
      </c>
      <c r="H109" s="1" t="str">
        <f>VLOOKUP($E109,'Activity List CSI'!$D$4:$J$146,H$1,0)</f>
        <v>Insulation</v>
      </c>
      <c r="I109" s="1" t="str">
        <f>VLOOKUP(D109,'Activity List CSI'!$C$4:$H$146,6,0)</f>
        <v>07100</v>
      </c>
      <c r="J109" s="1" t="str">
        <f>VLOOKUP($E109,'Activity List CSI'!$D$4:$J$146,J$1,0)</f>
        <v>Damproofing &amp; Waterproofing</v>
      </c>
      <c r="K109" s="1" t="s">
        <v>629</v>
      </c>
      <c r="L109" s="1">
        <v>205</v>
      </c>
      <c r="M109" s="1" t="str">
        <f t="shared" si="5"/>
        <v>07100205</v>
      </c>
      <c r="N109" s="12" t="str">
        <f t="shared" si="6"/>
        <v>07100205</v>
      </c>
    </row>
    <row r="110" spans="4:14" ht="23.25" customHeight="1" x14ac:dyDescent="0.25">
      <c r="D110" s="11" t="s">
        <v>124</v>
      </c>
      <c r="E110" s="134" t="str">
        <f>VLOOKUP(F110,'Activity List CSI'!$B$4:$D$146,3,0)</f>
        <v>07100-02</v>
      </c>
      <c r="F110" s="1" t="s">
        <v>125</v>
      </c>
      <c r="G110" s="1" t="str">
        <f>VLOOKUP($E110,'Activity List CSI'!$D$4:$J$146,G$1,0)</f>
        <v>07</v>
      </c>
      <c r="H110" s="1" t="str">
        <f>VLOOKUP($E110,'Activity List CSI'!$D$4:$J$146,H$1,0)</f>
        <v>Insulation</v>
      </c>
      <c r="I110" s="1" t="str">
        <f>VLOOKUP(D110,'Activity List CSI'!$C$4:$H$146,6,0)</f>
        <v>07100</v>
      </c>
      <c r="J110" s="1" t="str">
        <f>VLOOKUP($E110,'Activity List CSI'!$D$4:$J$146,J$1,0)</f>
        <v>Damproofing &amp; Waterproofing</v>
      </c>
      <c r="K110" s="1" t="s">
        <v>629</v>
      </c>
      <c r="L110" s="1">
        <v>205</v>
      </c>
      <c r="M110" s="1" t="str">
        <f t="shared" si="5"/>
        <v>07100205</v>
      </c>
      <c r="N110" s="12" t="str">
        <f t="shared" si="6"/>
        <v>07100205</v>
      </c>
    </row>
    <row r="111" spans="4:14" ht="23.25" customHeight="1" x14ac:dyDescent="0.25">
      <c r="D111" s="11" t="s">
        <v>126</v>
      </c>
      <c r="E111" s="134" t="str">
        <f>VLOOKUP(F111,'Activity List CSI'!$B$4:$D$146,3,0)</f>
        <v>07100-03</v>
      </c>
      <c r="F111" s="1" t="s">
        <v>127</v>
      </c>
      <c r="G111" s="1" t="str">
        <f>VLOOKUP($E111,'Activity List CSI'!$D$4:$J$146,G$1,0)</f>
        <v>07</v>
      </c>
      <c r="H111" s="1" t="str">
        <f>VLOOKUP($E111,'Activity List CSI'!$D$4:$J$146,H$1,0)</f>
        <v>Insulation</v>
      </c>
      <c r="I111" s="1" t="str">
        <f>VLOOKUP(D111,'Activity List CSI'!$C$4:$H$146,6,0)</f>
        <v>07100</v>
      </c>
      <c r="J111" s="1" t="str">
        <f>VLOOKUP($E111,'Activity List CSI'!$D$4:$J$146,J$1,0)</f>
        <v>Damproofing &amp; Waterproofing</v>
      </c>
      <c r="K111" s="1" t="s">
        <v>629</v>
      </c>
      <c r="L111" s="1">
        <v>205</v>
      </c>
      <c r="M111" s="1" t="str">
        <f t="shared" si="5"/>
        <v>07100205</v>
      </c>
      <c r="N111" s="12" t="str">
        <f t="shared" si="6"/>
        <v>07100205</v>
      </c>
    </row>
    <row r="112" spans="4:14" ht="23.25" customHeight="1" x14ac:dyDescent="0.25">
      <c r="D112" s="11" t="s">
        <v>126</v>
      </c>
      <c r="E112" s="134" t="str">
        <f>VLOOKUP(F112,'Activity List CSI'!$B$4:$D$146,3,0)</f>
        <v>07100-03</v>
      </c>
      <c r="F112" s="1" t="s">
        <v>127</v>
      </c>
      <c r="G112" s="1" t="str">
        <f>VLOOKUP($E112,'Activity List CSI'!$D$4:$J$146,G$1,0)</f>
        <v>07</v>
      </c>
      <c r="H112" s="1" t="str">
        <f>VLOOKUP($E112,'Activity List CSI'!$D$4:$J$146,H$1,0)</f>
        <v>Insulation</v>
      </c>
      <c r="I112" s="1" t="str">
        <f>VLOOKUP(D112,'Activity List CSI'!$C$4:$H$146,6,0)</f>
        <v>07100</v>
      </c>
      <c r="J112" s="1" t="str">
        <f>VLOOKUP($E112,'Activity List CSI'!$D$4:$J$146,J$1,0)</f>
        <v>Damproofing &amp; Waterproofing</v>
      </c>
      <c r="K112" s="1" t="s">
        <v>629</v>
      </c>
      <c r="L112" s="1">
        <v>205</v>
      </c>
      <c r="M112" s="1" t="str">
        <f t="shared" si="5"/>
        <v>07100205</v>
      </c>
      <c r="N112" s="12" t="str">
        <f t="shared" si="6"/>
        <v>07100205</v>
      </c>
    </row>
    <row r="113" spans="4:14" ht="23.25" customHeight="1" x14ac:dyDescent="0.25">
      <c r="D113" s="11" t="s">
        <v>128</v>
      </c>
      <c r="E113" s="134" t="str">
        <f>VLOOKUP(F113,'Activity List CSI'!$B$4:$D$146,3,0)</f>
        <v>07100-04</v>
      </c>
      <c r="F113" s="1" t="s">
        <v>129</v>
      </c>
      <c r="G113" s="1" t="str">
        <f>VLOOKUP($E113,'Activity List CSI'!$D$4:$J$146,G$1,0)</f>
        <v>07</v>
      </c>
      <c r="H113" s="1" t="str">
        <f>VLOOKUP($E113,'Activity List CSI'!$D$4:$J$146,H$1,0)</f>
        <v>Insulation</v>
      </c>
      <c r="I113" s="1" t="str">
        <f>VLOOKUP(D113,'Activity List CSI'!$C$4:$H$146,6,0)</f>
        <v>07100</v>
      </c>
      <c r="J113" s="1" t="str">
        <f>VLOOKUP($E113,'Activity List CSI'!$D$4:$J$146,J$1,0)</f>
        <v>Damproofing &amp; Waterproofing</v>
      </c>
      <c r="K113" s="1" t="s">
        <v>629</v>
      </c>
      <c r="L113" s="1">
        <v>205</v>
      </c>
      <c r="M113" s="1" t="str">
        <f t="shared" si="5"/>
        <v>07100205</v>
      </c>
      <c r="N113" s="12" t="str">
        <f t="shared" si="6"/>
        <v>07100205</v>
      </c>
    </row>
    <row r="114" spans="4:14" ht="23.25" customHeight="1" x14ac:dyDescent="0.25">
      <c r="D114" s="11" t="s">
        <v>128</v>
      </c>
      <c r="E114" s="134" t="str">
        <f>VLOOKUP(F114,'Activity List CSI'!$B$4:$D$146,3,0)</f>
        <v>07100-04</v>
      </c>
      <c r="F114" s="1" t="s">
        <v>129</v>
      </c>
      <c r="G114" s="1" t="str">
        <f>VLOOKUP($E114,'Activity List CSI'!$D$4:$J$146,G$1,0)</f>
        <v>07</v>
      </c>
      <c r="H114" s="1" t="str">
        <f>VLOOKUP($E114,'Activity List CSI'!$D$4:$J$146,H$1,0)</f>
        <v>Insulation</v>
      </c>
      <c r="I114" s="1" t="str">
        <f>VLOOKUP(D114,'Activity List CSI'!$C$4:$H$146,6,0)</f>
        <v>07100</v>
      </c>
      <c r="J114" s="1" t="str">
        <f>VLOOKUP($E114,'Activity List CSI'!$D$4:$J$146,J$1,0)</f>
        <v>Damproofing &amp; Waterproofing</v>
      </c>
      <c r="K114" s="1" t="s">
        <v>629</v>
      </c>
      <c r="L114" s="1">
        <v>205</v>
      </c>
      <c r="M114" s="1" t="str">
        <f t="shared" si="5"/>
        <v>07100205</v>
      </c>
      <c r="N114" s="12" t="str">
        <f t="shared" si="6"/>
        <v>07100205</v>
      </c>
    </row>
    <row r="115" spans="4:14" ht="23.25" customHeight="1" x14ac:dyDescent="0.25">
      <c r="D115" s="11" t="s">
        <v>130</v>
      </c>
      <c r="E115" s="134" t="str">
        <f>VLOOKUP(F115,'Activity List CSI'!$B$4:$D$146,3,0)</f>
        <v>07200-01</v>
      </c>
      <c r="F115" s="1" t="s">
        <v>131</v>
      </c>
      <c r="G115" s="1" t="str">
        <f>VLOOKUP($E115,'Activity List CSI'!$D$4:$J$146,G$1,0)</f>
        <v>07</v>
      </c>
      <c r="H115" s="1" t="str">
        <f>VLOOKUP($E115,'Activity List CSI'!$D$4:$J$146,H$1,0)</f>
        <v>Insulation</v>
      </c>
      <c r="I115" s="1" t="str">
        <f>VLOOKUP(D115,'Activity List CSI'!$C$4:$H$146,6,0)</f>
        <v>07200</v>
      </c>
      <c r="J115" s="1" t="str">
        <f>VLOOKUP($E115,'Activity List CSI'!$D$4:$J$146,J$1,0)</f>
        <v>Thermal Protection</v>
      </c>
      <c r="K115" s="1" t="s">
        <v>629</v>
      </c>
      <c r="L115" s="1">
        <v>205</v>
      </c>
      <c r="M115" s="13" t="str">
        <f t="shared" si="5"/>
        <v>07200205</v>
      </c>
      <c r="N115" s="12" t="s">
        <v>670</v>
      </c>
    </row>
    <row r="116" spans="4:14" ht="23.25" customHeight="1" x14ac:dyDescent="0.25">
      <c r="D116" s="11" t="s">
        <v>130</v>
      </c>
      <c r="E116" s="134" t="str">
        <f>VLOOKUP(F116,'Activity List CSI'!$B$4:$D$146,3,0)</f>
        <v>07200-01</v>
      </c>
      <c r="F116" s="1" t="s">
        <v>131</v>
      </c>
      <c r="G116" s="1" t="str">
        <f>VLOOKUP($E116,'Activity List CSI'!$D$4:$J$146,G$1,0)</f>
        <v>07</v>
      </c>
      <c r="H116" s="1" t="str">
        <f>VLOOKUP($E116,'Activity List CSI'!$D$4:$J$146,H$1,0)</f>
        <v>Insulation</v>
      </c>
      <c r="I116" s="1" t="str">
        <f>VLOOKUP(D116,'Activity List CSI'!$C$4:$H$146,6,0)</f>
        <v>07200</v>
      </c>
      <c r="J116" s="1" t="str">
        <f>VLOOKUP($E116,'Activity List CSI'!$D$4:$J$146,J$1,0)</f>
        <v>Thermal Protection</v>
      </c>
      <c r="K116" s="1" t="s">
        <v>629</v>
      </c>
      <c r="L116" s="1">
        <v>205</v>
      </c>
      <c r="M116" s="13" t="str">
        <f t="shared" si="5"/>
        <v>07200205</v>
      </c>
      <c r="N116" s="12" t="s">
        <v>670</v>
      </c>
    </row>
    <row r="117" spans="4:14" ht="23.25" customHeight="1" x14ac:dyDescent="0.25">
      <c r="D117" s="11" t="s">
        <v>132</v>
      </c>
      <c r="E117" s="134" t="str">
        <f>VLOOKUP(F117,'Activity List CSI'!$B$4:$D$146,3,0)</f>
        <v>07400-01</v>
      </c>
      <c r="F117" s="1" t="s">
        <v>133</v>
      </c>
      <c r="G117" s="1" t="str">
        <f>VLOOKUP($E117,'Activity List CSI'!$D$4:$J$146,G$1,0)</f>
        <v>07</v>
      </c>
      <c r="H117" s="1" t="str">
        <f>VLOOKUP($E117,'Activity List CSI'!$D$4:$J$146,H$1,0)</f>
        <v>Insulation</v>
      </c>
      <c r="I117" s="1" t="str">
        <f>VLOOKUP(D117,'Activity List CSI'!$C$4:$H$146,6,0)</f>
        <v>07400</v>
      </c>
      <c r="J117" s="1" t="str">
        <f>VLOOKUP($E117,'Activity List CSI'!$D$4:$J$146,J$1,0)</f>
        <v>Roofing &amp; Siding Panels</v>
      </c>
      <c r="K117" s="1" t="s">
        <v>629</v>
      </c>
      <c r="L117" s="1">
        <v>205</v>
      </c>
      <c r="M117" s="13" t="str">
        <f t="shared" si="5"/>
        <v>07400205</v>
      </c>
      <c r="N117" s="12" t="s">
        <v>670</v>
      </c>
    </row>
    <row r="118" spans="4:14" ht="23.25" customHeight="1" x14ac:dyDescent="0.25">
      <c r="D118" s="11" t="s">
        <v>132</v>
      </c>
      <c r="E118" s="134" t="str">
        <f>VLOOKUP(F118,'Activity List CSI'!$B$4:$D$146,3,0)</f>
        <v>07400-01</v>
      </c>
      <c r="F118" s="1" t="s">
        <v>133</v>
      </c>
      <c r="G118" s="1" t="str">
        <f>VLOOKUP($E118,'Activity List CSI'!$D$4:$J$146,G$1,0)</f>
        <v>07</v>
      </c>
      <c r="H118" s="1" t="str">
        <f>VLOOKUP($E118,'Activity List CSI'!$D$4:$J$146,H$1,0)</f>
        <v>Insulation</v>
      </c>
      <c r="I118" s="1" t="str">
        <f>VLOOKUP(D118,'Activity List CSI'!$C$4:$H$146,6,0)</f>
        <v>07400</v>
      </c>
      <c r="J118" s="1" t="str">
        <f>VLOOKUP($E118,'Activity List CSI'!$D$4:$J$146,J$1,0)</f>
        <v>Roofing &amp; Siding Panels</v>
      </c>
      <c r="K118" s="1" t="s">
        <v>629</v>
      </c>
      <c r="L118" s="1">
        <v>205</v>
      </c>
      <c r="M118" s="13" t="str">
        <f t="shared" si="5"/>
        <v>07400205</v>
      </c>
      <c r="N118" s="12" t="s">
        <v>670</v>
      </c>
    </row>
    <row r="119" spans="4:14" ht="23.25" customHeight="1" x14ac:dyDescent="0.25">
      <c r="D119" s="11" t="s">
        <v>134</v>
      </c>
      <c r="E119" s="134" t="str">
        <f>VLOOKUP(F119,'Activity List CSI'!$B$4:$D$146,3,0)</f>
        <v>07200-03</v>
      </c>
      <c r="F119" s="1" t="s">
        <v>135</v>
      </c>
      <c r="G119" s="1" t="str">
        <f>VLOOKUP($E119,'Activity List CSI'!$D$4:$J$146,G$1,0)</f>
        <v>07</v>
      </c>
      <c r="H119" s="1" t="str">
        <f>VLOOKUP($E119,'Activity List CSI'!$D$4:$J$146,H$1,0)</f>
        <v>Insulation</v>
      </c>
      <c r="I119" s="1" t="str">
        <f>VLOOKUP(D119,'Activity List CSI'!$C$4:$H$146,6,0)</f>
        <v>07200</v>
      </c>
      <c r="J119" s="1" t="str">
        <f>VLOOKUP($E119,'Activity List CSI'!$D$4:$J$146,J$1,0)</f>
        <v>Thermal Protection</v>
      </c>
      <c r="K119" s="1" t="s">
        <v>623</v>
      </c>
      <c r="L119" s="1">
        <v>205</v>
      </c>
      <c r="M119" s="13" t="str">
        <f t="shared" si="5"/>
        <v>07200205</v>
      </c>
      <c r="N119" s="12" t="s">
        <v>685</v>
      </c>
    </row>
    <row r="120" spans="4:14" ht="23.25" customHeight="1" x14ac:dyDescent="0.25">
      <c r="D120" s="11" t="s">
        <v>134</v>
      </c>
      <c r="E120" s="134" t="str">
        <f>VLOOKUP(F120,'Activity List CSI'!$B$4:$D$146,3,0)</f>
        <v>07200-03</v>
      </c>
      <c r="F120" s="1" t="s">
        <v>135</v>
      </c>
      <c r="G120" s="1" t="str">
        <f>VLOOKUP($E120,'Activity List CSI'!$D$4:$J$146,G$1,0)</f>
        <v>07</v>
      </c>
      <c r="H120" s="1" t="str">
        <f>VLOOKUP($E120,'Activity List CSI'!$D$4:$J$146,H$1,0)</f>
        <v>Insulation</v>
      </c>
      <c r="I120" s="1" t="str">
        <f>VLOOKUP(D120,'Activity List CSI'!$C$4:$H$146,6,0)</f>
        <v>07200</v>
      </c>
      <c r="J120" s="1" t="str">
        <f>VLOOKUP($E120,'Activity List CSI'!$D$4:$J$146,J$1,0)</f>
        <v>Thermal Protection</v>
      </c>
      <c r="K120" s="1" t="s">
        <v>623</v>
      </c>
      <c r="L120" s="1">
        <v>205</v>
      </c>
      <c r="M120" s="13" t="str">
        <f t="shared" si="5"/>
        <v>07200205</v>
      </c>
      <c r="N120" s="12" t="s">
        <v>685</v>
      </c>
    </row>
    <row r="121" spans="4:14" ht="23.25" customHeight="1" x14ac:dyDescent="0.25">
      <c r="D121" s="11" t="s">
        <v>136</v>
      </c>
      <c r="E121" s="134" t="str">
        <f>VLOOKUP(F121,'Activity List CSI'!$B$4:$D$146,3,0)</f>
        <v>08200-01</v>
      </c>
      <c r="F121" s="1" t="s">
        <v>137</v>
      </c>
      <c r="G121" s="1" t="str">
        <f>VLOOKUP($E121,'Activity List CSI'!$D$4:$J$146,G$1,0)</f>
        <v>08</v>
      </c>
      <c r="H121" s="1" t="str">
        <f>VLOOKUP($E121,'Activity List CSI'!$D$4:$J$146,H$1,0)</f>
        <v>Opennings</v>
      </c>
      <c r="I121" s="1" t="str">
        <f>VLOOKUP(D121,'Activity List CSI'!$C$4:$H$146,6,0)</f>
        <v>08200</v>
      </c>
      <c r="J121" s="1" t="str">
        <f>VLOOKUP($E121,'Activity List CSI'!$D$4:$J$146,J$1,0)</f>
        <v>Wood &amp; Plastic Doors</v>
      </c>
      <c r="K121" s="1" t="s">
        <v>630</v>
      </c>
      <c r="L121" s="1">
        <v>205</v>
      </c>
      <c r="M121" s="1" t="str">
        <f t="shared" si="5"/>
        <v>08200205</v>
      </c>
      <c r="N121" s="12" t="str">
        <f t="shared" ref="N121:N124" si="7">M121</f>
        <v>08200205</v>
      </c>
    </row>
    <row r="122" spans="4:14" ht="23.25" customHeight="1" x14ac:dyDescent="0.25">
      <c r="D122" s="11" t="s">
        <v>138</v>
      </c>
      <c r="E122" s="134" t="str">
        <f>VLOOKUP(F122,'Activity List CSI'!$B$4:$D$146,3,0)</f>
        <v>08300-01</v>
      </c>
      <c r="F122" s="1" t="s">
        <v>139</v>
      </c>
      <c r="G122" s="1" t="str">
        <f>VLOOKUP($E122,'Activity List CSI'!$D$4:$J$146,G$1,0)</f>
        <v>08</v>
      </c>
      <c r="H122" s="1" t="str">
        <f>VLOOKUP($E122,'Activity List CSI'!$D$4:$J$146,H$1,0)</f>
        <v>Opennings</v>
      </c>
      <c r="I122" s="1" t="str">
        <f>VLOOKUP(D122,'Activity List CSI'!$C$4:$H$146,6,0)</f>
        <v>08300</v>
      </c>
      <c r="J122" s="1" t="str">
        <f>VLOOKUP($E122,'Activity List CSI'!$D$4:$J$146,J$1,0)</f>
        <v>Specialty Doors</v>
      </c>
      <c r="K122" s="1" t="s">
        <v>631</v>
      </c>
      <c r="L122" s="1">
        <v>205</v>
      </c>
      <c r="M122" s="1" t="str">
        <f t="shared" si="5"/>
        <v>08300205</v>
      </c>
      <c r="N122" s="12" t="str">
        <f t="shared" si="7"/>
        <v>08300205</v>
      </c>
    </row>
    <row r="123" spans="4:14" ht="23.25" customHeight="1" x14ac:dyDescent="0.25">
      <c r="D123" s="11" t="s">
        <v>140</v>
      </c>
      <c r="E123" s="134" t="str">
        <f>VLOOKUP(F123,'Activity List CSI'!$B$4:$D$146,3,0)</f>
        <v>08100-02</v>
      </c>
      <c r="F123" s="1" t="s">
        <v>111</v>
      </c>
      <c r="G123" s="1" t="str">
        <f>VLOOKUP($E123,'Activity List CSI'!$D$4:$J$146,G$1,0)</f>
        <v>08</v>
      </c>
      <c r="H123" s="1" t="str">
        <f>VLOOKUP($E123,'Activity List CSI'!$D$4:$J$146,H$1,0)</f>
        <v>Opennings</v>
      </c>
      <c r="I123" s="1" t="str">
        <f>VLOOKUP(D123,'Activity List CSI'!$C$4:$H$146,6,0)</f>
        <v>08100</v>
      </c>
      <c r="J123" s="1" t="str">
        <f>VLOOKUP($E123,'Activity List CSI'!$D$4:$J$146,J$1,0)</f>
        <v>Metal Doors &amp; Frames</v>
      </c>
      <c r="K123" s="1" t="s">
        <v>632</v>
      </c>
      <c r="L123" s="1">
        <v>205</v>
      </c>
      <c r="M123" s="1" t="str">
        <f t="shared" si="5"/>
        <v>08100205</v>
      </c>
      <c r="N123" s="12" t="str">
        <f t="shared" si="7"/>
        <v>08100205</v>
      </c>
    </row>
    <row r="124" spans="4:14" ht="23.25" customHeight="1" x14ac:dyDescent="0.25">
      <c r="D124" s="11" t="s">
        <v>141</v>
      </c>
      <c r="E124" s="134" t="str">
        <f>VLOOKUP(F124,'Activity List CSI'!$B$4:$D$146,3,0)</f>
        <v>08800-01</v>
      </c>
      <c r="F124" s="1" t="s">
        <v>142</v>
      </c>
      <c r="G124" s="1" t="str">
        <f>VLOOKUP($E124,'Activity List CSI'!$D$4:$J$146,G$1,0)</f>
        <v>08</v>
      </c>
      <c r="H124" s="1" t="str">
        <f>VLOOKUP($E124,'Activity List CSI'!$D$4:$J$146,H$1,0)</f>
        <v>Opennings</v>
      </c>
      <c r="I124" s="1" t="str">
        <f>VLOOKUP(D124,'Activity List CSI'!$C$4:$H$146,6,0)</f>
        <v>08800</v>
      </c>
      <c r="J124" s="1" t="str">
        <f>VLOOKUP($E124,'Activity List CSI'!$D$4:$J$146,J$1,0)</f>
        <v>Glazing</v>
      </c>
      <c r="K124" s="1" t="s">
        <v>633</v>
      </c>
      <c r="L124" s="1">
        <v>205</v>
      </c>
      <c r="M124" s="1" t="str">
        <f t="shared" si="5"/>
        <v>08800205</v>
      </c>
      <c r="N124" s="12" t="str">
        <f t="shared" si="7"/>
        <v>08800205</v>
      </c>
    </row>
    <row r="125" spans="4:14" ht="23.25" customHeight="1" x14ac:dyDescent="0.25">
      <c r="D125" s="11" t="s">
        <v>143</v>
      </c>
      <c r="E125" s="134" t="str">
        <f>VLOOKUP(F125,'Activity List CSI'!$B$4:$D$146,3,0)</f>
        <v>08300-02</v>
      </c>
      <c r="F125" s="1" t="s">
        <v>634</v>
      </c>
      <c r="G125" s="1" t="str">
        <f>VLOOKUP($E125,'Activity List CSI'!$D$4:$J$146,G$1,0)</f>
        <v>08</v>
      </c>
      <c r="H125" s="1" t="str">
        <f>VLOOKUP($E125,'Activity List CSI'!$D$4:$J$146,H$1,0)</f>
        <v>Opennings</v>
      </c>
      <c r="I125" s="1" t="str">
        <f>VLOOKUP(D125,'Activity List CSI'!$C$4:$H$146,6,0)</f>
        <v>08300</v>
      </c>
      <c r="J125" s="1" t="str">
        <f>VLOOKUP($E125,'Activity List CSI'!$D$4:$J$146,J$1,0)</f>
        <v>Specialty Doors</v>
      </c>
      <c r="K125" s="1" t="s">
        <v>632</v>
      </c>
      <c r="L125" s="1">
        <v>205</v>
      </c>
      <c r="M125" s="13" t="str">
        <f t="shared" si="5"/>
        <v>08300205</v>
      </c>
      <c r="N125" s="12" t="s">
        <v>671</v>
      </c>
    </row>
    <row r="126" spans="4:14" ht="23.25" customHeight="1" x14ac:dyDescent="0.25">
      <c r="D126" s="11" t="s">
        <v>144</v>
      </c>
      <c r="E126" s="134" t="str">
        <f>VLOOKUP(F126,'Activity List CSI'!$B$4:$D$146,3,0)</f>
        <v>08900-01</v>
      </c>
      <c r="F126" s="1" t="s">
        <v>145</v>
      </c>
      <c r="G126" s="1" t="str">
        <f>VLOOKUP($E126,'Activity List CSI'!$D$4:$J$146,G$1,0)</f>
        <v>08</v>
      </c>
      <c r="H126" s="1" t="str">
        <f>VLOOKUP($E126,'Activity List CSI'!$D$4:$J$146,H$1,0)</f>
        <v>Opennings</v>
      </c>
      <c r="I126" s="1" t="str">
        <f>VLOOKUP(D126,'Activity List CSI'!$C$4:$H$146,6,0)</f>
        <v>08900</v>
      </c>
      <c r="J126" s="1" t="str">
        <f>VLOOKUP($E126,'Activity List CSI'!$D$4:$J$146,J$1,0)</f>
        <v>Glazed Curtain Wall</v>
      </c>
      <c r="K126" s="1" t="s">
        <v>635</v>
      </c>
      <c r="L126" s="1">
        <v>205</v>
      </c>
      <c r="M126" s="1" t="str">
        <f t="shared" si="5"/>
        <v>08900205</v>
      </c>
      <c r="N126" s="12" t="str">
        <f>M126</f>
        <v>08900205</v>
      </c>
    </row>
    <row r="127" spans="4:14" ht="23.25" customHeight="1" x14ac:dyDescent="0.25">
      <c r="D127" s="11" t="s">
        <v>146</v>
      </c>
      <c r="E127" s="134" t="str">
        <f>VLOOKUP(F127,'Activity List CSI'!$B$4:$D$146,3,0)</f>
        <v>08500-01</v>
      </c>
      <c r="F127" s="1" t="s">
        <v>147</v>
      </c>
      <c r="G127" s="1" t="str">
        <f>VLOOKUP($E127,'Activity List CSI'!$D$4:$J$146,G$1,0)</f>
        <v>08</v>
      </c>
      <c r="H127" s="1" t="str">
        <f>VLOOKUP($E127,'Activity List CSI'!$D$4:$J$146,H$1,0)</f>
        <v>Opennings</v>
      </c>
      <c r="I127" s="1" t="str">
        <f>VLOOKUP(D127,'Activity List CSI'!$C$4:$H$146,6,0)</f>
        <v>08500</v>
      </c>
      <c r="J127" s="1" t="str">
        <f>VLOOKUP($E127,'Activity List CSI'!$D$4:$J$146,J$1,0)</f>
        <v>Windows</v>
      </c>
      <c r="K127" s="1" t="s">
        <v>630</v>
      </c>
      <c r="L127" s="1">
        <v>205</v>
      </c>
      <c r="M127" s="13" t="str">
        <f t="shared" si="5"/>
        <v>08500205</v>
      </c>
      <c r="N127" s="12" t="s">
        <v>672</v>
      </c>
    </row>
    <row r="128" spans="4:14" ht="23.25" customHeight="1" x14ac:dyDescent="0.25">
      <c r="D128" s="11" t="s">
        <v>148</v>
      </c>
      <c r="E128" s="134" t="str">
        <f>VLOOKUP(F128,'Activity List CSI'!$B$4:$D$146,3,0)</f>
        <v>08500-02</v>
      </c>
      <c r="F128" s="1" t="s">
        <v>149</v>
      </c>
      <c r="G128" s="1" t="str">
        <f>VLOOKUP($E128,'Activity List CSI'!$D$4:$J$146,G$1,0)</f>
        <v>08</v>
      </c>
      <c r="H128" s="1" t="str">
        <f>VLOOKUP($E128,'Activity List CSI'!$D$4:$J$146,H$1,0)</f>
        <v>Opennings</v>
      </c>
      <c r="I128" s="1" t="str">
        <f>VLOOKUP(D128,'Activity List CSI'!$C$4:$H$146,6,0)</f>
        <v>08500</v>
      </c>
      <c r="J128" s="1" t="str">
        <f>VLOOKUP($E128,'Activity List CSI'!$D$4:$J$146,J$1,0)</f>
        <v>Windows</v>
      </c>
      <c r="K128" s="1" t="s">
        <v>631</v>
      </c>
      <c r="L128" s="1">
        <v>205</v>
      </c>
      <c r="M128" s="13" t="str">
        <f t="shared" si="5"/>
        <v>08500205</v>
      </c>
      <c r="N128" s="12" t="s">
        <v>673</v>
      </c>
    </row>
    <row r="129" spans="4:14" ht="23.25" customHeight="1" x14ac:dyDescent="0.25">
      <c r="D129" s="11" t="s">
        <v>150</v>
      </c>
      <c r="E129" s="134" t="str">
        <f>VLOOKUP(F129,'Activity List CSI'!$B$4:$D$146,3,0)</f>
        <v>08500-03</v>
      </c>
      <c r="F129" s="1" t="s">
        <v>151</v>
      </c>
      <c r="G129" s="1" t="str">
        <f>VLOOKUP($E129,'Activity List CSI'!$D$4:$J$146,G$1,0)</f>
        <v>08</v>
      </c>
      <c r="H129" s="1" t="str">
        <f>VLOOKUP($E129,'Activity List CSI'!$D$4:$J$146,H$1,0)</f>
        <v>Opennings</v>
      </c>
      <c r="I129" s="1" t="str">
        <f>VLOOKUP(D129,'Activity List CSI'!$C$4:$H$146,6,0)</f>
        <v>08500</v>
      </c>
      <c r="J129" s="1" t="str">
        <f>VLOOKUP($E129,'Activity List CSI'!$D$4:$J$146,J$1,0)</f>
        <v>Windows</v>
      </c>
      <c r="K129" s="1" t="s">
        <v>632</v>
      </c>
      <c r="L129" s="1">
        <v>205</v>
      </c>
      <c r="M129" s="13" t="str">
        <f t="shared" si="5"/>
        <v>08500205</v>
      </c>
      <c r="N129" s="12" t="s">
        <v>671</v>
      </c>
    </row>
    <row r="130" spans="4:14" ht="23.25" customHeight="1" x14ac:dyDescent="0.25">
      <c r="D130" s="11" t="s">
        <v>152</v>
      </c>
      <c r="E130" s="134" t="str">
        <f>VLOOKUP(F130,'Activity List CSI'!$B$4:$D$146,3,0)</f>
        <v>08500-04</v>
      </c>
      <c r="F130" s="1" t="s">
        <v>153</v>
      </c>
      <c r="G130" s="1" t="str">
        <f>VLOOKUP($E130,'Activity List CSI'!$D$4:$J$146,G$1,0)</f>
        <v>08</v>
      </c>
      <c r="H130" s="1" t="str">
        <f>VLOOKUP($E130,'Activity List CSI'!$D$4:$J$146,H$1,0)</f>
        <v>Opennings</v>
      </c>
      <c r="I130" s="1" t="str">
        <f>VLOOKUP(D130,'Activity List CSI'!$C$4:$H$146,6,0)</f>
        <v>08500</v>
      </c>
      <c r="J130" s="1" t="str">
        <f>VLOOKUP($E130,'Activity List CSI'!$D$4:$J$146,J$1,0)</f>
        <v>Windows</v>
      </c>
      <c r="K130" s="1" t="s">
        <v>633</v>
      </c>
      <c r="L130" s="1">
        <v>205</v>
      </c>
      <c r="M130" s="13" t="str">
        <f t="shared" si="5"/>
        <v>08500205</v>
      </c>
      <c r="N130" s="12" t="s">
        <v>674</v>
      </c>
    </row>
    <row r="131" spans="4:14" ht="23.25" customHeight="1" x14ac:dyDescent="0.25">
      <c r="D131" s="11" t="s">
        <v>154</v>
      </c>
      <c r="E131" s="134" t="str">
        <f>VLOOKUP(F131,'Activity List CSI'!$B$4:$D$146,3,0)</f>
        <v>08600-01</v>
      </c>
      <c r="F131" s="1" t="s">
        <v>636</v>
      </c>
      <c r="G131" s="1" t="str">
        <f>VLOOKUP($E131,'Activity List CSI'!$D$4:$J$146,G$1,0)</f>
        <v>08</v>
      </c>
      <c r="H131" s="1" t="str">
        <f>VLOOKUP($E131,'Activity List CSI'!$D$4:$J$146,H$1,0)</f>
        <v>Opennings</v>
      </c>
      <c r="I131" s="1" t="str">
        <f>VLOOKUP(D131,'Activity List CSI'!$C$4:$H$146,6,0)</f>
        <v>08600</v>
      </c>
      <c r="J131" s="1" t="str">
        <f>VLOOKUP($E131,'Activity List CSI'!$D$4:$J$146,J$1,0)</f>
        <v>Skylight</v>
      </c>
      <c r="K131" s="1" t="s">
        <v>637</v>
      </c>
      <c r="L131" s="1">
        <v>205</v>
      </c>
      <c r="M131" s="1" t="str">
        <f t="shared" si="5"/>
        <v>08600205</v>
      </c>
      <c r="N131" s="12" t="str">
        <f>M131</f>
        <v>08600205</v>
      </c>
    </row>
    <row r="132" spans="4:14" ht="23.25" customHeight="1" x14ac:dyDescent="0.25">
      <c r="D132" s="11" t="s">
        <v>155</v>
      </c>
      <c r="E132" s="134" t="str">
        <f>VLOOKUP(F132,'Activity List CSI'!$B$4:$D$146,3,0)</f>
        <v>08050-01</v>
      </c>
      <c r="F132" s="1" t="s">
        <v>156</v>
      </c>
      <c r="G132" s="1" t="str">
        <f>VLOOKUP($E132,'Activity List CSI'!$D$4:$J$146,G$1,0)</f>
        <v>08</v>
      </c>
      <c r="H132" s="1" t="str">
        <f>VLOOKUP($E132,'Activity List CSI'!$D$4:$J$146,H$1,0)</f>
        <v>Opennings</v>
      </c>
      <c r="I132" s="1" t="str">
        <f>VLOOKUP(D132,'Activity List CSI'!$C$4:$H$146,6,0)</f>
        <v>08050</v>
      </c>
      <c r="J132" s="1" t="str">
        <f>VLOOKUP($E132,'Activity List CSI'!$D$4:$J$146,J$1,0)</f>
        <v>Basic Door &amp;Window Material &amp; Method</v>
      </c>
      <c r="K132" s="1" t="s">
        <v>630</v>
      </c>
      <c r="L132" s="1">
        <v>205</v>
      </c>
      <c r="M132" s="13" t="str">
        <f t="shared" si="5"/>
        <v>08050205</v>
      </c>
      <c r="N132" s="12" t="s">
        <v>672</v>
      </c>
    </row>
    <row r="133" spans="4:14" ht="23.25" customHeight="1" x14ac:dyDescent="0.25">
      <c r="D133" s="11" t="s">
        <v>157</v>
      </c>
      <c r="E133" s="134" t="str">
        <f>VLOOKUP(F133,'Activity List CSI'!$B$4:$D$146,3,0)</f>
        <v>09600-01</v>
      </c>
      <c r="F133" s="1" t="s">
        <v>158</v>
      </c>
      <c r="G133" s="1" t="str">
        <f>VLOOKUP($E133,'Activity List CSI'!$D$4:$J$146,G$1,0)</f>
        <v>09</v>
      </c>
      <c r="H133" s="1" t="str">
        <f>VLOOKUP($E133,'Activity List CSI'!$D$4:$J$146,H$1,0)</f>
        <v>Finishing</v>
      </c>
      <c r="I133" s="1" t="str">
        <f>VLOOKUP(D133,'Activity List CSI'!$C$4:$H$146,6,0)</f>
        <v>09600</v>
      </c>
      <c r="J133" s="1" t="str">
        <f>VLOOKUP($E133,'Activity List CSI'!$D$4:$J$146,J$1,0)</f>
        <v>Flooring</v>
      </c>
      <c r="K133" s="1" t="s">
        <v>638</v>
      </c>
      <c r="L133" s="1">
        <v>220</v>
      </c>
      <c r="M133" s="1" t="str">
        <f t="shared" ref="M133:M196" si="8">I133&amp;L133</f>
        <v>09600220</v>
      </c>
      <c r="N133" s="12" t="str">
        <f t="shared" ref="N133:N148" si="9">M133</f>
        <v>09600220</v>
      </c>
    </row>
    <row r="134" spans="4:14" ht="23.25" customHeight="1" x14ac:dyDescent="0.25">
      <c r="D134" s="11" t="s">
        <v>157</v>
      </c>
      <c r="E134" s="134" t="str">
        <f>VLOOKUP(F134,'Activity List CSI'!$B$4:$D$146,3,0)</f>
        <v>09600-01</v>
      </c>
      <c r="F134" s="1" t="s">
        <v>158</v>
      </c>
      <c r="G134" s="1" t="str">
        <f>VLOOKUP($E134,'Activity List CSI'!$D$4:$J$146,G$1,0)</f>
        <v>09</v>
      </c>
      <c r="H134" s="1" t="str">
        <f>VLOOKUP($E134,'Activity List CSI'!$D$4:$J$146,H$1,0)</f>
        <v>Finishing</v>
      </c>
      <c r="I134" s="1" t="str">
        <f>VLOOKUP(D134,'Activity List CSI'!$C$4:$H$146,6,0)</f>
        <v>09600</v>
      </c>
      <c r="J134" s="1" t="str">
        <f>VLOOKUP($E134,'Activity List CSI'!$D$4:$J$146,J$1,0)</f>
        <v>Flooring</v>
      </c>
      <c r="K134" s="1" t="s">
        <v>638</v>
      </c>
      <c r="L134" s="1">
        <v>220</v>
      </c>
      <c r="M134" s="1" t="str">
        <f t="shared" si="8"/>
        <v>09600220</v>
      </c>
      <c r="N134" s="12" t="str">
        <f t="shared" si="9"/>
        <v>09600220</v>
      </c>
    </row>
    <row r="135" spans="4:14" ht="23.25" customHeight="1" x14ac:dyDescent="0.25">
      <c r="D135" s="11" t="s">
        <v>159</v>
      </c>
      <c r="E135" s="134" t="str">
        <f>VLOOKUP(F135,'Activity List CSI'!$B$4:$D$146,3,0)</f>
        <v>09600-02</v>
      </c>
      <c r="F135" s="1" t="s">
        <v>160</v>
      </c>
      <c r="G135" s="1" t="str">
        <f>VLOOKUP($E135,'Activity List CSI'!$D$4:$J$146,G$1,0)</f>
        <v>09</v>
      </c>
      <c r="H135" s="1" t="str">
        <f>VLOOKUP($E135,'Activity List CSI'!$D$4:$J$146,H$1,0)</f>
        <v>Finishing</v>
      </c>
      <c r="I135" s="1" t="str">
        <f>VLOOKUP(D135,'Activity List CSI'!$C$4:$H$146,6,0)</f>
        <v>09600</v>
      </c>
      <c r="J135" s="1" t="str">
        <f>VLOOKUP($E135,'Activity List CSI'!$D$4:$J$146,J$1,0)</f>
        <v>Flooring</v>
      </c>
      <c r="K135" s="1" t="s">
        <v>639</v>
      </c>
      <c r="L135" s="1">
        <v>225</v>
      </c>
      <c r="M135" s="1" t="str">
        <f t="shared" si="8"/>
        <v>09600225</v>
      </c>
      <c r="N135" s="12" t="str">
        <f t="shared" si="9"/>
        <v>09600225</v>
      </c>
    </row>
    <row r="136" spans="4:14" ht="23.25" customHeight="1" x14ac:dyDescent="0.25">
      <c r="D136" s="11" t="s">
        <v>159</v>
      </c>
      <c r="E136" s="134" t="str">
        <f>VLOOKUP(F136,'Activity List CSI'!$B$4:$D$146,3,0)</f>
        <v>09600-02</v>
      </c>
      <c r="F136" s="1" t="s">
        <v>160</v>
      </c>
      <c r="G136" s="1" t="str">
        <f>VLOOKUP($E136,'Activity List CSI'!$D$4:$J$146,G$1,0)</f>
        <v>09</v>
      </c>
      <c r="H136" s="1" t="str">
        <f>VLOOKUP($E136,'Activity List CSI'!$D$4:$J$146,H$1,0)</f>
        <v>Finishing</v>
      </c>
      <c r="I136" s="1" t="str">
        <f>VLOOKUP(D136,'Activity List CSI'!$C$4:$H$146,6,0)</f>
        <v>09600</v>
      </c>
      <c r="J136" s="1" t="str">
        <f>VLOOKUP($E136,'Activity List CSI'!$D$4:$J$146,J$1,0)</f>
        <v>Flooring</v>
      </c>
      <c r="K136" s="1" t="s">
        <v>639</v>
      </c>
      <c r="L136" s="1">
        <v>225</v>
      </c>
      <c r="M136" s="1" t="str">
        <f t="shared" si="8"/>
        <v>09600225</v>
      </c>
      <c r="N136" s="12" t="str">
        <f t="shared" si="9"/>
        <v>09600225</v>
      </c>
    </row>
    <row r="137" spans="4:14" ht="23.25" customHeight="1" x14ac:dyDescent="0.25">
      <c r="D137" s="11" t="s">
        <v>161</v>
      </c>
      <c r="E137" s="134" t="str">
        <f>VLOOKUP(F137,'Activity List CSI'!$B$4:$D$146,3,0)</f>
        <v>09600-03</v>
      </c>
      <c r="F137" s="1" t="s">
        <v>162</v>
      </c>
      <c r="G137" s="1" t="str">
        <f>VLOOKUP($E137,'Activity List CSI'!$D$4:$J$146,G$1,0)</f>
        <v>09</v>
      </c>
      <c r="H137" s="1" t="str">
        <f>VLOOKUP($E137,'Activity List CSI'!$D$4:$J$146,H$1,0)</f>
        <v>Finishing</v>
      </c>
      <c r="I137" s="1" t="str">
        <f>VLOOKUP(D137,'Activity List CSI'!$C$4:$H$146,6,0)</f>
        <v>09600</v>
      </c>
      <c r="J137" s="1" t="str">
        <f>VLOOKUP($E137,'Activity List CSI'!$D$4:$J$146,J$1,0)</f>
        <v>Flooring</v>
      </c>
      <c r="K137" s="1" t="s">
        <v>640</v>
      </c>
      <c r="L137" s="1">
        <v>205</v>
      </c>
      <c r="M137" s="1" t="str">
        <f t="shared" si="8"/>
        <v>09600205</v>
      </c>
      <c r="N137" s="12" t="str">
        <f t="shared" si="9"/>
        <v>09600205</v>
      </c>
    </row>
    <row r="138" spans="4:14" ht="23.25" customHeight="1" x14ac:dyDescent="0.25">
      <c r="D138" s="11" t="s">
        <v>161</v>
      </c>
      <c r="E138" s="134" t="str">
        <f>VLOOKUP(F138,'Activity List CSI'!$B$4:$D$146,3,0)</f>
        <v>09600-03</v>
      </c>
      <c r="F138" s="1" t="s">
        <v>162</v>
      </c>
      <c r="G138" s="1" t="str">
        <f>VLOOKUP($E138,'Activity List CSI'!$D$4:$J$146,G$1,0)</f>
        <v>09</v>
      </c>
      <c r="H138" s="1" t="str">
        <f>VLOOKUP($E138,'Activity List CSI'!$D$4:$J$146,H$1,0)</f>
        <v>Finishing</v>
      </c>
      <c r="I138" s="1" t="str">
        <f>VLOOKUP(D138,'Activity List CSI'!$C$4:$H$146,6,0)</f>
        <v>09600</v>
      </c>
      <c r="J138" s="1" t="str">
        <f>VLOOKUP($E138,'Activity List CSI'!$D$4:$J$146,J$1,0)</f>
        <v>Flooring</v>
      </c>
      <c r="K138" s="1" t="s">
        <v>640</v>
      </c>
      <c r="L138" s="1">
        <v>205</v>
      </c>
      <c r="M138" s="1" t="str">
        <f t="shared" si="8"/>
        <v>09600205</v>
      </c>
      <c r="N138" s="12" t="str">
        <f t="shared" si="9"/>
        <v>09600205</v>
      </c>
    </row>
    <row r="139" spans="4:14" ht="23.25" customHeight="1" x14ac:dyDescent="0.25">
      <c r="D139" s="11" t="s">
        <v>163</v>
      </c>
      <c r="E139" s="134" t="str">
        <f>VLOOKUP(F139,'Activity List CSI'!$B$4:$D$146,3,0)</f>
        <v>09600-04</v>
      </c>
      <c r="F139" s="1" t="s">
        <v>164</v>
      </c>
      <c r="G139" s="1" t="str">
        <f>VLOOKUP($E139,'Activity List CSI'!$D$4:$J$146,G$1,0)</f>
        <v>09</v>
      </c>
      <c r="H139" s="1" t="str">
        <f>VLOOKUP($E139,'Activity List CSI'!$D$4:$J$146,H$1,0)</f>
        <v>Finishing</v>
      </c>
      <c r="I139" s="1" t="str">
        <f>VLOOKUP(D139,'Activity List CSI'!$C$4:$H$146,6,0)</f>
        <v>09600</v>
      </c>
      <c r="J139" s="1" t="str">
        <f>VLOOKUP($E139,'Activity List CSI'!$D$4:$J$146,J$1,0)</f>
        <v>Flooring</v>
      </c>
      <c r="K139" s="1" t="s">
        <v>645</v>
      </c>
      <c r="L139" s="1">
        <v>220</v>
      </c>
      <c r="M139" s="13" t="str">
        <f t="shared" si="8"/>
        <v>09600220</v>
      </c>
      <c r="N139" s="12" t="s">
        <v>677</v>
      </c>
    </row>
    <row r="140" spans="4:14" ht="23.25" customHeight="1" x14ac:dyDescent="0.25">
      <c r="D140" s="11" t="s">
        <v>163</v>
      </c>
      <c r="E140" s="134" t="str">
        <f>VLOOKUP(F140,'Activity List CSI'!$B$4:$D$146,3,0)</f>
        <v>09600-04</v>
      </c>
      <c r="F140" s="1" t="s">
        <v>164</v>
      </c>
      <c r="G140" s="1" t="str">
        <f>VLOOKUP($E140,'Activity List CSI'!$D$4:$J$146,G$1,0)</f>
        <v>09</v>
      </c>
      <c r="H140" s="1" t="str">
        <f>VLOOKUP($E140,'Activity List CSI'!$D$4:$J$146,H$1,0)</f>
        <v>Finishing</v>
      </c>
      <c r="I140" s="1" t="str">
        <f>VLOOKUP(D140,'Activity List CSI'!$C$4:$H$146,6,0)</f>
        <v>09600</v>
      </c>
      <c r="J140" s="1" t="str">
        <f>VLOOKUP($E140,'Activity List CSI'!$D$4:$J$146,J$1,0)</f>
        <v>Flooring</v>
      </c>
      <c r="K140" s="1" t="s">
        <v>645</v>
      </c>
      <c r="L140" s="1">
        <v>220</v>
      </c>
      <c r="M140" s="13" t="str">
        <f t="shared" si="8"/>
        <v>09600220</v>
      </c>
      <c r="N140" s="12" t="s">
        <v>677</v>
      </c>
    </row>
    <row r="141" spans="4:14" ht="23.25" customHeight="1" x14ac:dyDescent="0.25">
      <c r="D141" s="11" t="s">
        <v>165</v>
      </c>
      <c r="E141" s="134" t="str">
        <f>VLOOKUP(F141,'Activity List CSI'!$B$4:$D$146,3,0)</f>
        <v>09600-05</v>
      </c>
      <c r="F141" s="1" t="s">
        <v>166</v>
      </c>
      <c r="G141" s="1" t="str">
        <f>VLOOKUP($E141,'Activity List CSI'!$D$4:$J$146,G$1,0)</f>
        <v>09</v>
      </c>
      <c r="H141" s="1" t="str">
        <f>VLOOKUP($E141,'Activity List CSI'!$D$4:$J$146,H$1,0)</f>
        <v>Finishing</v>
      </c>
      <c r="I141" s="1" t="str">
        <f>VLOOKUP(D141,'Activity List CSI'!$C$4:$H$146,6,0)</f>
        <v>09600</v>
      </c>
      <c r="J141" s="1" t="str">
        <f>VLOOKUP($E141,'Activity List CSI'!$D$4:$J$146,J$1,0)</f>
        <v>Flooring</v>
      </c>
      <c r="K141" s="1" t="s">
        <v>642</v>
      </c>
      <c r="L141" s="1">
        <v>215</v>
      </c>
      <c r="M141" s="1" t="str">
        <f t="shared" si="8"/>
        <v>09600215</v>
      </c>
      <c r="N141" s="12" t="str">
        <f t="shared" si="9"/>
        <v>09600215</v>
      </c>
    </row>
    <row r="142" spans="4:14" ht="23.25" customHeight="1" x14ac:dyDescent="0.25">
      <c r="D142" s="11" t="s">
        <v>165</v>
      </c>
      <c r="E142" s="134" t="str">
        <f>VLOOKUP(F142,'Activity List CSI'!$B$4:$D$146,3,0)</f>
        <v>09600-05</v>
      </c>
      <c r="F142" s="1" t="s">
        <v>166</v>
      </c>
      <c r="G142" s="1" t="str">
        <f>VLOOKUP($E142,'Activity List CSI'!$D$4:$J$146,G$1,0)</f>
        <v>09</v>
      </c>
      <c r="H142" s="1" t="str">
        <f>VLOOKUP($E142,'Activity List CSI'!$D$4:$J$146,H$1,0)</f>
        <v>Finishing</v>
      </c>
      <c r="I142" s="1" t="str">
        <f>VLOOKUP(D142,'Activity List CSI'!$C$4:$H$146,6,0)</f>
        <v>09600</v>
      </c>
      <c r="J142" s="1" t="str">
        <f>VLOOKUP($E142,'Activity List CSI'!$D$4:$J$146,J$1,0)</f>
        <v>Flooring</v>
      </c>
      <c r="K142" s="1" t="s">
        <v>642</v>
      </c>
      <c r="L142" s="1">
        <v>215</v>
      </c>
      <c r="M142" s="1" t="str">
        <f t="shared" si="8"/>
        <v>09600215</v>
      </c>
      <c r="N142" s="12" t="str">
        <f t="shared" si="9"/>
        <v>09600215</v>
      </c>
    </row>
    <row r="143" spans="4:14" ht="23.25" customHeight="1" x14ac:dyDescent="0.25">
      <c r="D143" s="11" t="s">
        <v>167</v>
      </c>
      <c r="E143" s="134" t="str">
        <f>VLOOKUP(F143,'Activity List CSI'!$B$4:$D$146,3,0)</f>
        <v>09300-01</v>
      </c>
      <c r="F143" s="1" t="s">
        <v>168</v>
      </c>
      <c r="G143" s="1" t="str">
        <f>VLOOKUP($E143,'Activity List CSI'!$D$4:$J$146,G$1,0)</f>
        <v>09</v>
      </c>
      <c r="H143" s="1" t="str">
        <f>VLOOKUP($E143,'Activity List CSI'!$D$4:$J$146,H$1,0)</f>
        <v>Finishing</v>
      </c>
      <c r="I143" s="1" t="str">
        <f>VLOOKUP(D143,'Activity List CSI'!$C$4:$H$146,6,0)</f>
        <v>09300</v>
      </c>
      <c r="J143" s="1" t="str">
        <f>VLOOKUP($E143,'Activity List CSI'!$D$4:$J$146,J$1,0)</f>
        <v>Tile</v>
      </c>
      <c r="K143" s="1" t="s">
        <v>643</v>
      </c>
      <c r="L143" s="1">
        <v>215</v>
      </c>
      <c r="M143" s="1" t="str">
        <f t="shared" si="8"/>
        <v>09300215</v>
      </c>
      <c r="N143" s="12" t="str">
        <f t="shared" si="9"/>
        <v>09300215</v>
      </c>
    </row>
    <row r="144" spans="4:14" ht="23.25" customHeight="1" x14ac:dyDescent="0.25">
      <c r="D144" s="11" t="s">
        <v>167</v>
      </c>
      <c r="E144" s="134" t="str">
        <f>VLOOKUP(F144,'Activity List CSI'!$B$4:$D$146,3,0)</f>
        <v>09300-01</v>
      </c>
      <c r="F144" s="1" t="s">
        <v>168</v>
      </c>
      <c r="G144" s="1" t="str">
        <f>VLOOKUP($E144,'Activity List CSI'!$D$4:$J$146,G$1,0)</f>
        <v>09</v>
      </c>
      <c r="H144" s="1" t="str">
        <f>VLOOKUP($E144,'Activity List CSI'!$D$4:$J$146,H$1,0)</f>
        <v>Finishing</v>
      </c>
      <c r="I144" s="1" t="str">
        <f>VLOOKUP(D144,'Activity List CSI'!$C$4:$H$146,6,0)</f>
        <v>09300</v>
      </c>
      <c r="J144" s="1" t="str">
        <f>VLOOKUP($E144,'Activity List CSI'!$D$4:$J$146,J$1,0)</f>
        <v>Tile</v>
      </c>
      <c r="K144" s="1" t="s">
        <v>643</v>
      </c>
      <c r="L144" s="1">
        <v>215</v>
      </c>
      <c r="M144" s="1" t="str">
        <f t="shared" si="8"/>
        <v>09300215</v>
      </c>
      <c r="N144" s="12" t="str">
        <f t="shared" si="9"/>
        <v>09300215</v>
      </c>
    </row>
    <row r="145" spans="4:14" ht="23.25" customHeight="1" x14ac:dyDescent="0.25">
      <c r="D145" s="11" t="s">
        <v>169</v>
      </c>
      <c r="E145" s="134" t="str">
        <f>VLOOKUP(F145,'Activity List CSI'!$B$4:$D$146,3,0)</f>
        <v>09300-02</v>
      </c>
      <c r="F145" s="1" t="s">
        <v>170</v>
      </c>
      <c r="G145" s="1" t="str">
        <f>VLOOKUP($E145,'Activity List CSI'!$D$4:$J$146,G$1,0)</f>
        <v>09</v>
      </c>
      <c r="H145" s="1" t="str">
        <f>VLOOKUP($E145,'Activity List CSI'!$D$4:$J$146,H$1,0)</f>
        <v>Finishing</v>
      </c>
      <c r="I145" s="1" t="str">
        <f>VLOOKUP(D145,'Activity List CSI'!$C$4:$H$146,6,0)</f>
        <v>09300</v>
      </c>
      <c r="J145" s="1" t="str">
        <f>VLOOKUP($E145,'Activity List CSI'!$D$4:$J$146,J$1,0)</f>
        <v>Tile</v>
      </c>
      <c r="K145" s="1" t="s">
        <v>644</v>
      </c>
      <c r="L145" s="1">
        <v>225</v>
      </c>
      <c r="M145" s="1" t="str">
        <f t="shared" si="8"/>
        <v>09300225</v>
      </c>
      <c r="N145" s="12" t="str">
        <f t="shared" si="9"/>
        <v>09300225</v>
      </c>
    </row>
    <row r="146" spans="4:14" ht="23.25" customHeight="1" x14ac:dyDescent="0.25">
      <c r="D146" s="11" t="s">
        <v>169</v>
      </c>
      <c r="E146" s="134" t="str">
        <f>VLOOKUP(F146,'Activity List CSI'!$B$4:$D$146,3,0)</f>
        <v>09300-02</v>
      </c>
      <c r="F146" s="1" t="s">
        <v>170</v>
      </c>
      <c r="G146" s="1" t="str">
        <f>VLOOKUP($E146,'Activity List CSI'!$D$4:$J$146,G$1,0)</f>
        <v>09</v>
      </c>
      <c r="H146" s="1" t="str">
        <f>VLOOKUP($E146,'Activity List CSI'!$D$4:$J$146,H$1,0)</f>
        <v>Finishing</v>
      </c>
      <c r="I146" s="1" t="str">
        <f>VLOOKUP(D146,'Activity List CSI'!$C$4:$H$146,6,0)</f>
        <v>09300</v>
      </c>
      <c r="J146" s="1" t="str">
        <f>VLOOKUP($E146,'Activity List CSI'!$D$4:$J$146,J$1,0)</f>
        <v>Tile</v>
      </c>
      <c r="K146" s="1" t="s">
        <v>644</v>
      </c>
      <c r="L146" s="1">
        <v>225</v>
      </c>
      <c r="M146" s="1" t="str">
        <f t="shared" si="8"/>
        <v>09300225</v>
      </c>
      <c r="N146" s="12" t="str">
        <f t="shared" si="9"/>
        <v>09300225</v>
      </c>
    </row>
    <row r="147" spans="4:14" ht="23.25" customHeight="1" x14ac:dyDescent="0.25">
      <c r="D147" s="11" t="s">
        <v>171</v>
      </c>
      <c r="E147" s="134" t="str">
        <f>VLOOKUP(F147,'Activity List CSI'!$B$4:$D$146,3,0)</f>
        <v>09300-03</v>
      </c>
      <c r="F147" s="1" t="s">
        <v>172</v>
      </c>
      <c r="G147" s="1" t="str">
        <f>VLOOKUP($E147,'Activity List CSI'!$D$4:$J$146,G$1,0)</f>
        <v>09</v>
      </c>
      <c r="H147" s="1" t="str">
        <f>VLOOKUP($E147,'Activity List CSI'!$D$4:$J$146,H$1,0)</f>
        <v>Finishing</v>
      </c>
      <c r="I147" s="1" t="str">
        <f>VLOOKUP(D147,'Activity List CSI'!$C$4:$H$146,6,0)</f>
        <v>09300</v>
      </c>
      <c r="J147" s="1" t="str">
        <f>VLOOKUP($E147,'Activity List CSI'!$D$4:$J$146,J$1,0)</f>
        <v>Tile</v>
      </c>
      <c r="K147" s="1" t="s">
        <v>645</v>
      </c>
      <c r="L147" s="1">
        <v>220</v>
      </c>
      <c r="M147" s="1" t="str">
        <f t="shared" si="8"/>
        <v>09300220</v>
      </c>
      <c r="N147" s="12" t="str">
        <f t="shared" si="9"/>
        <v>09300220</v>
      </c>
    </row>
    <row r="148" spans="4:14" ht="23.25" customHeight="1" x14ac:dyDescent="0.25">
      <c r="D148" s="11" t="s">
        <v>171</v>
      </c>
      <c r="E148" s="134" t="str">
        <f>VLOOKUP(F148,'Activity List CSI'!$B$4:$D$146,3,0)</f>
        <v>09300-03</v>
      </c>
      <c r="F148" s="1" t="s">
        <v>172</v>
      </c>
      <c r="G148" s="1" t="str">
        <f>VLOOKUP($E148,'Activity List CSI'!$D$4:$J$146,G$1,0)</f>
        <v>09</v>
      </c>
      <c r="H148" s="1" t="str">
        <f>VLOOKUP($E148,'Activity List CSI'!$D$4:$J$146,H$1,0)</f>
        <v>Finishing</v>
      </c>
      <c r="I148" s="1" t="str">
        <f>VLOOKUP(D148,'Activity List CSI'!$C$4:$H$146,6,0)</f>
        <v>09300</v>
      </c>
      <c r="J148" s="1" t="str">
        <f>VLOOKUP($E148,'Activity List CSI'!$D$4:$J$146,J$1,0)</f>
        <v>Tile</v>
      </c>
      <c r="K148" s="1" t="s">
        <v>645</v>
      </c>
      <c r="L148" s="1">
        <v>220</v>
      </c>
      <c r="M148" s="1" t="str">
        <f t="shared" si="8"/>
        <v>09300220</v>
      </c>
      <c r="N148" s="12" t="str">
        <f t="shared" si="9"/>
        <v>09300220</v>
      </c>
    </row>
    <row r="149" spans="4:14" ht="23.25" customHeight="1" x14ac:dyDescent="0.25">
      <c r="D149" s="11" t="s">
        <v>173</v>
      </c>
      <c r="E149" s="134" t="str">
        <f>VLOOKUP(F149,'Activity List CSI'!$B$4:$D$146,3,0)</f>
        <v>09300-04</v>
      </c>
      <c r="F149" s="1" t="s">
        <v>174</v>
      </c>
      <c r="G149" s="1" t="str">
        <f>VLOOKUP($E149,'Activity List CSI'!$D$4:$J$146,G$1,0)</f>
        <v>09</v>
      </c>
      <c r="H149" s="1" t="str">
        <f>VLOOKUP($E149,'Activity List CSI'!$D$4:$J$146,H$1,0)</f>
        <v>Finishing</v>
      </c>
      <c r="I149" s="1" t="str">
        <f>VLOOKUP(D149,'Activity List CSI'!$C$4:$H$146,6,0)</f>
        <v>09300</v>
      </c>
      <c r="J149" s="1" t="str">
        <f>VLOOKUP($E149,'Activity List CSI'!$D$4:$J$146,J$1,0)</f>
        <v>Tile</v>
      </c>
      <c r="K149" s="1" t="s">
        <v>642</v>
      </c>
      <c r="L149" s="1">
        <v>215</v>
      </c>
      <c r="M149" s="13" t="str">
        <f t="shared" si="8"/>
        <v>09300215</v>
      </c>
      <c r="N149" s="12" t="s">
        <v>678</v>
      </c>
    </row>
    <row r="150" spans="4:14" ht="23.25" customHeight="1" x14ac:dyDescent="0.25">
      <c r="D150" s="11" t="s">
        <v>173</v>
      </c>
      <c r="E150" s="134" t="str">
        <f>VLOOKUP(F150,'Activity List CSI'!$B$4:$D$146,3,0)</f>
        <v>09300-04</v>
      </c>
      <c r="F150" s="1" t="s">
        <v>174</v>
      </c>
      <c r="G150" s="1" t="str">
        <f>VLOOKUP($E150,'Activity List CSI'!$D$4:$J$146,G$1,0)</f>
        <v>09</v>
      </c>
      <c r="H150" s="1" t="str">
        <f>VLOOKUP($E150,'Activity List CSI'!$D$4:$J$146,H$1,0)</f>
        <v>Finishing</v>
      </c>
      <c r="I150" s="1" t="str">
        <f>VLOOKUP(D150,'Activity List CSI'!$C$4:$H$146,6,0)</f>
        <v>09300</v>
      </c>
      <c r="J150" s="1" t="str">
        <f>VLOOKUP($E150,'Activity List CSI'!$D$4:$J$146,J$1,0)</f>
        <v>Tile</v>
      </c>
      <c r="K150" s="1" t="s">
        <v>642</v>
      </c>
      <c r="L150" s="1">
        <v>215</v>
      </c>
      <c r="M150" s="13" t="str">
        <f t="shared" si="8"/>
        <v>09300215</v>
      </c>
      <c r="N150" s="12" t="s">
        <v>678</v>
      </c>
    </row>
    <row r="151" spans="4:14" ht="23.25" customHeight="1" x14ac:dyDescent="0.25">
      <c r="D151" s="11" t="s">
        <v>175</v>
      </c>
      <c r="E151" s="134" t="str">
        <f>VLOOKUP(F151,'Activity List CSI'!$B$4:$D$146,3,0)</f>
        <v>09300-05</v>
      </c>
      <c r="F151" s="1" t="s">
        <v>176</v>
      </c>
      <c r="G151" s="1" t="str">
        <f>VLOOKUP($E151,'Activity List CSI'!$D$4:$J$146,G$1,0)</f>
        <v>09</v>
      </c>
      <c r="H151" s="1" t="str">
        <f>VLOOKUP($E151,'Activity List CSI'!$D$4:$J$146,H$1,0)</f>
        <v>Finishing</v>
      </c>
      <c r="I151" s="1" t="str">
        <f>VLOOKUP(D151,'Activity List CSI'!$C$4:$H$146,6,0)</f>
        <v>09300</v>
      </c>
      <c r="J151" s="1" t="str">
        <f>VLOOKUP($E151,'Activity List CSI'!$D$4:$J$146,J$1,0)</f>
        <v>Tile</v>
      </c>
      <c r="K151" s="1" t="s">
        <v>640</v>
      </c>
      <c r="L151" s="1">
        <v>205</v>
      </c>
      <c r="M151" s="13" t="str">
        <f t="shared" si="8"/>
        <v>09300205</v>
      </c>
      <c r="N151" s="12" t="s">
        <v>676</v>
      </c>
    </row>
    <row r="152" spans="4:14" ht="23.25" customHeight="1" x14ac:dyDescent="0.25">
      <c r="D152" s="11" t="s">
        <v>175</v>
      </c>
      <c r="E152" s="134" t="str">
        <f>VLOOKUP(F152,'Activity List CSI'!$B$4:$D$146,3,0)</f>
        <v>09300-05</v>
      </c>
      <c r="F152" s="1" t="s">
        <v>176</v>
      </c>
      <c r="G152" s="1" t="str">
        <f>VLOOKUP($E152,'Activity List CSI'!$D$4:$J$146,G$1,0)</f>
        <v>09</v>
      </c>
      <c r="H152" s="1" t="str">
        <f>VLOOKUP($E152,'Activity List CSI'!$D$4:$J$146,H$1,0)</f>
        <v>Finishing</v>
      </c>
      <c r="I152" s="1" t="str">
        <f>VLOOKUP(D152,'Activity List CSI'!$C$4:$H$146,6,0)</f>
        <v>09300</v>
      </c>
      <c r="J152" s="1" t="str">
        <f>VLOOKUP($E152,'Activity List CSI'!$D$4:$J$146,J$1,0)</f>
        <v>Tile</v>
      </c>
      <c r="K152" s="1" t="s">
        <v>640</v>
      </c>
      <c r="L152" s="1">
        <v>205</v>
      </c>
      <c r="M152" s="13" t="str">
        <f t="shared" si="8"/>
        <v>09300205</v>
      </c>
      <c r="N152" s="12" t="s">
        <v>676</v>
      </c>
    </row>
    <row r="153" spans="4:14" ht="23.25" customHeight="1" x14ac:dyDescent="0.25">
      <c r="D153" s="11" t="s">
        <v>177</v>
      </c>
      <c r="E153" s="134" t="str">
        <f>VLOOKUP(F153,'Activity List CSI'!$B$4:$D$146,3,0)</f>
        <v>09300-06</v>
      </c>
      <c r="F153" s="1" t="s">
        <v>178</v>
      </c>
      <c r="G153" s="1" t="str">
        <f>VLOOKUP($E153,'Activity List CSI'!$D$4:$J$146,G$1,0)</f>
        <v>09</v>
      </c>
      <c r="H153" s="1" t="str">
        <f>VLOOKUP($E153,'Activity List CSI'!$D$4:$J$146,H$1,0)</f>
        <v>Finishing</v>
      </c>
      <c r="I153" s="1" t="str">
        <f>VLOOKUP(D153,'Activity List CSI'!$C$4:$H$146,6,0)</f>
        <v>09300</v>
      </c>
      <c r="J153" s="1" t="str">
        <f>VLOOKUP($E153,'Activity List CSI'!$D$4:$J$146,J$1,0)</f>
        <v>Tile</v>
      </c>
      <c r="K153" s="1" t="s">
        <v>640</v>
      </c>
      <c r="L153" s="1">
        <v>205</v>
      </c>
      <c r="M153" s="13" t="str">
        <f t="shared" si="8"/>
        <v>09300205</v>
      </c>
      <c r="N153" s="12" t="s">
        <v>676</v>
      </c>
    </row>
    <row r="154" spans="4:14" ht="23.25" customHeight="1" x14ac:dyDescent="0.25">
      <c r="D154" s="11" t="s">
        <v>177</v>
      </c>
      <c r="E154" s="134" t="str">
        <f>VLOOKUP(F154,'Activity List CSI'!$B$4:$D$146,3,0)</f>
        <v>09300-06</v>
      </c>
      <c r="F154" s="1" t="s">
        <v>178</v>
      </c>
      <c r="G154" s="1" t="str">
        <f>VLOOKUP($E154,'Activity List CSI'!$D$4:$J$146,G$1,0)</f>
        <v>09</v>
      </c>
      <c r="H154" s="1" t="str">
        <f>VLOOKUP($E154,'Activity List CSI'!$D$4:$J$146,H$1,0)</f>
        <v>Finishing</v>
      </c>
      <c r="I154" s="1" t="str">
        <f>VLOOKUP(D154,'Activity List CSI'!$C$4:$H$146,6,0)</f>
        <v>09300</v>
      </c>
      <c r="J154" s="1" t="str">
        <f>VLOOKUP($E154,'Activity List CSI'!$D$4:$J$146,J$1,0)</f>
        <v>Tile</v>
      </c>
      <c r="K154" s="1" t="s">
        <v>640</v>
      </c>
      <c r="L154" s="1">
        <v>205</v>
      </c>
      <c r="M154" s="13" t="str">
        <f t="shared" si="8"/>
        <v>09300205</v>
      </c>
      <c r="N154" s="12" t="s">
        <v>676</v>
      </c>
    </row>
    <row r="155" spans="4:14" ht="23.25" customHeight="1" x14ac:dyDescent="0.25">
      <c r="D155" s="11" t="s">
        <v>179</v>
      </c>
      <c r="E155" s="134" t="str">
        <f>VLOOKUP(F155,'Activity List CSI'!$B$4:$D$146,3,0)</f>
        <v>09300-07</v>
      </c>
      <c r="F155" s="1" t="s">
        <v>180</v>
      </c>
      <c r="G155" s="1" t="str">
        <f>VLOOKUP($E155,'Activity List CSI'!$D$4:$J$146,G$1,0)</f>
        <v>09</v>
      </c>
      <c r="H155" s="1" t="str">
        <f>VLOOKUP($E155,'Activity List CSI'!$D$4:$J$146,H$1,0)</f>
        <v>Finishing</v>
      </c>
      <c r="I155" s="1" t="str">
        <f>VLOOKUP(D155,'Activity List CSI'!$C$4:$H$146,6,0)</f>
        <v>09300</v>
      </c>
      <c r="J155" s="1" t="str">
        <f>VLOOKUP($E155,'Activity List CSI'!$D$4:$J$146,J$1,0)</f>
        <v>Tile</v>
      </c>
      <c r="K155" s="1" t="s">
        <v>645</v>
      </c>
      <c r="L155" s="1">
        <v>220</v>
      </c>
      <c r="M155" s="1" t="str">
        <f t="shared" si="8"/>
        <v>09300220</v>
      </c>
      <c r="N155" s="12" t="str">
        <f t="shared" ref="N155:N156" si="10">M155</f>
        <v>09300220</v>
      </c>
    </row>
    <row r="156" spans="4:14" ht="23.25" customHeight="1" x14ac:dyDescent="0.25">
      <c r="D156" s="11" t="s">
        <v>179</v>
      </c>
      <c r="E156" s="134" t="str">
        <f>VLOOKUP(F156,'Activity List CSI'!$B$4:$D$146,3,0)</f>
        <v>09300-07</v>
      </c>
      <c r="F156" s="1" t="s">
        <v>180</v>
      </c>
      <c r="G156" s="1" t="str">
        <f>VLOOKUP($E156,'Activity List CSI'!$D$4:$J$146,G$1,0)</f>
        <v>09</v>
      </c>
      <c r="H156" s="1" t="str">
        <f>VLOOKUP($E156,'Activity List CSI'!$D$4:$J$146,H$1,0)</f>
        <v>Finishing</v>
      </c>
      <c r="I156" s="1" t="str">
        <f>VLOOKUP(D156,'Activity List CSI'!$C$4:$H$146,6,0)</f>
        <v>09300</v>
      </c>
      <c r="J156" s="1" t="str">
        <f>VLOOKUP($E156,'Activity List CSI'!$D$4:$J$146,J$1,0)</f>
        <v>Tile</v>
      </c>
      <c r="K156" s="1" t="s">
        <v>645</v>
      </c>
      <c r="L156" s="1">
        <v>220</v>
      </c>
      <c r="M156" s="1" t="str">
        <f t="shared" si="8"/>
        <v>09300220</v>
      </c>
      <c r="N156" s="12" t="str">
        <f t="shared" si="10"/>
        <v>09300220</v>
      </c>
    </row>
    <row r="157" spans="4:14" ht="23.25" customHeight="1" x14ac:dyDescent="0.25">
      <c r="D157" s="11" t="s">
        <v>181</v>
      </c>
      <c r="E157" s="134" t="str">
        <f>VLOOKUP(F157,'Activity List CSI'!$B$4:$D$146,3,0)</f>
        <v>09700-01</v>
      </c>
      <c r="F157" s="1" t="s">
        <v>182</v>
      </c>
      <c r="G157" s="1" t="str">
        <f>VLOOKUP($E157,'Activity List CSI'!$D$4:$J$146,G$1,0)</f>
        <v>09</v>
      </c>
      <c r="H157" s="1" t="str">
        <f>VLOOKUP($E157,'Activity List CSI'!$D$4:$J$146,H$1,0)</f>
        <v>Finishing</v>
      </c>
      <c r="I157" s="1" t="str">
        <f>VLOOKUP(D157,'Activity List CSI'!$C$4:$H$146,6,0)</f>
        <v>09700</v>
      </c>
      <c r="J157" s="1" t="str">
        <f>VLOOKUP($E157,'Activity List CSI'!$D$4:$J$146,J$1,0)</f>
        <v>Wall Finishes</v>
      </c>
      <c r="K157" s="1" t="s">
        <v>642</v>
      </c>
      <c r="L157" s="1">
        <v>215</v>
      </c>
      <c r="M157" s="13" t="str">
        <f t="shared" si="8"/>
        <v>09700215</v>
      </c>
      <c r="N157" s="12" t="s">
        <v>678</v>
      </c>
    </row>
    <row r="158" spans="4:14" ht="23.25" customHeight="1" x14ac:dyDescent="0.25">
      <c r="D158" s="11" t="s">
        <v>181</v>
      </c>
      <c r="E158" s="134" t="str">
        <f>VLOOKUP(F158,'Activity List CSI'!$B$4:$D$146,3,0)</f>
        <v>09700-01</v>
      </c>
      <c r="F158" s="1" t="s">
        <v>182</v>
      </c>
      <c r="G158" s="1" t="str">
        <f>VLOOKUP($E158,'Activity List CSI'!$D$4:$J$146,G$1,0)</f>
        <v>09</v>
      </c>
      <c r="H158" s="1" t="str">
        <f>VLOOKUP($E158,'Activity List CSI'!$D$4:$J$146,H$1,0)</f>
        <v>Finishing</v>
      </c>
      <c r="I158" s="1" t="str">
        <f>VLOOKUP(D158,'Activity List CSI'!$C$4:$H$146,6,0)</f>
        <v>09700</v>
      </c>
      <c r="J158" s="1" t="str">
        <f>VLOOKUP($E158,'Activity List CSI'!$D$4:$J$146,J$1,0)</f>
        <v>Wall Finishes</v>
      </c>
      <c r="K158" s="1" t="s">
        <v>642</v>
      </c>
      <c r="L158" s="1">
        <v>215</v>
      </c>
      <c r="M158" s="13" t="str">
        <f t="shared" si="8"/>
        <v>09700215</v>
      </c>
      <c r="N158" s="12" t="s">
        <v>678</v>
      </c>
    </row>
    <row r="159" spans="4:14" ht="23.25" customHeight="1" x14ac:dyDescent="0.25">
      <c r="D159" s="11" t="s">
        <v>183</v>
      </c>
      <c r="E159" s="134" t="str">
        <f>VLOOKUP(F159,'Activity List CSI'!$B$4:$D$146,3,0)</f>
        <v>09700-02</v>
      </c>
      <c r="F159" s="1" t="s">
        <v>184</v>
      </c>
      <c r="G159" s="1" t="str">
        <f>VLOOKUP($E159,'Activity List CSI'!$D$4:$J$146,G$1,0)</f>
        <v>09</v>
      </c>
      <c r="H159" s="1" t="str">
        <f>VLOOKUP($E159,'Activity List CSI'!$D$4:$J$146,H$1,0)</f>
        <v>Finishing</v>
      </c>
      <c r="I159" s="1" t="str">
        <f>VLOOKUP(D159,'Activity List CSI'!$C$4:$H$146,6,0)</f>
        <v>09700</v>
      </c>
      <c r="J159" s="1" t="str">
        <f>VLOOKUP($E159,'Activity List CSI'!$D$4:$J$146,J$1,0)</f>
        <v>Wall Finishes</v>
      </c>
      <c r="K159" s="1" t="s">
        <v>646</v>
      </c>
      <c r="L159" s="1">
        <v>205</v>
      </c>
      <c r="M159" s="13" t="str">
        <f t="shared" si="8"/>
        <v>09700205</v>
      </c>
      <c r="N159" s="12" t="s">
        <v>675</v>
      </c>
    </row>
    <row r="160" spans="4:14" ht="23.25" customHeight="1" x14ac:dyDescent="0.25">
      <c r="D160" s="11" t="s">
        <v>183</v>
      </c>
      <c r="E160" s="134" t="str">
        <f>VLOOKUP(F160,'Activity List CSI'!$B$4:$D$146,3,0)</f>
        <v>09700-02</v>
      </c>
      <c r="F160" s="1" t="s">
        <v>184</v>
      </c>
      <c r="G160" s="1" t="str">
        <f>VLOOKUP($E160,'Activity List CSI'!$D$4:$J$146,G$1,0)</f>
        <v>09</v>
      </c>
      <c r="H160" s="1" t="str">
        <f>VLOOKUP($E160,'Activity List CSI'!$D$4:$J$146,H$1,0)</f>
        <v>Finishing</v>
      </c>
      <c r="I160" s="1" t="str">
        <f>VLOOKUP(D160,'Activity List CSI'!$C$4:$H$146,6,0)</f>
        <v>09700</v>
      </c>
      <c r="J160" s="1" t="str">
        <f>VLOOKUP($E160,'Activity List CSI'!$D$4:$J$146,J$1,0)</f>
        <v>Wall Finishes</v>
      </c>
      <c r="K160" s="1" t="s">
        <v>646</v>
      </c>
      <c r="L160" s="1">
        <v>205</v>
      </c>
      <c r="M160" s="13" t="str">
        <f t="shared" si="8"/>
        <v>09700205</v>
      </c>
      <c r="N160" s="12" t="s">
        <v>675</v>
      </c>
    </row>
    <row r="161" spans="4:14" ht="23.25" customHeight="1" x14ac:dyDescent="0.25">
      <c r="D161" s="11" t="s">
        <v>185</v>
      </c>
      <c r="E161" s="134" t="str">
        <f>VLOOKUP(F161,'Activity List CSI'!$B$4:$D$146,3,0)</f>
        <v>09200-01</v>
      </c>
      <c r="F161" s="1" t="s">
        <v>186</v>
      </c>
      <c r="G161" s="1" t="str">
        <f>VLOOKUP($E161,'Activity List CSI'!$D$4:$J$146,G$1,0)</f>
        <v>09</v>
      </c>
      <c r="H161" s="1" t="str">
        <f>VLOOKUP($E161,'Activity List CSI'!$D$4:$J$146,H$1,0)</f>
        <v>Finishing</v>
      </c>
      <c r="I161" s="1" t="str">
        <f>VLOOKUP(D161,'Activity List CSI'!$C$4:$H$146,6,0)</f>
        <v>09200</v>
      </c>
      <c r="J161" s="1" t="str">
        <f>VLOOKUP($E161,'Activity List CSI'!$D$4:$J$146,J$1,0)</f>
        <v>Plaster &amp; Gypsum Board</v>
      </c>
      <c r="K161" s="1" t="s">
        <v>646</v>
      </c>
      <c r="L161" s="1">
        <v>205</v>
      </c>
      <c r="M161" s="1" t="str">
        <f t="shared" si="8"/>
        <v>09200205</v>
      </c>
      <c r="N161" s="12" t="str">
        <f t="shared" ref="N161:N168" si="11">M161</f>
        <v>09200205</v>
      </c>
    </row>
    <row r="162" spans="4:14" ht="23.25" customHeight="1" x14ac:dyDescent="0.25">
      <c r="D162" s="11" t="s">
        <v>185</v>
      </c>
      <c r="E162" s="134" t="str">
        <f>VLOOKUP(F162,'Activity List CSI'!$B$4:$D$146,3,0)</f>
        <v>09200-01</v>
      </c>
      <c r="F162" s="1" t="s">
        <v>186</v>
      </c>
      <c r="G162" s="1" t="str">
        <f>VLOOKUP($E162,'Activity List CSI'!$D$4:$J$146,G$1,0)</f>
        <v>09</v>
      </c>
      <c r="H162" s="1" t="str">
        <f>VLOOKUP($E162,'Activity List CSI'!$D$4:$J$146,H$1,0)</f>
        <v>Finishing</v>
      </c>
      <c r="I162" s="1" t="str">
        <f>VLOOKUP(D162,'Activity List CSI'!$C$4:$H$146,6,0)</f>
        <v>09200</v>
      </c>
      <c r="J162" s="1" t="str">
        <f>VLOOKUP($E162,'Activity List CSI'!$D$4:$J$146,J$1,0)</f>
        <v>Plaster &amp; Gypsum Board</v>
      </c>
      <c r="K162" s="1" t="s">
        <v>646</v>
      </c>
      <c r="L162" s="1">
        <v>205</v>
      </c>
      <c r="M162" s="1" t="str">
        <f t="shared" si="8"/>
        <v>09200205</v>
      </c>
      <c r="N162" s="12" t="str">
        <f t="shared" si="11"/>
        <v>09200205</v>
      </c>
    </row>
    <row r="163" spans="4:14" ht="23.25" customHeight="1" x14ac:dyDescent="0.25">
      <c r="D163" s="11" t="s">
        <v>187</v>
      </c>
      <c r="E163" s="134" t="str">
        <f>VLOOKUP(F163,'Activity List CSI'!$B$4:$D$146,3,0)</f>
        <v>09200-02</v>
      </c>
      <c r="F163" s="1" t="s">
        <v>188</v>
      </c>
      <c r="G163" s="1" t="str">
        <f>VLOOKUP($E163,'Activity List CSI'!$D$4:$J$146,G$1,0)</f>
        <v>09</v>
      </c>
      <c r="H163" s="1" t="str">
        <f>VLOOKUP($E163,'Activity List CSI'!$D$4:$J$146,H$1,0)</f>
        <v>Finishing</v>
      </c>
      <c r="I163" s="1" t="str">
        <f>VLOOKUP(D163,'Activity List CSI'!$C$4:$H$146,6,0)</f>
        <v>09200</v>
      </c>
      <c r="J163" s="1" t="str">
        <f>VLOOKUP($E163,'Activity List CSI'!$D$4:$J$146,J$1,0)</f>
        <v>Plaster &amp; Gypsum Board</v>
      </c>
      <c r="K163" s="1" t="s">
        <v>646</v>
      </c>
      <c r="L163" s="1">
        <v>205</v>
      </c>
      <c r="M163" s="1" t="str">
        <f t="shared" si="8"/>
        <v>09200205</v>
      </c>
      <c r="N163" s="12" t="str">
        <f t="shared" si="11"/>
        <v>09200205</v>
      </c>
    </row>
    <row r="164" spans="4:14" ht="23.25" customHeight="1" x14ac:dyDescent="0.25">
      <c r="D164" s="11" t="s">
        <v>187</v>
      </c>
      <c r="E164" s="134" t="str">
        <f>VLOOKUP(F164,'Activity List CSI'!$B$4:$D$146,3,0)</f>
        <v>09200-02</v>
      </c>
      <c r="F164" s="1" t="s">
        <v>188</v>
      </c>
      <c r="G164" s="1" t="str">
        <f>VLOOKUP($E164,'Activity List CSI'!$D$4:$J$146,G$1,0)</f>
        <v>09</v>
      </c>
      <c r="H164" s="1" t="str">
        <f>VLOOKUP($E164,'Activity List CSI'!$D$4:$J$146,H$1,0)</f>
        <v>Finishing</v>
      </c>
      <c r="I164" s="1" t="str">
        <f>VLOOKUP(D164,'Activity List CSI'!$C$4:$H$146,6,0)</f>
        <v>09200</v>
      </c>
      <c r="J164" s="1" t="str">
        <f>VLOOKUP($E164,'Activity List CSI'!$D$4:$J$146,J$1,0)</f>
        <v>Plaster &amp; Gypsum Board</v>
      </c>
      <c r="K164" s="1" t="s">
        <v>646</v>
      </c>
      <c r="L164" s="1">
        <v>205</v>
      </c>
      <c r="M164" s="1" t="str">
        <f t="shared" si="8"/>
        <v>09200205</v>
      </c>
      <c r="N164" s="12" t="str">
        <f t="shared" si="11"/>
        <v>09200205</v>
      </c>
    </row>
    <row r="165" spans="4:14" ht="23.25" customHeight="1" x14ac:dyDescent="0.25">
      <c r="D165" s="11" t="s">
        <v>189</v>
      </c>
      <c r="E165" s="134" t="str">
        <f>VLOOKUP(F165,'Activity List CSI'!$B$4:$D$146,3,0)</f>
        <v>09200-03</v>
      </c>
      <c r="F165" s="1" t="s">
        <v>190</v>
      </c>
      <c r="G165" s="1" t="str">
        <f>VLOOKUP($E165,'Activity List CSI'!$D$4:$J$146,G$1,0)</f>
        <v>09</v>
      </c>
      <c r="H165" s="1" t="str">
        <f>VLOOKUP($E165,'Activity List CSI'!$D$4:$J$146,H$1,0)</f>
        <v>Finishing</v>
      </c>
      <c r="I165" s="1" t="str">
        <f>VLOOKUP(D165,'Activity List CSI'!$C$4:$H$146,6,0)</f>
        <v>09200</v>
      </c>
      <c r="J165" s="1" t="str">
        <f>VLOOKUP($E165,'Activity List CSI'!$D$4:$J$146,J$1,0)</f>
        <v>Plaster &amp; Gypsum Board</v>
      </c>
      <c r="K165" s="1" t="s">
        <v>647</v>
      </c>
      <c r="L165" s="1">
        <v>210</v>
      </c>
      <c r="M165" s="1" t="str">
        <f t="shared" si="8"/>
        <v>09200210</v>
      </c>
      <c r="N165" s="12" t="str">
        <f t="shared" si="11"/>
        <v>09200210</v>
      </c>
    </row>
    <row r="166" spans="4:14" ht="23.25" customHeight="1" x14ac:dyDescent="0.25">
      <c r="D166" s="11" t="s">
        <v>189</v>
      </c>
      <c r="E166" s="134" t="str">
        <f>VLOOKUP(F166,'Activity List CSI'!$B$4:$D$146,3,0)</f>
        <v>09200-03</v>
      </c>
      <c r="F166" s="1" t="s">
        <v>190</v>
      </c>
      <c r="G166" s="1" t="str">
        <f>VLOOKUP($E166,'Activity List CSI'!$D$4:$J$146,G$1,0)</f>
        <v>09</v>
      </c>
      <c r="H166" s="1" t="str">
        <f>VLOOKUP($E166,'Activity List CSI'!$D$4:$J$146,H$1,0)</f>
        <v>Finishing</v>
      </c>
      <c r="I166" s="1" t="str">
        <f>VLOOKUP(D166,'Activity List CSI'!$C$4:$H$146,6,0)</f>
        <v>09200</v>
      </c>
      <c r="J166" s="1" t="str">
        <f>VLOOKUP($E166,'Activity List CSI'!$D$4:$J$146,J$1,0)</f>
        <v>Plaster &amp; Gypsum Board</v>
      </c>
      <c r="K166" s="1" t="s">
        <v>647</v>
      </c>
      <c r="L166" s="1">
        <v>210</v>
      </c>
      <c r="M166" s="1" t="str">
        <f t="shared" si="8"/>
        <v>09200210</v>
      </c>
      <c r="N166" s="12" t="str">
        <f t="shared" si="11"/>
        <v>09200210</v>
      </c>
    </row>
    <row r="167" spans="4:14" ht="23.25" customHeight="1" x14ac:dyDescent="0.25">
      <c r="D167" s="11" t="s">
        <v>191</v>
      </c>
      <c r="E167" s="134" t="str">
        <f>VLOOKUP(F167,'Activity List CSI'!$B$4:$D$146,3,0)</f>
        <v>09200-04</v>
      </c>
      <c r="F167" s="1" t="s">
        <v>192</v>
      </c>
      <c r="G167" s="1" t="str">
        <f>VLOOKUP($E167,'Activity List CSI'!$D$4:$J$146,G$1,0)</f>
        <v>09</v>
      </c>
      <c r="H167" s="1" t="str">
        <f>VLOOKUP($E167,'Activity List CSI'!$D$4:$J$146,H$1,0)</f>
        <v>Finishing</v>
      </c>
      <c r="I167" s="1" t="str">
        <f>VLOOKUP(D167,'Activity List CSI'!$C$4:$H$146,6,0)</f>
        <v>09200</v>
      </c>
      <c r="J167" s="1" t="str">
        <f>VLOOKUP($E167,'Activity List CSI'!$D$4:$J$146,J$1,0)</f>
        <v>Plaster &amp; Gypsum Board</v>
      </c>
      <c r="K167" s="1" t="s">
        <v>647</v>
      </c>
      <c r="L167" s="1">
        <v>210</v>
      </c>
      <c r="M167" s="1" t="str">
        <f t="shared" si="8"/>
        <v>09200210</v>
      </c>
      <c r="N167" s="12" t="str">
        <f t="shared" si="11"/>
        <v>09200210</v>
      </c>
    </row>
    <row r="168" spans="4:14" ht="23.25" customHeight="1" x14ac:dyDescent="0.25">
      <c r="D168" s="11" t="s">
        <v>191</v>
      </c>
      <c r="E168" s="134" t="str">
        <f>VLOOKUP(F168,'Activity List CSI'!$B$4:$D$146,3,0)</f>
        <v>09200-04</v>
      </c>
      <c r="F168" s="1" t="s">
        <v>192</v>
      </c>
      <c r="G168" s="1" t="str">
        <f>VLOOKUP($E168,'Activity List CSI'!$D$4:$J$146,G$1,0)</f>
        <v>09</v>
      </c>
      <c r="H168" s="1" t="str">
        <f>VLOOKUP($E168,'Activity List CSI'!$D$4:$J$146,H$1,0)</f>
        <v>Finishing</v>
      </c>
      <c r="I168" s="1" t="str">
        <f>VLOOKUP(D168,'Activity List CSI'!$C$4:$H$146,6,0)</f>
        <v>09200</v>
      </c>
      <c r="J168" s="1" t="str">
        <f>VLOOKUP($E168,'Activity List CSI'!$D$4:$J$146,J$1,0)</f>
        <v>Plaster &amp; Gypsum Board</v>
      </c>
      <c r="K168" s="1" t="s">
        <v>647</v>
      </c>
      <c r="L168" s="1">
        <v>210</v>
      </c>
      <c r="M168" s="1" t="str">
        <f t="shared" si="8"/>
        <v>09200210</v>
      </c>
      <c r="N168" s="12" t="str">
        <f t="shared" si="11"/>
        <v>09200210</v>
      </c>
    </row>
    <row r="169" spans="4:14" ht="23.25" customHeight="1" x14ac:dyDescent="0.25">
      <c r="D169" s="11" t="s">
        <v>193</v>
      </c>
      <c r="E169" s="134" t="str">
        <f>VLOOKUP(F169,'Activity List CSI'!$B$4:$D$146,3,0)</f>
        <v>09200-05</v>
      </c>
      <c r="F169" s="1" t="s">
        <v>194</v>
      </c>
      <c r="G169" s="1" t="str">
        <f>VLOOKUP($E169,'Activity List CSI'!$D$4:$J$146,G$1,0)</f>
        <v>09</v>
      </c>
      <c r="H169" s="1" t="str">
        <f>VLOOKUP($E169,'Activity List CSI'!$D$4:$J$146,H$1,0)</f>
        <v>Finishing</v>
      </c>
      <c r="I169" s="1" t="str">
        <f>VLOOKUP(D169,'Activity List CSI'!$C$4:$H$146,6,0)</f>
        <v>09200</v>
      </c>
      <c r="J169" s="1" t="str">
        <f>VLOOKUP($E169,'Activity List CSI'!$D$4:$J$146,J$1,0)</f>
        <v>Plaster &amp; Gypsum Board</v>
      </c>
      <c r="K169" s="1" t="s">
        <v>642</v>
      </c>
      <c r="L169" s="1">
        <v>215</v>
      </c>
      <c r="M169" s="13" t="str">
        <f t="shared" si="8"/>
        <v>09200215</v>
      </c>
      <c r="N169" s="12" t="s">
        <v>678</v>
      </c>
    </row>
    <row r="170" spans="4:14" ht="23.25" customHeight="1" x14ac:dyDescent="0.25">
      <c r="D170" s="11" t="s">
        <v>193</v>
      </c>
      <c r="E170" s="134" t="str">
        <f>VLOOKUP(F170,'Activity List CSI'!$B$4:$D$146,3,0)</f>
        <v>09200-05</v>
      </c>
      <c r="F170" s="1" t="s">
        <v>194</v>
      </c>
      <c r="G170" s="1" t="str">
        <f>VLOOKUP($E170,'Activity List CSI'!$D$4:$J$146,G$1,0)</f>
        <v>09</v>
      </c>
      <c r="H170" s="1" t="str">
        <f>VLOOKUP($E170,'Activity List CSI'!$D$4:$J$146,H$1,0)</f>
        <v>Finishing</v>
      </c>
      <c r="I170" s="1" t="str">
        <f>VLOOKUP(D170,'Activity List CSI'!$C$4:$H$146,6,0)</f>
        <v>09200</v>
      </c>
      <c r="J170" s="1" t="str">
        <f>VLOOKUP($E170,'Activity List CSI'!$D$4:$J$146,J$1,0)</f>
        <v>Plaster &amp; Gypsum Board</v>
      </c>
      <c r="K170" s="1" t="s">
        <v>642</v>
      </c>
      <c r="L170" s="1">
        <v>215</v>
      </c>
      <c r="M170" s="13" t="str">
        <f t="shared" si="8"/>
        <v>09200215</v>
      </c>
      <c r="N170" s="12" t="s">
        <v>678</v>
      </c>
    </row>
    <row r="171" spans="4:14" ht="23.25" customHeight="1" x14ac:dyDescent="0.25">
      <c r="D171" s="11" t="s">
        <v>195</v>
      </c>
      <c r="E171" s="134" t="str">
        <f>VLOOKUP(F171,'Activity List CSI'!$B$4:$D$146,3,0)</f>
        <v>09900-01</v>
      </c>
      <c r="F171" s="1" t="s">
        <v>465</v>
      </c>
      <c r="G171" s="1" t="str">
        <f>VLOOKUP($E171,'Activity List CSI'!$D$4:$J$146,G$1,0)</f>
        <v>09</v>
      </c>
      <c r="H171" s="1" t="str">
        <f>VLOOKUP($E171,'Activity List CSI'!$D$4:$J$146,H$1,0)</f>
        <v>Finishing</v>
      </c>
      <c r="I171" s="1" t="str">
        <f>VLOOKUP(D171,'Activity List CSI'!$C$4:$H$146,6,0)</f>
        <v>09900</v>
      </c>
      <c r="J171" s="1" t="str">
        <f>VLOOKUP($E171,'Activity List CSI'!$D$4:$J$146,J$1,0)</f>
        <v>Paints &amp; Coatings</v>
      </c>
      <c r="K171" s="1" t="s">
        <v>648</v>
      </c>
      <c r="L171" s="1">
        <v>210</v>
      </c>
      <c r="M171" s="1" t="str">
        <f t="shared" si="8"/>
        <v>09900210</v>
      </c>
      <c r="N171" s="12" t="str">
        <f t="shared" ref="N171:N178" si="12">M171</f>
        <v>09900210</v>
      </c>
    </row>
    <row r="172" spans="4:14" ht="23.25" customHeight="1" x14ac:dyDescent="0.25">
      <c r="D172" s="11" t="s">
        <v>195</v>
      </c>
      <c r="E172" s="134" t="str">
        <f>VLOOKUP(F172,'Activity List CSI'!$B$4:$D$146,3,0)</f>
        <v>09900-01</v>
      </c>
      <c r="F172" s="1" t="s">
        <v>465</v>
      </c>
      <c r="G172" s="1" t="str">
        <f>VLOOKUP($E172,'Activity List CSI'!$D$4:$J$146,G$1,0)</f>
        <v>09</v>
      </c>
      <c r="H172" s="1" t="str">
        <f>VLOOKUP($E172,'Activity List CSI'!$D$4:$J$146,H$1,0)</f>
        <v>Finishing</v>
      </c>
      <c r="I172" s="1" t="str">
        <f>VLOOKUP(D172,'Activity List CSI'!$C$4:$H$146,6,0)</f>
        <v>09900</v>
      </c>
      <c r="J172" s="1" t="str">
        <f>VLOOKUP($E172,'Activity List CSI'!$D$4:$J$146,J$1,0)</f>
        <v>Paints &amp; Coatings</v>
      </c>
      <c r="K172" s="1" t="s">
        <v>648</v>
      </c>
      <c r="L172" s="1">
        <v>210</v>
      </c>
      <c r="M172" s="1" t="str">
        <f t="shared" si="8"/>
        <v>09900210</v>
      </c>
      <c r="N172" s="12" t="str">
        <f t="shared" si="12"/>
        <v>09900210</v>
      </c>
    </row>
    <row r="173" spans="4:14" ht="23.25" customHeight="1" x14ac:dyDescent="0.25">
      <c r="D173" s="11" t="s">
        <v>196</v>
      </c>
      <c r="E173" s="134" t="str">
        <f>VLOOKUP(F173,'Activity List CSI'!$B$4:$D$146,3,0)</f>
        <v>09900-02</v>
      </c>
      <c r="F173" s="1" t="s">
        <v>197</v>
      </c>
      <c r="G173" s="1" t="str">
        <f>VLOOKUP($E173,'Activity List CSI'!$D$4:$J$146,G$1,0)</f>
        <v>09</v>
      </c>
      <c r="H173" s="1" t="str">
        <f>VLOOKUP($E173,'Activity List CSI'!$D$4:$J$146,H$1,0)</f>
        <v>Finishing</v>
      </c>
      <c r="I173" s="1" t="str">
        <f>VLOOKUP(D173,'Activity List CSI'!$C$4:$H$146,6,0)</f>
        <v>09900</v>
      </c>
      <c r="J173" s="1" t="str">
        <f>VLOOKUP($E173,'Activity List CSI'!$D$4:$J$146,J$1,0)</f>
        <v>Paints &amp; Coatings</v>
      </c>
      <c r="K173" s="1" t="s">
        <v>648</v>
      </c>
      <c r="L173" s="1">
        <v>210</v>
      </c>
      <c r="M173" s="1" t="str">
        <f t="shared" si="8"/>
        <v>09900210</v>
      </c>
      <c r="N173" s="12" t="str">
        <f t="shared" si="12"/>
        <v>09900210</v>
      </c>
    </row>
    <row r="174" spans="4:14" ht="23.25" customHeight="1" x14ac:dyDescent="0.25">
      <c r="D174" s="11" t="s">
        <v>196</v>
      </c>
      <c r="E174" s="134" t="str">
        <f>VLOOKUP(F174,'Activity List CSI'!$B$4:$D$146,3,0)</f>
        <v>09900-02</v>
      </c>
      <c r="F174" s="1" t="s">
        <v>197</v>
      </c>
      <c r="G174" s="1" t="str">
        <f>VLOOKUP($E174,'Activity List CSI'!$D$4:$J$146,G$1,0)</f>
        <v>09</v>
      </c>
      <c r="H174" s="1" t="str">
        <f>VLOOKUP($E174,'Activity List CSI'!$D$4:$J$146,H$1,0)</f>
        <v>Finishing</v>
      </c>
      <c r="I174" s="1" t="str">
        <f>VLOOKUP(D174,'Activity List CSI'!$C$4:$H$146,6,0)</f>
        <v>09900</v>
      </c>
      <c r="J174" s="1" t="str">
        <f>VLOOKUP($E174,'Activity List CSI'!$D$4:$J$146,J$1,0)</f>
        <v>Paints &amp; Coatings</v>
      </c>
      <c r="K174" s="1" t="s">
        <v>648</v>
      </c>
      <c r="L174" s="1">
        <v>210</v>
      </c>
      <c r="M174" s="1" t="str">
        <f t="shared" si="8"/>
        <v>09900210</v>
      </c>
      <c r="N174" s="12" t="str">
        <f t="shared" si="12"/>
        <v>09900210</v>
      </c>
    </row>
    <row r="175" spans="4:14" ht="23.25" customHeight="1" x14ac:dyDescent="0.25">
      <c r="D175" s="11" t="s">
        <v>198</v>
      </c>
      <c r="E175" s="134" t="str">
        <f>VLOOKUP(F175,'Activity List CSI'!$B$4:$D$146,3,0)</f>
        <v>09200-06</v>
      </c>
      <c r="F175" s="1" t="s">
        <v>199</v>
      </c>
      <c r="G175" s="1" t="str">
        <f>VLOOKUP($E175,'Activity List CSI'!$D$4:$J$146,G$1,0)</f>
        <v>09</v>
      </c>
      <c r="H175" s="1" t="str">
        <f>VLOOKUP($E175,'Activity List CSI'!$D$4:$J$146,H$1,0)</f>
        <v>Finishing</v>
      </c>
      <c r="I175" s="1" t="str">
        <f>VLOOKUP(D175,'Activity List CSI'!$C$4:$H$146,6,0)</f>
        <v>09200</v>
      </c>
      <c r="J175" s="1" t="str">
        <f>VLOOKUP($E175,'Activity List CSI'!$D$4:$J$146,J$1,0)</f>
        <v>Plaster &amp; Gypsum Board</v>
      </c>
      <c r="K175" s="1" t="s">
        <v>646</v>
      </c>
      <c r="L175" s="1">
        <v>205</v>
      </c>
      <c r="M175" s="1" t="str">
        <f t="shared" si="8"/>
        <v>09200205</v>
      </c>
      <c r="N175" s="12" t="str">
        <f t="shared" si="12"/>
        <v>09200205</v>
      </c>
    </row>
    <row r="176" spans="4:14" ht="23.25" customHeight="1" x14ac:dyDescent="0.25">
      <c r="D176" s="11" t="s">
        <v>198</v>
      </c>
      <c r="E176" s="134" t="str">
        <f>VLOOKUP(F176,'Activity List CSI'!$B$4:$D$146,3,0)</f>
        <v>09200-06</v>
      </c>
      <c r="F176" s="1" t="s">
        <v>199</v>
      </c>
      <c r="G176" s="1" t="str">
        <f>VLOOKUP($E176,'Activity List CSI'!$D$4:$J$146,G$1,0)</f>
        <v>09</v>
      </c>
      <c r="H176" s="1" t="str">
        <f>VLOOKUP($E176,'Activity List CSI'!$D$4:$J$146,H$1,0)</f>
        <v>Finishing</v>
      </c>
      <c r="I176" s="1" t="str">
        <f>VLOOKUP(D176,'Activity List CSI'!$C$4:$H$146,6,0)</f>
        <v>09200</v>
      </c>
      <c r="J176" s="1" t="str">
        <f>VLOOKUP($E176,'Activity List CSI'!$D$4:$J$146,J$1,0)</f>
        <v>Plaster &amp; Gypsum Board</v>
      </c>
      <c r="K176" s="1" t="s">
        <v>646</v>
      </c>
      <c r="L176" s="1">
        <v>205</v>
      </c>
      <c r="M176" s="1" t="str">
        <f t="shared" si="8"/>
        <v>09200205</v>
      </c>
      <c r="N176" s="12" t="str">
        <f t="shared" si="12"/>
        <v>09200205</v>
      </c>
    </row>
    <row r="177" spans="4:14" ht="23.25" customHeight="1" x14ac:dyDescent="0.25">
      <c r="D177" s="11" t="s">
        <v>200</v>
      </c>
      <c r="E177" s="134" t="str">
        <f>VLOOKUP(F177,'Activity List CSI'!$B$4:$D$146,3,0)</f>
        <v>09900-03</v>
      </c>
      <c r="F177" s="1" t="s">
        <v>201</v>
      </c>
      <c r="G177" s="1" t="str">
        <f>VLOOKUP($E177,'Activity List CSI'!$D$4:$J$146,G$1,0)</f>
        <v>09</v>
      </c>
      <c r="H177" s="1" t="str">
        <f>VLOOKUP($E177,'Activity List CSI'!$D$4:$J$146,H$1,0)</f>
        <v>Finishing</v>
      </c>
      <c r="I177" s="1" t="str">
        <f>VLOOKUP(D177,'Activity List CSI'!$C$4:$H$146,6,0)</f>
        <v>09900</v>
      </c>
      <c r="J177" s="1" t="str">
        <f>VLOOKUP($E177,'Activity List CSI'!$D$4:$J$146,J$1,0)</f>
        <v>Paints &amp; Coatings</v>
      </c>
      <c r="K177" s="1" t="s">
        <v>648</v>
      </c>
      <c r="L177" s="1">
        <v>210</v>
      </c>
      <c r="M177" s="1" t="str">
        <f t="shared" si="8"/>
        <v>09900210</v>
      </c>
      <c r="N177" s="12" t="str">
        <f t="shared" si="12"/>
        <v>09900210</v>
      </c>
    </row>
    <row r="178" spans="4:14" ht="23.25" customHeight="1" x14ac:dyDescent="0.25">
      <c r="D178" s="11" t="s">
        <v>200</v>
      </c>
      <c r="E178" s="134" t="str">
        <f>VLOOKUP(F178,'Activity List CSI'!$B$4:$D$146,3,0)</f>
        <v>09900-03</v>
      </c>
      <c r="F178" s="1" t="s">
        <v>201</v>
      </c>
      <c r="G178" s="1" t="str">
        <f>VLOOKUP($E178,'Activity List CSI'!$D$4:$J$146,G$1,0)</f>
        <v>09</v>
      </c>
      <c r="H178" s="1" t="str">
        <f>VLOOKUP($E178,'Activity List CSI'!$D$4:$J$146,H$1,0)</f>
        <v>Finishing</v>
      </c>
      <c r="I178" s="1" t="str">
        <f>VLOOKUP(D178,'Activity List CSI'!$C$4:$H$146,6,0)</f>
        <v>09900</v>
      </c>
      <c r="J178" s="1" t="str">
        <f>VLOOKUP($E178,'Activity List CSI'!$D$4:$J$146,J$1,0)</f>
        <v>Paints &amp; Coatings</v>
      </c>
      <c r="K178" s="1" t="s">
        <v>648</v>
      </c>
      <c r="L178" s="1">
        <v>210</v>
      </c>
      <c r="M178" s="1" t="str">
        <f t="shared" si="8"/>
        <v>09900210</v>
      </c>
      <c r="N178" s="12" t="str">
        <f t="shared" si="12"/>
        <v>09900210</v>
      </c>
    </row>
    <row r="179" spans="4:14" ht="23.25" customHeight="1" x14ac:dyDescent="0.25">
      <c r="D179" s="11" t="s">
        <v>202</v>
      </c>
      <c r="E179" s="134" t="str">
        <f>VLOOKUP(F179,'Activity List CSI'!$B$4:$D$146,3,0)</f>
        <v>09700-03</v>
      </c>
      <c r="F179" s="1" t="s">
        <v>203</v>
      </c>
      <c r="G179" s="1" t="str">
        <f>VLOOKUP($E179,'Activity List CSI'!$D$4:$J$146,G$1,0)</f>
        <v>09</v>
      </c>
      <c r="H179" s="1" t="str">
        <f>VLOOKUP($E179,'Activity List CSI'!$D$4:$J$146,H$1,0)</f>
        <v>Finishing</v>
      </c>
      <c r="I179" s="1" t="str">
        <f>VLOOKUP(D179,'Activity List CSI'!$C$4:$H$146,6,0)</f>
        <v>09700</v>
      </c>
      <c r="J179" s="1" t="str">
        <f>VLOOKUP($E179,'Activity List CSI'!$D$4:$J$146,J$1,0)</f>
        <v>Wall Finishes</v>
      </c>
      <c r="K179" s="1" t="s">
        <v>640</v>
      </c>
      <c r="L179" s="1">
        <v>205</v>
      </c>
      <c r="M179" s="13" t="str">
        <f t="shared" si="8"/>
        <v>09700205</v>
      </c>
      <c r="N179" s="12" t="s">
        <v>676</v>
      </c>
    </row>
    <row r="180" spans="4:14" ht="23.25" customHeight="1" x14ac:dyDescent="0.25">
      <c r="D180" s="11" t="s">
        <v>202</v>
      </c>
      <c r="E180" s="134" t="str">
        <f>VLOOKUP(F180,'Activity List CSI'!$B$4:$D$146,3,0)</f>
        <v>09700-03</v>
      </c>
      <c r="F180" s="1" t="s">
        <v>203</v>
      </c>
      <c r="G180" s="1" t="str">
        <f>VLOOKUP($E180,'Activity List CSI'!$D$4:$J$146,G$1,0)</f>
        <v>09</v>
      </c>
      <c r="H180" s="1" t="str">
        <f>VLOOKUP($E180,'Activity List CSI'!$D$4:$J$146,H$1,0)</f>
        <v>Finishing</v>
      </c>
      <c r="I180" s="1" t="str">
        <f>VLOOKUP(D180,'Activity List CSI'!$C$4:$H$146,6,0)</f>
        <v>09700</v>
      </c>
      <c r="J180" s="1" t="str">
        <f>VLOOKUP($E180,'Activity List CSI'!$D$4:$J$146,J$1,0)</f>
        <v>Wall Finishes</v>
      </c>
      <c r="K180" s="1" t="s">
        <v>640</v>
      </c>
      <c r="L180" s="1">
        <v>205</v>
      </c>
      <c r="M180" s="13" t="str">
        <f t="shared" si="8"/>
        <v>09700205</v>
      </c>
      <c r="N180" s="12" t="s">
        <v>676</v>
      </c>
    </row>
    <row r="181" spans="4:14" ht="23.25" customHeight="1" x14ac:dyDescent="0.25">
      <c r="D181" s="11" t="s">
        <v>204</v>
      </c>
      <c r="E181" s="134" t="str">
        <f>VLOOKUP(F181,'Activity List CSI'!$B$4:$D$146,3,0)</f>
        <v>09700-04</v>
      </c>
      <c r="F181" s="1" t="s">
        <v>205</v>
      </c>
      <c r="G181" s="1" t="str">
        <f>VLOOKUP($E181,'Activity List CSI'!$D$4:$J$146,G$1,0)</f>
        <v>09</v>
      </c>
      <c r="H181" s="1" t="str">
        <f>VLOOKUP($E181,'Activity List CSI'!$D$4:$J$146,H$1,0)</f>
        <v>Finishing</v>
      </c>
      <c r="I181" s="1" t="str">
        <f>VLOOKUP(D181,'Activity List CSI'!$C$4:$H$146,6,0)</f>
        <v>09700</v>
      </c>
      <c r="J181" s="1" t="str">
        <f>VLOOKUP($E181,'Activity List CSI'!$D$4:$J$146,J$1,0)</f>
        <v>Wall Finishes</v>
      </c>
      <c r="K181" s="1" t="s">
        <v>645</v>
      </c>
      <c r="L181" s="1">
        <v>220</v>
      </c>
      <c r="M181" s="13" t="str">
        <f t="shared" si="8"/>
        <v>09700220</v>
      </c>
      <c r="N181" s="1" t="s">
        <v>677</v>
      </c>
    </row>
    <row r="182" spans="4:14" ht="23.25" customHeight="1" x14ac:dyDescent="0.25">
      <c r="D182" s="11" t="s">
        <v>204</v>
      </c>
      <c r="E182" s="134" t="str">
        <f>VLOOKUP(F182,'Activity List CSI'!$B$4:$D$146,3,0)</f>
        <v>09700-04</v>
      </c>
      <c r="F182" s="1" t="s">
        <v>205</v>
      </c>
      <c r="G182" s="1" t="str">
        <f>VLOOKUP($E182,'Activity List CSI'!$D$4:$J$146,G$1,0)</f>
        <v>09</v>
      </c>
      <c r="H182" s="1" t="str">
        <f>VLOOKUP($E182,'Activity List CSI'!$D$4:$J$146,H$1,0)</f>
        <v>Finishing</v>
      </c>
      <c r="I182" s="1" t="str">
        <f>VLOOKUP(D182,'Activity List CSI'!$C$4:$H$146,6,0)</f>
        <v>09700</v>
      </c>
      <c r="J182" s="1" t="str">
        <f>VLOOKUP($E182,'Activity List CSI'!$D$4:$J$146,J$1,0)</f>
        <v>Wall Finishes</v>
      </c>
      <c r="K182" s="1" t="s">
        <v>645</v>
      </c>
      <c r="L182" s="1">
        <v>220</v>
      </c>
      <c r="M182" s="13" t="str">
        <f t="shared" si="8"/>
        <v>09700220</v>
      </c>
      <c r="N182" s="1" t="s">
        <v>677</v>
      </c>
    </row>
    <row r="183" spans="4:14" ht="23.25" customHeight="1" x14ac:dyDescent="0.25">
      <c r="D183" s="11" t="s">
        <v>206</v>
      </c>
      <c r="E183" s="134" t="str">
        <f>VLOOKUP(F183,'Activity List CSI'!$B$4:$D$146,3,0)</f>
        <v>09700-05</v>
      </c>
      <c r="F183" s="1" t="s">
        <v>469</v>
      </c>
      <c r="G183" s="1" t="str">
        <f>VLOOKUP($E183,'Activity List CSI'!$D$4:$J$146,G$1,0)</f>
        <v>09</v>
      </c>
      <c r="H183" s="1" t="str">
        <f>VLOOKUP($E183,'Activity List CSI'!$D$4:$J$146,H$1,0)</f>
        <v>Finishing</v>
      </c>
      <c r="I183" s="1" t="str">
        <f>VLOOKUP(D183,'Activity List CSI'!$C$4:$H$146,6,0)</f>
        <v>09700</v>
      </c>
      <c r="J183" s="1" t="str">
        <f>VLOOKUP($E183,'Activity List CSI'!$D$4:$J$146,J$1,0)</f>
        <v>Wall Finishes</v>
      </c>
      <c r="K183" s="1" t="s">
        <v>641</v>
      </c>
      <c r="L183" s="1">
        <v>205</v>
      </c>
      <c r="M183" s="1" t="str">
        <f t="shared" si="8"/>
        <v>09700205</v>
      </c>
      <c r="N183" s="12" t="str">
        <f t="shared" ref="N183:N223" si="13">M183</f>
        <v>09700205</v>
      </c>
    </row>
    <row r="184" spans="4:14" ht="23.25" customHeight="1" x14ac:dyDescent="0.25">
      <c r="D184" s="11" t="s">
        <v>206</v>
      </c>
      <c r="E184" s="134" t="str">
        <f>VLOOKUP(F184,'Activity List CSI'!$B$4:$D$146,3,0)</f>
        <v>09700-05</v>
      </c>
      <c r="F184" s="1" t="s">
        <v>469</v>
      </c>
      <c r="G184" s="1" t="str">
        <f>VLOOKUP($E184,'Activity List CSI'!$D$4:$J$146,G$1,0)</f>
        <v>09</v>
      </c>
      <c r="H184" s="1" t="str">
        <f>VLOOKUP($E184,'Activity List CSI'!$D$4:$J$146,H$1,0)</f>
        <v>Finishing</v>
      </c>
      <c r="I184" s="1" t="str">
        <f>VLOOKUP(D184,'Activity List CSI'!$C$4:$H$146,6,0)</f>
        <v>09700</v>
      </c>
      <c r="J184" s="1" t="str">
        <f>VLOOKUP($E184,'Activity List CSI'!$D$4:$J$146,J$1,0)</f>
        <v>Wall Finishes</v>
      </c>
      <c r="K184" s="1" t="s">
        <v>641</v>
      </c>
      <c r="L184" s="1">
        <v>205</v>
      </c>
      <c r="M184" s="1" t="str">
        <f t="shared" si="8"/>
        <v>09700205</v>
      </c>
      <c r="N184" s="12" t="str">
        <f t="shared" si="13"/>
        <v>09700205</v>
      </c>
    </row>
    <row r="185" spans="4:14" ht="23.25" customHeight="1" x14ac:dyDescent="0.25">
      <c r="D185" s="11" t="s">
        <v>207</v>
      </c>
      <c r="E185" s="134" t="str">
        <f>VLOOKUP(F185,'Activity List CSI'!$B$4:$D$146,3,0)</f>
        <v>10800-01</v>
      </c>
      <c r="F185" s="1" t="s">
        <v>208</v>
      </c>
      <c r="G185" s="1" t="str">
        <f>VLOOKUP($E185,'Activity List CSI'!$D$4:$J$146,G$1,0)</f>
        <v>10</v>
      </c>
      <c r="H185" s="1" t="str">
        <f>VLOOKUP($E185,'Activity List CSI'!$D$4:$J$146,H$1,0)</f>
        <v>Specialities</v>
      </c>
      <c r="I185" s="1" t="str">
        <f>VLOOKUP(D185,'Activity List CSI'!$C$4:$H$146,6,0)</f>
        <v>10800</v>
      </c>
      <c r="J185" s="1" t="str">
        <f>VLOOKUP($E185,'Activity List CSI'!$D$4:$J$146,J$1,0)</f>
        <v>Toilet, Bath &amp; Laundry Accessories</v>
      </c>
      <c r="K185" s="1" t="s">
        <v>649</v>
      </c>
      <c r="L185" s="1">
        <v>205</v>
      </c>
      <c r="M185" s="1" t="str">
        <f t="shared" si="8"/>
        <v>10800205</v>
      </c>
      <c r="N185" s="12" t="str">
        <f t="shared" si="13"/>
        <v>10800205</v>
      </c>
    </row>
    <row r="186" spans="4:14" ht="23.25" customHeight="1" x14ac:dyDescent="0.25">
      <c r="D186" s="11" t="s">
        <v>209</v>
      </c>
      <c r="E186" s="134" t="str">
        <f>VLOOKUP(F186,'Activity List CSI'!$B$4:$D$146,3,0)</f>
        <v>10100-01</v>
      </c>
      <c r="F186" s="1" t="s">
        <v>210</v>
      </c>
      <c r="G186" s="1" t="str">
        <f>VLOOKUP($E186,'Activity List CSI'!$D$4:$J$146,G$1,0)</f>
        <v>10</v>
      </c>
      <c r="H186" s="1" t="str">
        <f>VLOOKUP($E186,'Activity List CSI'!$D$4:$J$146,H$1,0)</f>
        <v>Specialities</v>
      </c>
      <c r="I186" s="1" t="str">
        <f>VLOOKUP(D186,'Activity List CSI'!$C$4:$H$146,6,0)</f>
        <v>10100</v>
      </c>
      <c r="J186" s="1" t="str">
        <f>VLOOKUP($E186,'Activity List CSI'!$D$4:$J$146,J$1,0)</f>
        <v>Visual Display Boards</v>
      </c>
      <c r="K186" s="1" t="s">
        <v>650</v>
      </c>
      <c r="L186" s="1">
        <v>205</v>
      </c>
      <c r="M186" s="1" t="str">
        <f t="shared" si="8"/>
        <v>10100205</v>
      </c>
      <c r="N186" s="12" t="str">
        <f t="shared" si="13"/>
        <v>10100205</v>
      </c>
    </row>
    <row r="187" spans="4:14" ht="23.25" customHeight="1" x14ac:dyDescent="0.25">
      <c r="D187" s="11" t="s">
        <v>211</v>
      </c>
      <c r="E187" s="134" t="str">
        <f>VLOOKUP(F187,'Activity List CSI'!$B$4:$D$146,3,0)</f>
        <v>10200-01</v>
      </c>
      <c r="F187" s="1" t="s">
        <v>212</v>
      </c>
      <c r="G187" s="1" t="str">
        <f>VLOOKUP($E187,'Activity List CSI'!$D$4:$J$146,G$1,0)</f>
        <v>10</v>
      </c>
      <c r="H187" s="1" t="str">
        <f>VLOOKUP($E187,'Activity List CSI'!$D$4:$J$146,H$1,0)</f>
        <v>Specialities</v>
      </c>
      <c r="I187" s="1" t="str">
        <f>VLOOKUP(D187,'Activity List CSI'!$C$4:$H$146,6,0)</f>
        <v>10200</v>
      </c>
      <c r="J187" s="1" t="str">
        <f>VLOOKUP($E187,'Activity List CSI'!$D$4:$J$146,J$1,0)</f>
        <v>Louvers &amp; Vents</v>
      </c>
      <c r="K187" s="1" t="s">
        <v>627</v>
      </c>
      <c r="L187" s="1">
        <v>205</v>
      </c>
      <c r="M187" s="13" t="str">
        <f t="shared" si="8"/>
        <v>10200205</v>
      </c>
      <c r="N187" s="12" t="s">
        <v>687</v>
      </c>
    </row>
    <row r="188" spans="4:14" ht="23.25" customHeight="1" x14ac:dyDescent="0.25">
      <c r="D188" s="11" t="s">
        <v>266</v>
      </c>
      <c r="E188" s="134" t="str">
        <f>VLOOKUP(F188,'Activity List CSI'!$B$4:$D$146,3,0)</f>
        <v>11200-01</v>
      </c>
      <c r="F188" s="1" t="s">
        <v>269</v>
      </c>
      <c r="G188" s="1" t="str">
        <f>VLOOKUP($E188,'Activity List CSI'!$D$4:$J$146,G$1,0)</f>
        <v>11</v>
      </c>
      <c r="H188" s="1" t="str">
        <f>VLOOKUP($E188,'Activity List CSI'!$D$4:$J$146,H$1,0)</f>
        <v>Equipment</v>
      </c>
      <c r="I188" s="1" t="str">
        <f>VLOOKUP(D188,'Activity List CSI'!$C$4:$H$146,6,0)</f>
        <v>11200</v>
      </c>
      <c r="J188" s="1" t="str">
        <f>VLOOKUP($E188,'Activity List CSI'!$D$4:$J$146,J$1,0)</f>
        <v>Water Supply &amp; Treatment Equipment</v>
      </c>
      <c r="K188" s="1" t="s">
        <v>651</v>
      </c>
      <c r="L188" s="1">
        <v>205</v>
      </c>
      <c r="M188" s="1" t="str">
        <f t="shared" si="8"/>
        <v>11200205</v>
      </c>
      <c r="N188" s="12" t="str">
        <f t="shared" si="13"/>
        <v>11200205</v>
      </c>
    </row>
    <row r="189" spans="4:14" ht="23.25" customHeight="1" x14ac:dyDescent="0.25">
      <c r="D189" s="11" t="s">
        <v>267</v>
      </c>
      <c r="E189" s="134" t="str">
        <f>VLOOKUP(F189,'Activity List CSI'!$B$4:$D$146,3,0)</f>
        <v>11460-01</v>
      </c>
      <c r="F189" s="1" t="s">
        <v>270</v>
      </c>
      <c r="G189" s="1" t="str">
        <f>VLOOKUP($E189,'Activity List CSI'!$D$4:$J$146,G$1,0)</f>
        <v>11</v>
      </c>
      <c r="H189" s="1" t="str">
        <f>VLOOKUP($E189,'Activity List CSI'!$D$4:$J$146,H$1,0)</f>
        <v>Equipment</v>
      </c>
      <c r="I189" s="1" t="str">
        <f>VLOOKUP(D189,'Activity List CSI'!$C$4:$H$146,6,0)</f>
        <v>11460</v>
      </c>
      <c r="J189" s="1" t="str">
        <f>VLOOKUP($E189,'Activity List CSI'!$D$4:$J$146,J$1,0)</f>
        <v>Unit Kitchen</v>
      </c>
      <c r="K189" s="1" t="s">
        <v>652</v>
      </c>
      <c r="L189" s="1">
        <v>205</v>
      </c>
      <c r="M189" s="1" t="str">
        <f t="shared" si="8"/>
        <v>11460205</v>
      </c>
      <c r="N189" s="12" t="str">
        <f t="shared" si="13"/>
        <v>11460205</v>
      </c>
    </row>
    <row r="190" spans="4:14" ht="23.25" customHeight="1" x14ac:dyDescent="0.25">
      <c r="D190" s="11" t="s">
        <v>268</v>
      </c>
      <c r="E190" s="134" t="str">
        <f>VLOOKUP(F190,'Activity List CSI'!$B$4:$D$146,3,0)</f>
        <v>11110-01</v>
      </c>
      <c r="F190" s="1" t="s">
        <v>653</v>
      </c>
      <c r="G190" s="1" t="str">
        <f>VLOOKUP($E190,'Activity List CSI'!$D$4:$J$146,G$1,0)</f>
        <v>11</v>
      </c>
      <c r="H190" s="1" t="str">
        <f>VLOOKUP($E190,'Activity List CSI'!$D$4:$J$146,H$1,0)</f>
        <v>Equipment</v>
      </c>
      <c r="I190" s="1" t="str">
        <f>VLOOKUP(D190,'Activity List CSI'!$C$4:$H$146,6,0)</f>
        <v>11110</v>
      </c>
      <c r="J190" s="1" t="str">
        <f>VLOOKUP($E190,'Activity List CSI'!$D$4:$J$146,J$1,0)</f>
        <v>Commercial Laundry &amp; Dry Cleaning Equipment</v>
      </c>
      <c r="K190" s="1" t="s">
        <v>653</v>
      </c>
      <c r="L190" s="1">
        <v>205</v>
      </c>
      <c r="M190" s="1" t="str">
        <f t="shared" si="8"/>
        <v>11110205</v>
      </c>
      <c r="N190" s="12" t="str">
        <f t="shared" si="13"/>
        <v>11110205</v>
      </c>
    </row>
    <row r="191" spans="4:14" ht="23.25" customHeight="1" x14ac:dyDescent="0.25">
      <c r="D191" s="11" t="s">
        <v>307</v>
      </c>
      <c r="E191" s="134" t="str">
        <f>VLOOKUP(F191,'Activity List CSI'!$B$4:$D$146,3,0)</f>
        <v>11600-01</v>
      </c>
      <c r="F191" s="1" t="s">
        <v>271</v>
      </c>
      <c r="G191" s="1" t="str">
        <f>VLOOKUP($E191,'Activity List CSI'!$D$4:$J$146,G$1,0)</f>
        <v>11</v>
      </c>
      <c r="H191" s="1" t="str">
        <f>VLOOKUP($E191,'Activity List CSI'!$D$4:$J$146,H$1,0)</f>
        <v>Equipment</v>
      </c>
      <c r="I191" s="1" t="str">
        <f>VLOOKUP(D191,'Activity List CSI'!$C$4:$H$146,6,0)</f>
        <v>11600</v>
      </c>
      <c r="J191" s="1" t="str">
        <f>VLOOKUP($E191,'Activity List CSI'!$D$4:$J$146,J$1,0)</f>
        <v>Laboratory Equipment</v>
      </c>
      <c r="K191" s="1" t="s">
        <v>654</v>
      </c>
      <c r="L191" s="1">
        <v>205</v>
      </c>
      <c r="M191" s="1" t="str">
        <f t="shared" si="8"/>
        <v>11600205</v>
      </c>
      <c r="N191" s="12" t="str">
        <f t="shared" si="13"/>
        <v>11600205</v>
      </c>
    </row>
    <row r="192" spans="4:14" ht="23.25" customHeight="1" x14ac:dyDescent="0.25">
      <c r="D192" s="11" t="s">
        <v>213</v>
      </c>
      <c r="E192" s="134" t="str">
        <f>VLOOKUP(F192,'Activity List CSI'!$B$4:$D$146,3,0)</f>
        <v>12500-01</v>
      </c>
      <c r="F192" s="1" t="s">
        <v>11</v>
      </c>
      <c r="G192" s="1" t="str">
        <f>VLOOKUP($E192,'Activity List CSI'!$D$4:$J$146,G$1,0)</f>
        <v>12</v>
      </c>
      <c r="H192" s="1" t="str">
        <f>VLOOKUP($E192,'Activity List CSI'!$D$4:$J$146,H$1,0)</f>
        <v>Furniture</v>
      </c>
      <c r="I192" s="1" t="str">
        <f>VLOOKUP(D192,'Activity List CSI'!$C$4:$H$146,6,0)</f>
        <v>12500</v>
      </c>
      <c r="J192" s="1" t="str">
        <f>VLOOKUP($E192,'Activity List CSI'!$D$4:$J$146,J$1,0)</f>
        <v>Furniture</v>
      </c>
      <c r="K192" s="1" t="s">
        <v>655</v>
      </c>
      <c r="L192" s="1">
        <v>205</v>
      </c>
      <c r="M192" s="1" t="str">
        <f t="shared" si="8"/>
        <v>12500205</v>
      </c>
      <c r="N192" s="12" t="str">
        <f t="shared" si="13"/>
        <v>12500205</v>
      </c>
    </row>
    <row r="193" spans="4:14" ht="23.25" customHeight="1" x14ac:dyDescent="0.25">
      <c r="D193" s="11" t="s">
        <v>280</v>
      </c>
      <c r="E193" s="134" t="str">
        <f>VLOOKUP(F193,'Activity List CSI'!$B$4:$D$146,3,0)</f>
        <v>13200-01</v>
      </c>
      <c r="F193" s="1" t="s">
        <v>272</v>
      </c>
      <c r="G193" s="1" t="str">
        <f>VLOOKUP($E193,'Activity List CSI'!$D$4:$J$146,G$1,0)</f>
        <v>13</v>
      </c>
      <c r="H193" s="1" t="str">
        <f>VLOOKUP($E193,'Activity List CSI'!$D$4:$J$146,H$1,0)</f>
        <v>Special Construction</v>
      </c>
      <c r="I193" s="1" t="str">
        <f>VLOOKUP(D193,'Activity List CSI'!$C$4:$H$146,6,0)</f>
        <v>13200</v>
      </c>
      <c r="J193" s="1" t="str">
        <f>VLOOKUP($E193,'Activity List CSI'!$D$4:$J$146,J$1,0)</f>
        <v>Storage tanks</v>
      </c>
      <c r="K193" s="1" t="s">
        <v>272</v>
      </c>
      <c r="L193" s="1">
        <v>205</v>
      </c>
      <c r="M193" s="1" t="str">
        <f t="shared" si="8"/>
        <v>13200205</v>
      </c>
      <c r="N193" s="12" t="str">
        <f t="shared" si="13"/>
        <v>13200205</v>
      </c>
    </row>
    <row r="194" spans="4:14" ht="23.25" customHeight="1" x14ac:dyDescent="0.25">
      <c r="D194" s="11" t="s">
        <v>281</v>
      </c>
      <c r="E194" s="134" t="str">
        <f>VLOOKUP(F194,'Activity List CSI'!$B$4:$D$146,3,0)</f>
        <v>13200-02</v>
      </c>
      <c r="F194" s="1" t="s">
        <v>273</v>
      </c>
      <c r="G194" s="1" t="str">
        <f>VLOOKUP($E194,'Activity List CSI'!$D$4:$J$146,G$1,0)</f>
        <v>13</v>
      </c>
      <c r="H194" s="1" t="str">
        <f>VLOOKUP($E194,'Activity List CSI'!$D$4:$J$146,H$1,0)</f>
        <v>Special Construction</v>
      </c>
      <c r="I194" s="1" t="str">
        <f>VLOOKUP(D194,'Activity List CSI'!$C$4:$H$146,6,0)</f>
        <v>13200</v>
      </c>
      <c r="J194" s="1" t="str">
        <f>VLOOKUP($E194,'Activity List CSI'!$D$4:$J$146,J$1,0)</f>
        <v>Storage tanks</v>
      </c>
      <c r="K194" s="1" t="s">
        <v>273</v>
      </c>
      <c r="L194" s="1">
        <v>210</v>
      </c>
      <c r="M194" s="1" t="str">
        <f t="shared" si="8"/>
        <v>13200210</v>
      </c>
      <c r="N194" s="12" t="str">
        <f t="shared" si="13"/>
        <v>13200210</v>
      </c>
    </row>
    <row r="195" spans="4:14" ht="23.25" customHeight="1" x14ac:dyDescent="0.25">
      <c r="D195" s="11" t="s">
        <v>282</v>
      </c>
      <c r="E195" s="134" t="str">
        <f>VLOOKUP(F195,'Activity List CSI'!$B$4:$D$146,3,0)</f>
        <v>13240-01</v>
      </c>
      <c r="F195" s="1" t="s">
        <v>274</v>
      </c>
      <c r="G195" s="1" t="str">
        <f>VLOOKUP($E195,'Activity List CSI'!$D$4:$J$146,G$1,0)</f>
        <v>13</v>
      </c>
      <c r="H195" s="1" t="str">
        <f>VLOOKUP($E195,'Activity List CSI'!$D$4:$J$146,H$1,0)</f>
        <v>Special Construction</v>
      </c>
      <c r="I195" s="1" t="str">
        <f>VLOOKUP(D195,'Activity List CSI'!$C$4:$H$146,6,0)</f>
        <v>13240</v>
      </c>
      <c r="J195" s="1" t="str">
        <f>VLOOKUP($E195,'Activity List CSI'!$D$4:$J$146,J$1,0)</f>
        <v>Oxygination Systems</v>
      </c>
      <c r="K195" s="1" t="s">
        <v>274</v>
      </c>
      <c r="L195" s="1">
        <v>205</v>
      </c>
      <c r="M195" s="1" t="str">
        <f t="shared" si="8"/>
        <v>13240205</v>
      </c>
      <c r="N195" s="12" t="str">
        <f t="shared" si="13"/>
        <v>13240205</v>
      </c>
    </row>
    <row r="196" spans="4:14" ht="23.25" customHeight="1" x14ac:dyDescent="0.25">
      <c r="D196" s="11" t="s">
        <v>283</v>
      </c>
      <c r="E196" s="134" t="str">
        <f>VLOOKUP(F196,'Activity List CSI'!$B$4:$D$146,3,0)</f>
        <v>13240-02</v>
      </c>
      <c r="F196" s="1" t="s">
        <v>275</v>
      </c>
      <c r="G196" s="1" t="str">
        <f>VLOOKUP($E196,'Activity List CSI'!$D$4:$J$146,G$1,0)</f>
        <v>13</v>
      </c>
      <c r="H196" s="1" t="str">
        <f>VLOOKUP($E196,'Activity List CSI'!$D$4:$J$146,H$1,0)</f>
        <v>Special Construction</v>
      </c>
      <c r="I196" s="1" t="str">
        <f>VLOOKUP(D196,'Activity List CSI'!$C$4:$H$146,6,0)</f>
        <v>13240</v>
      </c>
      <c r="J196" s="1" t="str">
        <f>VLOOKUP($E196,'Activity List CSI'!$D$4:$J$146,J$1,0)</f>
        <v>Oxygination Systems</v>
      </c>
      <c r="K196" s="1" t="s">
        <v>275</v>
      </c>
      <c r="L196" s="1">
        <v>210</v>
      </c>
      <c r="M196" s="1" t="str">
        <f t="shared" si="8"/>
        <v>13240210</v>
      </c>
      <c r="N196" s="12" t="str">
        <f t="shared" si="13"/>
        <v>13240210</v>
      </c>
    </row>
    <row r="197" spans="4:14" ht="23.25" customHeight="1" x14ac:dyDescent="0.25">
      <c r="D197" s="11" t="s">
        <v>284</v>
      </c>
      <c r="E197" s="134" t="str">
        <f>VLOOKUP(F197,'Activity List CSI'!$B$4:$D$146,3,0)</f>
        <v>13800-01</v>
      </c>
      <c r="F197" s="1" t="s">
        <v>276</v>
      </c>
      <c r="G197" s="1" t="str">
        <f>VLOOKUP($E197,'Activity List CSI'!$D$4:$J$146,G$1,0)</f>
        <v>13</v>
      </c>
      <c r="H197" s="1" t="str">
        <f>VLOOKUP($E197,'Activity List CSI'!$D$4:$J$146,H$1,0)</f>
        <v>Special Construction</v>
      </c>
      <c r="I197" s="1" t="str">
        <f>VLOOKUP(D197,'Activity List CSI'!$C$4:$H$146,6,0)</f>
        <v>13800</v>
      </c>
      <c r="J197" s="1" t="str">
        <f>VLOOKUP($E197,'Activity List CSI'!$D$4:$J$146,J$1,0)</f>
        <v>Building Automation &amp; Control</v>
      </c>
      <c r="K197" s="1" t="s">
        <v>276</v>
      </c>
      <c r="L197" s="1">
        <v>205</v>
      </c>
      <c r="M197" s="1" t="str">
        <f t="shared" ref="M197:M223" si="14">I197&amp;L197</f>
        <v>13800205</v>
      </c>
      <c r="N197" s="12" t="str">
        <f t="shared" si="13"/>
        <v>13800205</v>
      </c>
    </row>
    <row r="198" spans="4:14" ht="23.25" customHeight="1" x14ac:dyDescent="0.25">
      <c r="D198" s="11" t="s">
        <v>285</v>
      </c>
      <c r="E198" s="134" t="str">
        <f>VLOOKUP(F198,'Activity List CSI'!$B$4:$D$146,3,0)</f>
        <v>13900-01</v>
      </c>
      <c r="F198" s="1" t="s">
        <v>277</v>
      </c>
      <c r="G198" s="1" t="str">
        <f>VLOOKUP($E198,'Activity List CSI'!$D$4:$J$146,G$1,0)</f>
        <v>13</v>
      </c>
      <c r="H198" s="1" t="str">
        <f>VLOOKUP($E198,'Activity List CSI'!$D$4:$J$146,H$1,0)</f>
        <v>Special Construction</v>
      </c>
      <c r="I198" s="1" t="str">
        <f>VLOOKUP(D198,'Activity List CSI'!$C$4:$H$146,6,0)</f>
        <v>13900</v>
      </c>
      <c r="J198" s="1" t="str">
        <f>VLOOKUP($E198,'Activity List CSI'!$D$4:$J$146,J$1,0)</f>
        <v>fire suppresion</v>
      </c>
      <c r="K198" s="1" t="s">
        <v>277</v>
      </c>
      <c r="L198" s="1">
        <v>205</v>
      </c>
      <c r="M198" s="1" t="str">
        <f t="shared" si="14"/>
        <v>13900205</v>
      </c>
      <c r="N198" s="12" t="str">
        <f t="shared" si="13"/>
        <v>13900205</v>
      </c>
    </row>
    <row r="199" spans="4:14" ht="23.25" customHeight="1" x14ac:dyDescent="0.25">
      <c r="D199" s="11" t="s">
        <v>214</v>
      </c>
      <c r="E199" s="134" t="str">
        <f>VLOOKUP(F199,'Activity List CSI'!$B$4:$D$146,3,0)</f>
        <v>14200-01</v>
      </c>
      <c r="F199" s="1" t="s">
        <v>215</v>
      </c>
      <c r="G199" s="1" t="str">
        <f>VLOOKUP($E199,'Activity List CSI'!$D$4:$J$146,G$1,0)</f>
        <v>14</v>
      </c>
      <c r="H199" s="1" t="str">
        <f>VLOOKUP($E199,'Activity List CSI'!$D$4:$J$146,H$1,0)</f>
        <v>ConveyingSystems</v>
      </c>
      <c r="I199" s="1" t="str">
        <f>VLOOKUP(D199,'Activity List CSI'!$C$4:$H$146,6,0)</f>
        <v>14200</v>
      </c>
      <c r="J199" s="1" t="str">
        <f>VLOOKUP($E199,'Activity List CSI'!$D$4:$J$146,J$1,0)</f>
        <v>Elevators</v>
      </c>
      <c r="K199" s="1" t="s">
        <v>656</v>
      </c>
      <c r="L199" s="1">
        <v>205</v>
      </c>
      <c r="M199" s="1" t="str">
        <f t="shared" si="14"/>
        <v>14200205</v>
      </c>
      <c r="N199" s="12" t="str">
        <f t="shared" si="13"/>
        <v>14200205</v>
      </c>
    </row>
    <row r="200" spans="4:14" ht="23.25" customHeight="1" x14ac:dyDescent="0.25">
      <c r="D200" s="11" t="s">
        <v>291</v>
      </c>
      <c r="E200" s="134" t="str">
        <f>VLOOKUP(F200,'Activity List CSI'!$B$4:$D$146,3,0)</f>
        <v>15700-01</v>
      </c>
      <c r="F200" s="1" t="s">
        <v>216</v>
      </c>
      <c r="G200" s="1" t="str">
        <f>VLOOKUP($E200,'Activity List CSI'!$D$4:$J$146,G$1,0)</f>
        <v>15</v>
      </c>
      <c r="H200" s="1" t="str">
        <f>VLOOKUP($E200,'Activity List CSI'!$D$4:$J$146,H$1,0)</f>
        <v>Mechanical Work</v>
      </c>
      <c r="I200" s="1" t="str">
        <f>VLOOKUP(D200,'Activity List CSI'!$C$4:$H$146,6,0)</f>
        <v>15700</v>
      </c>
      <c r="J200" s="1" t="str">
        <f>VLOOKUP($E200,'Activity List CSI'!$D$4:$J$146,J$1,0)</f>
        <v>heating , Ventilation &amp;Air Conditioning Equipment</v>
      </c>
      <c r="K200" s="1" t="s">
        <v>657</v>
      </c>
      <c r="L200" s="1">
        <v>205</v>
      </c>
      <c r="M200" s="1" t="str">
        <f t="shared" si="14"/>
        <v>15700205</v>
      </c>
      <c r="N200" s="12" t="str">
        <f t="shared" si="13"/>
        <v>15700205</v>
      </c>
    </row>
    <row r="201" spans="4:14" ht="23.25" customHeight="1" x14ac:dyDescent="0.25">
      <c r="D201" s="11" t="s">
        <v>292</v>
      </c>
      <c r="E201" s="134" t="str">
        <f>VLOOKUP(F201,'Activity List CSI'!$B$4:$D$146,3,0)</f>
        <v>15100-01</v>
      </c>
      <c r="F201" s="1" t="s">
        <v>288</v>
      </c>
      <c r="G201" s="1" t="str">
        <f>VLOOKUP($E201,'Activity List CSI'!$D$4:$J$146,G$1,0)</f>
        <v>15</v>
      </c>
      <c r="H201" s="1" t="str">
        <f>VLOOKUP($E201,'Activity List CSI'!$D$4:$J$146,H$1,0)</f>
        <v>Mechanical Work</v>
      </c>
      <c r="I201" s="1" t="str">
        <f>VLOOKUP(D201,'Activity List CSI'!$C$4:$H$146,6,0)</f>
        <v>15100</v>
      </c>
      <c r="J201" s="1" t="str">
        <f>VLOOKUP($E201,'Activity List CSI'!$D$4:$J$146,J$1,0)</f>
        <v>Buliding Service Piping</v>
      </c>
      <c r="K201" s="1" t="s">
        <v>618</v>
      </c>
      <c r="L201" s="1">
        <v>225</v>
      </c>
      <c r="M201" s="1" t="str">
        <f t="shared" si="14"/>
        <v>15100225</v>
      </c>
      <c r="N201" s="12" t="str">
        <f t="shared" si="13"/>
        <v>15100225</v>
      </c>
    </row>
    <row r="202" spans="4:14" ht="23.25" customHeight="1" x14ac:dyDescent="0.25">
      <c r="D202" s="11" t="s">
        <v>292</v>
      </c>
      <c r="E202" s="134" t="str">
        <f>VLOOKUP(F202,'Activity List CSI'!$B$4:$D$146,3,0)</f>
        <v>15100-01</v>
      </c>
      <c r="F202" s="1" t="s">
        <v>288</v>
      </c>
      <c r="G202" s="1" t="str">
        <f>VLOOKUP($E202,'Activity List CSI'!$D$4:$J$146,G$1,0)</f>
        <v>15</v>
      </c>
      <c r="H202" s="1" t="str">
        <f>VLOOKUP($E202,'Activity List CSI'!$D$4:$J$146,H$1,0)</f>
        <v>Mechanical Work</v>
      </c>
      <c r="I202" s="1" t="str">
        <f>VLOOKUP(D202,'Activity List CSI'!$C$4:$H$146,6,0)</f>
        <v>15100</v>
      </c>
      <c r="J202" s="1" t="str">
        <f>VLOOKUP($E202,'Activity List CSI'!$D$4:$J$146,J$1,0)</f>
        <v>Buliding Service Piping</v>
      </c>
      <c r="K202" s="1" t="s">
        <v>618</v>
      </c>
      <c r="L202" s="1">
        <v>225</v>
      </c>
      <c r="M202" s="1" t="str">
        <f t="shared" si="14"/>
        <v>15100225</v>
      </c>
      <c r="N202" s="12" t="str">
        <f t="shared" si="13"/>
        <v>15100225</v>
      </c>
    </row>
    <row r="203" spans="4:14" ht="23.25" customHeight="1" x14ac:dyDescent="0.25">
      <c r="D203" s="11" t="s">
        <v>293</v>
      </c>
      <c r="E203" s="134" t="str">
        <f>VLOOKUP(F203,'Activity List CSI'!$B$4:$D$146,3,0)</f>
        <v>15100-02</v>
      </c>
      <c r="F203" s="1" t="s">
        <v>289</v>
      </c>
      <c r="G203" s="1" t="str">
        <f>VLOOKUP($E203,'Activity List CSI'!$D$4:$J$146,G$1,0)</f>
        <v>15</v>
      </c>
      <c r="H203" s="1" t="str">
        <f>VLOOKUP($E203,'Activity List CSI'!$D$4:$J$146,H$1,0)</f>
        <v>Mechanical Work</v>
      </c>
      <c r="I203" s="1" t="str">
        <f>VLOOKUP(D203,'Activity List CSI'!$C$4:$H$146,6,0)</f>
        <v>15100</v>
      </c>
      <c r="J203" s="1" t="str">
        <f>VLOOKUP($E203,'Activity List CSI'!$D$4:$J$146,J$1,0)</f>
        <v>Buliding Service Piping</v>
      </c>
      <c r="K203" s="1" t="s">
        <v>618</v>
      </c>
      <c r="L203" s="1">
        <v>225</v>
      </c>
      <c r="M203" s="1" t="str">
        <f t="shared" si="14"/>
        <v>15100225</v>
      </c>
      <c r="N203" s="12" t="str">
        <f t="shared" si="13"/>
        <v>15100225</v>
      </c>
    </row>
    <row r="204" spans="4:14" ht="23.25" customHeight="1" x14ac:dyDescent="0.25">
      <c r="D204" s="11" t="s">
        <v>293</v>
      </c>
      <c r="E204" s="134" t="str">
        <f>VLOOKUP(F204,'Activity List CSI'!$B$4:$D$146,3,0)</f>
        <v>15100-02</v>
      </c>
      <c r="F204" s="1" t="s">
        <v>289</v>
      </c>
      <c r="G204" s="1" t="str">
        <f>VLOOKUP($E204,'Activity List CSI'!$D$4:$J$146,G$1,0)</f>
        <v>15</v>
      </c>
      <c r="H204" s="1" t="str">
        <f>VLOOKUP($E204,'Activity List CSI'!$D$4:$J$146,H$1,0)</f>
        <v>Mechanical Work</v>
      </c>
      <c r="I204" s="1" t="str">
        <f>VLOOKUP(D204,'Activity List CSI'!$C$4:$H$146,6,0)</f>
        <v>15100</v>
      </c>
      <c r="J204" s="1" t="str">
        <f>VLOOKUP($E204,'Activity List CSI'!$D$4:$J$146,J$1,0)</f>
        <v>Buliding Service Piping</v>
      </c>
      <c r="K204" s="1" t="s">
        <v>618</v>
      </c>
      <c r="L204" s="1">
        <v>225</v>
      </c>
      <c r="M204" s="1" t="str">
        <f t="shared" si="14"/>
        <v>15100225</v>
      </c>
      <c r="N204" s="12" t="str">
        <f t="shared" si="13"/>
        <v>15100225</v>
      </c>
    </row>
    <row r="205" spans="4:14" ht="23.25" customHeight="1" x14ac:dyDescent="0.25">
      <c r="D205" s="11" t="s">
        <v>294</v>
      </c>
      <c r="E205" s="134" t="str">
        <f>VLOOKUP(F205,'Activity List CSI'!$B$4:$D$146,3,0)</f>
        <v>15100-03</v>
      </c>
      <c r="F205" s="1" t="s">
        <v>290</v>
      </c>
      <c r="G205" s="1" t="str">
        <f>VLOOKUP($E205,'Activity List CSI'!$D$4:$J$146,G$1,0)</f>
        <v>15</v>
      </c>
      <c r="H205" s="1" t="str">
        <f>VLOOKUP($E205,'Activity List CSI'!$D$4:$J$146,H$1,0)</f>
        <v>Mechanical Work</v>
      </c>
      <c r="I205" s="1" t="str">
        <f>VLOOKUP(D205,'Activity List CSI'!$C$4:$H$146,6,0)</f>
        <v>15100</v>
      </c>
      <c r="J205" s="1" t="str">
        <f>VLOOKUP($E205,'Activity List CSI'!$D$4:$J$146,J$1,0)</f>
        <v>Buliding Service Piping</v>
      </c>
      <c r="K205" s="1" t="s">
        <v>618</v>
      </c>
      <c r="L205" s="1">
        <v>225</v>
      </c>
      <c r="M205" s="1" t="str">
        <f t="shared" si="14"/>
        <v>15100225</v>
      </c>
      <c r="N205" s="12" t="str">
        <f t="shared" si="13"/>
        <v>15100225</v>
      </c>
    </row>
    <row r="206" spans="4:14" ht="23.25" customHeight="1" x14ac:dyDescent="0.25">
      <c r="D206" s="11" t="s">
        <v>294</v>
      </c>
      <c r="E206" s="134" t="str">
        <f>VLOOKUP(F206,'Activity List CSI'!$B$4:$D$146,3,0)</f>
        <v>15100-03</v>
      </c>
      <c r="F206" s="1" t="s">
        <v>290</v>
      </c>
      <c r="G206" s="1" t="str">
        <f>VLOOKUP($E206,'Activity List CSI'!$D$4:$J$146,G$1,0)</f>
        <v>15</v>
      </c>
      <c r="H206" s="1" t="str">
        <f>VLOOKUP($E206,'Activity List CSI'!$D$4:$J$146,H$1,0)</f>
        <v>Mechanical Work</v>
      </c>
      <c r="I206" s="1" t="str">
        <f>VLOOKUP(D206,'Activity List CSI'!$C$4:$H$146,6,0)</f>
        <v>15100</v>
      </c>
      <c r="J206" s="1" t="str">
        <f>VLOOKUP($E206,'Activity List CSI'!$D$4:$J$146,J$1,0)</f>
        <v>Buliding Service Piping</v>
      </c>
      <c r="K206" s="1" t="s">
        <v>618</v>
      </c>
      <c r="L206" s="1">
        <v>225</v>
      </c>
      <c r="M206" s="1" t="str">
        <f t="shared" si="14"/>
        <v>15100225</v>
      </c>
      <c r="N206" s="12" t="str">
        <f t="shared" si="13"/>
        <v>15100225</v>
      </c>
    </row>
    <row r="207" spans="4:14" ht="23.25" customHeight="1" x14ac:dyDescent="0.25">
      <c r="D207" s="11" t="s">
        <v>300</v>
      </c>
      <c r="E207" s="134" t="str">
        <f>VLOOKUP(F207,'Activity List CSI'!$B$4:$D$146,3,0)</f>
        <v>15200-01</v>
      </c>
      <c r="F207" s="1" t="s">
        <v>295</v>
      </c>
      <c r="G207" s="1" t="str">
        <f>VLOOKUP($E207,'Activity List CSI'!$D$4:$J$146,G$1,0)</f>
        <v>15</v>
      </c>
      <c r="H207" s="1" t="str">
        <f>VLOOKUP($E207,'Activity List CSI'!$D$4:$J$146,H$1,0)</f>
        <v>Mechanical Work</v>
      </c>
      <c r="I207" s="1" t="str">
        <f>VLOOKUP(D207,'Activity List CSI'!$C$4:$H$146,6,0)</f>
        <v>15200</v>
      </c>
      <c r="J207" s="1" t="str">
        <f>VLOOKUP($E207,'Activity List CSI'!$D$4:$J$146,J$1,0)</f>
        <v>Process Piping</v>
      </c>
      <c r="K207" s="1" t="s">
        <v>658</v>
      </c>
      <c r="L207" s="1">
        <v>220</v>
      </c>
      <c r="M207" s="1" t="str">
        <f t="shared" si="14"/>
        <v>15200220</v>
      </c>
      <c r="N207" s="12" t="str">
        <f t="shared" si="13"/>
        <v>15200220</v>
      </c>
    </row>
    <row r="208" spans="4:14" ht="23.25" customHeight="1" x14ac:dyDescent="0.25">
      <c r="D208" s="11" t="s">
        <v>300</v>
      </c>
      <c r="E208" s="134" t="str">
        <f>VLOOKUP(F208,'Activity List CSI'!$B$4:$D$146,3,0)</f>
        <v>15200-01</v>
      </c>
      <c r="F208" s="1" t="s">
        <v>295</v>
      </c>
      <c r="G208" s="1" t="str">
        <f>VLOOKUP($E208,'Activity List CSI'!$D$4:$J$146,G$1,0)</f>
        <v>15</v>
      </c>
      <c r="H208" s="1" t="str">
        <f>VLOOKUP($E208,'Activity List CSI'!$D$4:$J$146,H$1,0)</f>
        <v>Mechanical Work</v>
      </c>
      <c r="I208" s="1" t="str">
        <f>VLOOKUP(D208,'Activity List CSI'!$C$4:$H$146,6,0)</f>
        <v>15200</v>
      </c>
      <c r="J208" s="1" t="str">
        <f>VLOOKUP($E208,'Activity List CSI'!$D$4:$J$146,J$1,0)</f>
        <v>Process Piping</v>
      </c>
      <c r="K208" s="1" t="s">
        <v>658</v>
      </c>
      <c r="L208" s="1">
        <v>220</v>
      </c>
      <c r="M208" s="1" t="str">
        <f t="shared" si="14"/>
        <v>15200220</v>
      </c>
      <c r="N208" s="12" t="str">
        <f t="shared" si="13"/>
        <v>15200220</v>
      </c>
    </row>
    <row r="209" spans="4:14" ht="23.25" customHeight="1" x14ac:dyDescent="0.25">
      <c r="D209" s="11" t="s">
        <v>301</v>
      </c>
      <c r="E209" s="134" t="str">
        <f>VLOOKUP(F209,'Activity List CSI'!$B$4:$D$146,3,0)</f>
        <v>15200-02</v>
      </c>
      <c r="F209" s="1" t="s">
        <v>296</v>
      </c>
      <c r="G209" s="1" t="str">
        <f>VLOOKUP($E209,'Activity List CSI'!$D$4:$J$146,G$1,0)</f>
        <v>15</v>
      </c>
      <c r="H209" s="1" t="str">
        <f>VLOOKUP($E209,'Activity List CSI'!$D$4:$J$146,H$1,0)</f>
        <v>Mechanical Work</v>
      </c>
      <c r="I209" s="1" t="str">
        <f>VLOOKUP(D209,'Activity List CSI'!$C$4:$H$146,6,0)</f>
        <v>15200</v>
      </c>
      <c r="J209" s="1" t="str">
        <f>VLOOKUP($E209,'Activity List CSI'!$D$4:$J$146,J$1,0)</f>
        <v>Process Piping</v>
      </c>
      <c r="K209" s="1" t="s">
        <v>658</v>
      </c>
      <c r="L209" s="1">
        <v>220</v>
      </c>
      <c r="M209" s="1" t="str">
        <f t="shared" si="14"/>
        <v>15200220</v>
      </c>
      <c r="N209" s="12" t="str">
        <f t="shared" si="13"/>
        <v>15200220</v>
      </c>
    </row>
    <row r="210" spans="4:14" ht="23.25" customHeight="1" x14ac:dyDescent="0.25">
      <c r="D210" s="11" t="s">
        <v>301</v>
      </c>
      <c r="E210" s="134" t="str">
        <f>VLOOKUP(F210,'Activity List CSI'!$B$4:$D$146,3,0)</f>
        <v>15200-02</v>
      </c>
      <c r="F210" s="1" t="s">
        <v>296</v>
      </c>
      <c r="G210" s="1" t="str">
        <f>VLOOKUP($E210,'Activity List CSI'!$D$4:$J$146,G$1,0)</f>
        <v>15</v>
      </c>
      <c r="H210" s="1" t="str">
        <f>VLOOKUP($E210,'Activity List CSI'!$D$4:$J$146,H$1,0)</f>
        <v>Mechanical Work</v>
      </c>
      <c r="I210" s="1" t="str">
        <f>VLOOKUP(D210,'Activity List CSI'!$C$4:$H$146,6,0)</f>
        <v>15200</v>
      </c>
      <c r="J210" s="1" t="str">
        <f>VLOOKUP($E210,'Activity List CSI'!$D$4:$J$146,J$1,0)</f>
        <v>Process Piping</v>
      </c>
      <c r="K210" s="1" t="s">
        <v>658</v>
      </c>
      <c r="L210" s="1">
        <v>220</v>
      </c>
      <c r="M210" s="1" t="str">
        <f t="shared" si="14"/>
        <v>15200220</v>
      </c>
      <c r="N210" s="12" t="str">
        <f t="shared" si="13"/>
        <v>15200220</v>
      </c>
    </row>
    <row r="211" spans="4:14" ht="23.25" customHeight="1" x14ac:dyDescent="0.25">
      <c r="D211" s="11" t="s">
        <v>302</v>
      </c>
      <c r="E211" s="134" t="str">
        <f>VLOOKUP(F211,'Activity List CSI'!$B$4:$D$146,3,0)</f>
        <v>15200-03</v>
      </c>
      <c r="F211" s="1" t="s">
        <v>297</v>
      </c>
      <c r="G211" s="1" t="str">
        <f>VLOOKUP($E211,'Activity List CSI'!$D$4:$J$146,G$1,0)</f>
        <v>15</v>
      </c>
      <c r="H211" s="1" t="str">
        <f>VLOOKUP($E211,'Activity List CSI'!$D$4:$J$146,H$1,0)</f>
        <v>Mechanical Work</v>
      </c>
      <c r="I211" s="1" t="str">
        <f>VLOOKUP(D211,'Activity List CSI'!$C$4:$H$146,6,0)</f>
        <v>15200</v>
      </c>
      <c r="J211" s="1" t="str">
        <f>VLOOKUP($E211,'Activity List CSI'!$D$4:$J$146,J$1,0)</f>
        <v>Process Piping</v>
      </c>
      <c r="K211" s="1" t="s">
        <v>658</v>
      </c>
      <c r="L211" s="1">
        <v>220</v>
      </c>
      <c r="M211" s="1" t="str">
        <f t="shared" si="14"/>
        <v>15200220</v>
      </c>
      <c r="N211" s="12" t="str">
        <f t="shared" si="13"/>
        <v>15200220</v>
      </c>
    </row>
    <row r="212" spans="4:14" ht="23.25" customHeight="1" x14ac:dyDescent="0.25">
      <c r="D212" s="11" t="s">
        <v>302</v>
      </c>
      <c r="E212" s="134" t="str">
        <f>VLOOKUP(F212,'Activity List CSI'!$B$4:$D$146,3,0)</f>
        <v>15200-03</v>
      </c>
      <c r="F212" s="1" t="s">
        <v>297</v>
      </c>
      <c r="G212" s="1" t="str">
        <f>VLOOKUP($E212,'Activity List CSI'!$D$4:$J$146,G$1,0)</f>
        <v>15</v>
      </c>
      <c r="H212" s="1" t="str">
        <f>VLOOKUP($E212,'Activity List CSI'!$D$4:$J$146,H$1,0)</f>
        <v>Mechanical Work</v>
      </c>
      <c r="I212" s="1" t="str">
        <f>VLOOKUP(D212,'Activity List CSI'!$C$4:$H$146,6,0)</f>
        <v>15200</v>
      </c>
      <c r="J212" s="1" t="str">
        <f>VLOOKUP($E212,'Activity List CSI'!$D$4:$J$146,J$1,0)</f>
        <v>Process Piping</v>
      </c>
      <c r="K212" s="1" t="s">
        <v>658</v>
      </c>
      <c r="L212" s="1">
        <v>220</v>
      </c>
      <c r="M212" s="1" t="str">
        <f t="shared" si="14"/>
        <v>15200220</v>
      </c>
      <c r="N212" s="12" t="str">
        <f t="shared" si="13"/>
        <v>15200220</v>
      </c>
    </row>
    <row r="213" spans="4:14" ht="23.25" customHeight="1" x14ac:dyDescent="0.25">
      <c r="D213" s="11" t="s">
        <v>303</v>
      </c>
      <c r="E213" s="134" t="str">
        <f>VLOOKUP(F213,'Activity List CSI'!$B$4:$D$146,3,0)</f>
        <v>15200-04</v>
      </c>
      <c r="F213" s="1" t="s">
        <v>298</v>
      </c>
      <c r="G213" s="1" t="str">
        <f>VLOOKUP($E213,'Activity List CSI'!$D$4:$J$146,G$1,0)</f>
        <v>15</v>
      </c>
      <c r="H213" s="1" t="str">
        <f>VLOOKUP($E213,'Activity List CSI'!$D$4:$J$146,H$1,0)</f>
        <v>Mechanical Work</v>
      </c>
      <c r="I213" s="1" t="str">
        <f>VLOOKUP(D213,'Activity List CSI'!$C$4:$H$146,6,0)</f>
        <v>15200</v>
      </c>
      <c r="J213" s="1" t="str">
        <f>VLOOKUP($E213,'Activity List CSI'!$D$4:$J$146,J$1,0)</f>
        <v>Process Piping</v>
      </c>
      <c r="K213" s="1" t="s">
        <v>658</v>
      </c>
      <c r="L213" s="1">
        <v>220</v>
      </c>
      <c r="M213" s="1" t="str">
        <f t="shared" si="14"/>
        <v>15200220</v>
      </c>
      <c r="N213" s="12" t="str">
        <f t="shared" si="13"/>
        <v>15200220</v>
      </c>
    </row>
    <row r="214" spans="4:14" ht="23.25" customHeight="1" x14ac:dyDescent="0.25">
      <c r="D214" s="11" t="s">
        <v>303</v>
      </c>
      <c r="E214" s="134" t="str">
        <f>VLOOKUP(F214,'Activity List CSI'!$B$4:$D$146,3,0)</f>
        <v>15200-04</v>
      </c>
      <c r="F214" s="1" t="s">
        <v>298</v>
      </c>
      <c r="G214" s="1" t="str">
        <f>VLOOKUP($E214,'Activity List CSI'!$D$4:$J$146,G$1,0)</f>
        <v>15</v>
      </c>
      <c r="H214" s="1" t="str">
        <f>VLOOKUP($E214,'Activity List CSI'!$D$4:$J$146,H$1,0)</f>
        <v>Mechanical Work</v>
      </c>
      <c r="I214" s="1" t="str">
        <f>VLOOKUP(D214,'Activity List CSI'!$C$4:$H$146,6,0)</f>
        <v>15200</v>
      </c>
      <c r="J214" s="1" t="str">
        <f>VLOOKUP($E214,'Activity List CSI'!$D$4:$J$146,J$1,0)</f>
        <v>Process Piping</v>
      </c>
      <c r="K214" s="1" t="s">
        <v>658</v>
      </c>
      <c r="L214" s="1">
        <v>220</v>
      </c>
      <c r="M214" s="1" t="str">
        <f t="shared" si="14"/>
        <v>15200220</v>
      </c>
      <c r="N214" s="12" t="str">
        <f t="shared" si="13"/>
        <v>15200220</v>
      </c>
    </row>
    <row r="215" spans="4:14" ht="23.25" customHeight="1" x14ac:dyDescent="0.25">
      <c r="D215" s="11" t="s">
        <v>304</v>
      </c>
      <c r="E215" s="134" t="str">
        <f>VLOOKUP(F215,'Activity List CSI'!$B$4:$D$146,3,0)</f>
        <v>15200-05</v>
      </c>
      <c r="F215" s="1" t="s">
        <v>299</v>
      </c>
      <c r="G215" s="1" t="str">
        <f>VLOOKUP($E215,'Activity List CSI'!$D$4:$J$146,G$1,0)</f>
        <v>15</v>
      </c>
      <c r="H215" s="1" t="str">
        <f>VLOOKUP($E215,'Activity List CSI'!$D$4:$J$146,H$1,0)</f>
        <v>Mechanical Work</v>
      </c>
      <c r="I215" s="1" t="str">
        <f>VLOOKUP(D215,'Activity List CSI'!$C$4:$H$146,6,0)</f>
        <v>15200</v>
      </c>
      <c r="J215" s="1" t="str">
        <f>VLOOKUP($E215,'Activity List CSI'!$D$4:$J$146,J$1,0)</f>
        <v>Process Piping</v>
      </c>
      <c r="K215" s="1" t="s">
        <v>658</v>
      </c>
      <c r="L215" s="1">
        <v>220</v>
      </c>
      <c r="M215" s="1" t="str">
        <f t="shared" si="14"/>
        <v>15200220</v>
      </c>
      <c r="N215" s="12" t="str">
        <f t="shared" si="13"/>
        <v>15200220</v>
      </c>
    </row>
    <row r="216" spans="4:14" ht="23.25" customHeight="1" x14ac:dyDescent="0.25">
      <c r="D216" s="11" t="s">
        <v>304</v>
      </c>
      <c r="E216" s="134" t="str">
        <f>VLOOKUP(F216,'Activity List CSI'!$B$4:$D$146,3,0)</f>
        <v>15200-05</v>
      </c>
      <c r="F216" s="1" t="s">
        <v>299</v>
      </c>
      <c r="G216" s="1" t="str">
        <f>VLOOKUP($E216,'Activity List CSI'!$D$4:$J$146,G$1,0)</f>
        <v>15</v>
      </c>
      <c r="H216" s="1" t="str">
        <f>VLOOKUP($E216,'Activity List CSI'!$D$4:$J$146,H$1,0)</f>
        <v>Mechanical Work</v>
      </c>
      <c r="I216" s="1" t="str">
        <f>VLOOKUP(D216,'Activity List CSI'!$C$4:$H$146,6,0)</f>
        <v>15200</v>
      </c>
      <c r="J216" s="1" t="str">
        <f>VLOOKUP($E216,'Activity List CSI'!$D$4:$J$146,J$1,0)</f>
        <v>Process Piping</v>
      </c>
      <c r="K216" s="1" t="s">
        <v>658</v>
      </c>
      <c r="L216" s="1">
        <v>220</v>
      </c>
      <c r="M216" s="1" t="str">
        <f t="shared" si="14"/>
        <v>15200220</v>
      </c>
      <c r="N216" s="12" t="str">
        <f t="shared" si="13"/>
        <v>15200220</v>
      </c>
    </row>
    <row r="217" spans="4:14" ht="23.25" customHeight="1" x14ac:dyDescent="0.25">
      <c r="D217" s="11" t="s">
        <v>409</v>
      </c>
      <c r="E217" s="134" t="str">
        <f>VLOOKUP(F217,'Activity List CSI'!$B$4:$D$146,3,0)</f>
        <v>15200-06</v>
      </c>
      <c r="F217" s="1" t="s">
        <v>410</v>
      </c>
      <c r="G217" s="1" t="str">
        <f>VLOOKUP($E217,'Activity List CSI'!$D$4:$J$146,G$1,0)</f>
        <v>15</v>
      </c>
      <c r="H217" s="1" t="str">
        <f>VLOOKUP($E217,'Activity List CSI'!$D$4:$J$146,H$1,0)</f>
        <v>Mechanical Work</v>
      </c>
      <c r="I217" s="1" t="str">
        <f>VLOOKUP(D217,'Activity List CSI'!$C$4:$H$146,6,0)</f>
        <v>15200</v>
      </c>
      <c r="J217" s="1" t="str">
        <f>VLOOKUP($E217,'Activity List CSI'!$D$4:$J$146,J$1,0)</f>
        <v>Process Piping</v>
      </c>
      <c r="K217" s="1" t="s">
        <v>658</v>
      </c>
      <c r="L217" s="1">
        <v>220</v>
      </c>
      <c r="M217" s="1" t="str">
        <f t="shared" si="14"/>
        <v>15200220</v>
      </c>
      <c r="N217" s="12" t="str">
        <f t="shared" si="13"/>
        <v>15200220</v>
      </c>
    </row>
    <row r="218" spans="4:14" ht="23.25" customHeight="1" x14ac:dyDescent="0.25">
      <c r="D218" s="11" t="s">
        <v>409</v>
      </c>
      <c r="E218" s="134" t="str">
        <f>VLOOKUP(F218,'Activity List CSI'!$B$4:$D$146,3,0)</f>
        <v>15200-06</v>
      </c>
      <c r="F218" s="1" t="s">
        <v>410</v>
      </c>
      <c r="G218" s="1" t="str">
        <f>VLOOKUP($E218,'Activity List CSI'!$D$4:$J$146,G$1,0)</f>
        <v>15</v>
      </c>
      <c r="H218" s="1" t="str">
        <f>VLOOKUP($E218,'Activity List CSI'!$D$4:$J$146,H$1,0)</f>
        <v>Mechanical Work</v>
      </c>
      <c r="I218" s="1" t="str">
        <f>VLOOKUP(D218,'Activity List CSI'!$C$4:$H$146,6,0)</f>
        <v>15200</v>
      </c>
      <c r="J218" s="1" t="str">
        <f>VLOOKUP($E218,'Activity List CSI'!$D$4:$J$146,J$1,0)</f>
        <v>Process Piping</v>
      </c>
      <c r="K218" s="1" t="s">
        <v>658</v>
      </c>
      <c r="L218" s="1">
        <v>220</v>
      </c>
      <c r="M218" s="1" t="str">
        <f t="shared" si="14"/>
        <v>15200220</v>
      </c>
      <c r="N218" s="12" t="str">
        <f t="shared" si="13"/>
        <v>15200220</v>
      </c>
    </row>
    <row r="219" spans="4:14" ht="23.25" customHeight="1" x14ac:dyDescent="0.25">
      <c r="D219" s="11" t="s">
        <v>262</v>
      </c>
      <c r="E219" s="134" t="str">
        <f>VLOOKUP(F219,'Activity List CSI'!$B$4:$D$146,3,0)</f>
        <v>16050-01</v>
      </c>
      <c r="F219" s="1" t="s">
        <v>14</v>
      </c>
      <c r="G219" s="1" t="str">
        <f>VLOOKUP($E219,'Activity List CSI'!$D$4:$J$146,G$1,0)</f>
        <v>16</v>
      </c>
      <c r="H219" s="1" t="str">
        <f>VLOOKUP($E219,'Activity List CSI'!$D$4:$J$146,H$1,0)</f>
        <v>ElectricalWork</v>
      </c>
      <c r="I219" s="1" t="str">
        <f>VLOOKUP(D219,'Activity List CSI'!$C$4:$H$146,6,0)</f>
        <v>16050</v>
      </c>
      <c r="J219" s="1" t="str">
        <f>VLOOKUP($E219,'Activity List CSI'!$D$4:$J$146,J$1,0)</f>
        <v>Basic Electrical Materials and Methods</v>
      </c>
      <c r="K219" s="1" t="s">
        <v>659</v>
      </c>
      <c r="L219" s="1">
        <v>205</v>
      </c>
      <c r="M219" s="1" t="str">
        <f t="shared" si="14"/>
        <v>16050205</v>
      </c>
      <c r="N219" s="12" t="str">
        <f t="shared" si="13"/>
        <v>16050205</v>
      </c>
    </row>
    <row r="220" spans="4:14" ht="23.25" customHeight="1" x14ac:dyDescent="0.25">
      <c r="D220" s="11"/>
      <c r="E220" s="134"/>
      <c r="F220" s="1" t="s">
        <v>681</v>
      </c>
      <c r="G220" s="2" t="s">
        <v>217</v>
      </c>
      <c r="H220" s="1" t="str">
        <f>VLOOKUP($G220,$G$4:$H$219,2,0)</f>
        <v>EarthWork</v>
      </c>
      <c r="I220" s="2" t="s">
        <v>682</v>
      </c>
      <c r="J220" s="2" t="s">
        <v>1138</v>
      </c>
      <c r="K220" s="1" t="s">
        <v>661</v>
      </c>
      <c r="L220" s="1">
        <v>210</v>
      </c>
      <c r="M220" s="1" t="str">
        <f t="shared" si="14"/>
        <v>02800210</v>
      </c>
      <c r="N220" s="12" t="str">
        <f t="shared" si="13"/>
        <v>02800210</v>
      </c>
    </row>
    <row r="221" spans="4:14" ht="23.25" customHeight="1" x14ac:dyDescent="0.25">
      <c r="D221" s="11"/>
      <c r="E221" s="134"/>
      <c r="F221" s="1" t="s">
        <v>680</v>
      </c>
      <c r="G221" s="2" t="s">
        <v>217</v>
      </c>
      <c r="H221" s="1" t="str">
        <f t="shared" ref="H221:H223" si="15">VLOOKUP($G221,$G$4:$H$219,2,0)</f>
        <v>EarthWork</v>
      </c>
      <c r="I221" s="2" t="s">
        <v>683</v>
      </c>
      <c r="J221" s="2" t="s">
        <v>680</v>
      </c>
      <c r="K221" s="1" t="s">
        <v>662</v>
      </c>
      <c r="L221" s="1">
        <v>210</v>
      </c>
      <c r="M221" s="1" t="str">
        <f t="shared" si="14"/>
        <v>02900210</v>
      </c>
      <c r="N221" s="12" t="str">
        <f t="shared" si="13"/>
        <v>02900210</v>
      </c>
    </row>
    <row r="222" spans="4:14" ht="23.25" customHeight="1" x14ac:dyDescent="0.25">
      <c r="D222" s="11"/>
      <c r="E222" s="134"/>
      <c r="F222" s="1" t="s">
        <v>491</v>
      </c>
      <c r="G222" s="2" t="s">
        <v>224</v>
      </c>
      <c r="H222" s="1" t="str">
        <f t="shared" si="15"/>
        <v>Finishing</v>
      </c>
      <c r="I222" s="2" t="s">
        <v>492</v>
      </c>
      <c r="J222" s="2" t="s">
        <v>491</v>
      </c>
      <c r="K222" s="1" t="s">
        <v>665</v>
      </c>
      <c r="L222" s="1">
        <v>210</v>
      </c>
      <c r="M222" s="1" t="str">
        <f t="shared" si="14"/>
        <v>09500210</v>
      </c>
      <c r="N222" s="12" t="str">
        <f t="shared" si="13"/>
        <v>09500210</v>
      </c>
    </row>
    <row r="223" spans="4:14" ht="23.25" customHeight="1" x14ac:dyDescent="0.25">
      <c r="D223" s="11"/>
      <c r="E223" s="134"/>
      <c r="F223" s="1" t="s">
        <v>361</v>
      </c>
      <c r="G223" s="2" t="s">
        <v>224</v>
      </c>
      <c r="H223" s="1" t="str">
        <f t="shared" si="15"/>
        <v>Finishing</v>
      </c>
      <c r="I223" s="2" t="s">
        <v>358</v>
      </c>
      <c r="J223" s="2" t="s">
        <v>361</v>
      </c>
      <c r="K223" s="1" t="s">
        <v>666</v>
      </c>
      <c r="L223" s="1">
        <v>210</v>
      </c>
      <c r="M223" s="1" t="str">
        <f t="shared" si="14"/>
        <v>09600210</v>
      </c>
      <c r="N223" s="12" t="str">
        <f t="shared" si="13"/>
        <v>09600210</v>
      </c>
    </row>
  </sheetData>
  <autoFilter ref="D3:Q223" xr:uid="{00000000-0009-0000-0000-000009000000}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C62"/>
  <sheetViews>
    <sheetView workbookViewId="0">
      <selection activeCell="B11" sqref="B11"/>
    </sheetView>
  </sheetViews>
  <sheetFormatPr defaultRowHeight="15" x14ac:dyDescent="0.25"/>
  <cols>
    <col min="2" max="2" width="59.140625" customWidth="1"/>
    <col min="3" max="3" width="17.85546875" customWidth="1"/>
    <col min="5" max="5" width="16.28515625" bestFit="1" customWidth="1"/>
    <col min="6" max="72" width="9" customWidth="1"/>
    <col min="73" max="73" width="11.28515625" bestFit="1" customWidth="1"/>
  </cols>
  <sheetData>
    <row r="2" spans="2:3" ht="27" thickBot="1" x14ac:dyDescent="0.45">
      <c r="B2" s="208" t="s">
        <v>1140</v>
      </c>
    </row>
    <row r="3" spans="2:3" ht="48" customHeight="1" thickBot="1" x14ac:dyDescent="0.3">
      <c r="B3" s="18" t="s">
        <v>1139</v>
      </c>
      <c r="C3" s="209" t="s">
        <v>912</v>
      </c>
    </row>
    <row r="4" spans="2:3" ht="20.25" customHeight="1" x14ac:dyDescent="0.25">
      <c r="B4" s="21" t="s">
        <v>613</v>
      </c>
      <c r="C4" s="20" t="str">
        <f>VLOOKUP(B4,'SUBC. List CSI'!$K$4:$N$223,4,0)</f>
        <v>02300205</v>
      </c>
    </row>
    <row r="5" spans="2:3" ht="20.25" customHeight="1" x14ac:dyDescent="0.25">
      <c r="B5" s="21" t="s">
        <v>668</v>
      </c>
      <c r="C5" s="22" t="str">
        <f>VLOOKUP(B5,'SUBC. List CSI'!$K$4:$N$223,4,0)</f>
        <v>02300210</v>
      </c>
    </row>
    <row r="6" spans="2:3" ht="20.25" customHeight="1" x14ac:dyDescent="0.25">
      <c r="B6" s="21" t="s">
        <v>616</v>
      </c>
      <c r="C6" s="22" t="str">
        <f>VLOOKUP(B6,'SUBC. List CSI'!$K$4:$N$223,4,0)</f>
        <v>02300215</v>
      </c>
    </row>
    <row r="7" spans="2:3" ht="20.25" customHeight="1" x14ac:dyDescent="0.25">
      <c r="B7" s="21" t="s">
        <v>617</v>
      </c>
      <c r="C7" s="22" t="str">
        <f>VLOOKUP(B7,'SUBC. List CSI'!$K$4:$N$223,4,0)</f>
        <v>02300220</v>
      </c>
    </row>
    <row r="8" spans="2:3" ht="20.25" customHeight="1" x14ac:dyDescent="0.25">
      <c r="B8" s="21" t="s">
        <v>619</v>
      </c>
      <c r="C8" s="22" t="str">
        <f>VLOOKUP(B8,'SUBC. List CSI'!$K$4:$N$223,4,0)</f>
        <v>02100205</v>
      </c>
    </row>
    <row r="9" spans="2:3" ht="20.25" customHeight="1" x14ac:dyDescent="0.25">
      <c r="B9" s="21" t="s">
        <v>614</v>
      </c>
      <c r="C9" s="22" t="str">
        <f>VLOOKUP(B9,'SUBC. List CSI'!$K$4:$N$223,4,0)</f>
        <v>02100210</v>
      </c>
    </row>
    <row r="10" spans="2:3" ht="20.25" customHeight="1" x14ac:dyDescent="0.25">
      <c r="B10" s="21" t="s">
        <v>615</v>
      </c>
      <c r="C10" s="22" t="str">
        <f>VLOOKUP(B10,'SUBC. List CSI'!$K$4:$N$223,4,0)</f>
        <v>02300225</v>
      </c>
    </row>
    <row r="11" spans="2:3" ht="20.25" customHeight="1" x14ac:dyDescent="0.25">
      <c r="B11" s="21" t="s">
        <v>620</v>
      </c>
      <c r="C11" s="22" t="str">
        <f>VLOOKUP(B11,'SUBC. List CSI'!$K$4:$N$223,4,0)</f>
        <v>02700205</v>
      </c>
    </row>
    <row r="12" spans="2:3" ht="20.25" customHeight="1" x14ac:dyDescent="0.25">
      <c r="B12" s="21" t="s">
        <v>621</v>
      </c>
      <c r="C12" s="22" t="str">
        <f>VLOOKUP(B12,'SUBC. List CSI'!$K$4:$N$223,4,0)</f>
        <v>09900205</v>
      </c>
    </row>
    <row r="13" spans="2:3" ht="20.25" customHeight="1" x14ac:dyDescent="0.25">
      <c r="B13" s="21" t="s">
        <v>660</v>
      </c>
      <c r="C13" s="22" t="str">
        <f>VLOOKUP(B13,'SUBC. List CSI'!$K$4:$N$223,4,0)</f>
        <v>02700210</v>
      </c>
    </row>
    <row r="14" spans="2:3" ht="20.25" customHeight="1" x14ac:dyDescent="0.25">
      <c r="B14" s="21" t="s">
        <v>622</v>
      </c>
      <c r="C14" s="22" t="str">
        <f>VLOOKUP(B14,'SUBC. List CSI'!$K$4:$N$223,4,0)</f>
        <v>02500205</v>
      </c>
    </row>
    <row r="15" spans="2:3" ht="20.25" customHeight="1" x14ac:dyDescent="0.25">
      <c r="B15" s="21" t="s">
        <v>661</v>
      </c>
      <c r="C15" s="22" t="str">
        <f>VLOOKUP(B15,'SUBC. List CSI'!$K$4:$N$223,4,0)</f>
        <v>02800210</v>
      </c>
    </row>
    <row r="16" spans="2:3" ht="20.25" customHeight="1" x14ac:dyDescent="0.25">
      <c r="B16" s="21" t="s">
        <v>662</v>
      </c>
      <c r="C16" s="22" t="str">
        <f>VLOOKUP(B16,'SUBC. List CSI'!$K$4:$N$223,4,0)</f>
        <v>02900210</v>
      </c>
    </row>
    <row r="17" spans="2:3" ht="20.25" customHeight="1" x14ac:dyDescent="0.25">
      <c r="B17" s="21" t="s">
        <v>623</v>
      </c>
      <c r="C17" s="22" t="str">
        <f>VLOOKUP(B17,'SUBC. List CSI'!$K$4:$N$223,4,0)</f>
        <v>03300205</v>
      </c>
    </row>
    <row r="18" spans="2:3" ht="20.25" customHeight="1" x14ac:dyDescent="0.25">
      <c r="B18" s="21" t="s">
        <v>624</v>
      </c>
      <c r="C18" s="22" t="str">
        <f>VLOOKUP(B18,'SUBC. List CSI'!$K$4:$N$223,4,0)</f>
        <v>03400205</v>
      </c>
    </row>
    <row r="19" spans="2:3" ht="20.25" customHeight="1" x14ac:dyDescent="0.25">
      <c r="B19" s="21" t="s">
        <v>625</v>
      </c>
      <c r="C19" s="22" t="str">
        <f>VLOOKUP(B19,'SUBC. List CSI'!$K$4:$N$223,4,0)</f>
        <v>03400210</v>
      </c>
    </row>
    <row r="20" spans="2:3" ht="20.25" customHeight="1" x14ac:dyDescent="0.25">
      <c r="B20" s="21" t="s">
        <v>626</v>
      </c>
      <c r="C20" s="22" t="str">
        <f>VLOOKUP(B20,'SUBC. List CSI'!$K$4:$N$223,4,0)</f>
        <v>04200205</v>
      </c>
    </row>
    <row r="21" spans="2:3" ht="20.25" customHeight="1" x14ac:dyDescent="0.25">
      <c r="B21" s="21" t="s">
        <v>663</v>
      </c>
      <c r="C21" s="22" t="str">
        <f>VLOOKUP(B21,'SUBC. List CSI'!$K$4:$N$223,4,0)</f>
        <v>05100205</v>
      </c>
    </row>
    <row r="22" spans="2:3" ht="20.25" customHeight="1" x14ac:dyDescent="0.25">
      <c r="B22" s="21" t="s">
        <v>664</v>
      </c>
      <c r="C22" s="22" t="str">
        <f>VLOOKUP(B22,'SUBC. List CSI'!$K$4:$N$223,4,0)</f>
        <v>05650205</v>
      </c>
    </row>
    <row r="23" spans="2:3" ht="20.25" customHeight="1" x14ac:dyDescent="0.25">
      <c r="B23" s="21" t="s">
        <v>627</v>
      </c>
      <c r="C23" s="22" t="str">
        <f>VLOOKUP(B23,'SUBC. List CSI'!$K$4:$N$223,4,0)</f>
        <v>05700205</v>
      </c>
    </row>
    <row r="24" spans="2:3" ht="20.25" customHeight="1" x14ac:dyDescent="0.25">
      <c r="B24" s="21" t="s">
        <v>629</v>
      </c>
      <c r="C24" s="22" t="str">
        <f>VLOOKUP(B24,'SUBC. List CSI'!$K$4:$N$223,4,0)</f>
        <v>07100205</v>
      </c>
    </row>
    <row r="25" spans="2:3" ht="20.25" customHeight="1" x14ac:dyDescent="0.25">
      <c r="B25" s="21" t="s">
        <v>632</v>
      </c>
      <c r="C25" s="22" t="str">
        <f>VLOOKUP(B25,'SUBC. List CSI'!$K$4:$N$223,4,0)</f>
        <v>08100205</v>
      </c>
    </row>
    <row r="26" spans="2:3" ht="20.25" customHeight="1" x14ac:dyDescent="0.25">
      <c r="B26" s="21" t="s">
        <v>628</v>
      </c>
      <c r="C26" s="22" t="str">
        <f>VLOOKUP(B26,'SUBC. List CSI'!$K$4:$N$223,4,0)</f>
        <v>06400205</v>
      </c>
    </row>
    <row r="27" spans="2:3" ht="20.25" customHeight="1" x14ac:dyDescent="0.25">
      <c r="B27" s="21" t="s">
        <v>630</v>
      </c>
      <c r="C27" s="22" t="str">
        <f>VLOOKUP(B27,'SUBC. List CSI'!$K$4:$N$223,4,0)</f>
        <v>08200205</v>
      </c>
    </row>
    <row r="28" spans="2:3" ht="20.25" customHeight="1" x14ac:dyDescent="0.25">
      <c r="B28" s="21" t="s">
        <v>631</v>
      </c>
      <c r="C28" s="22" t="str">
        <f>VLOOKUP(B28,'SUBC. List CSI'!$K$4:$N$223,4,0)</f>
        <v>08300205</v>
      </c>
    </row>
    <row r="29" spans="2:3" ht="20.25" customHeight="1" x14ac:dyDescent="0.25">
      <c r="B29" s="21" t="s">
        <v>633</v>
      </c>
      <c r="C29" s="22" t="str">
        <f>VLOOKUP(B29,'SUBC. List CSI'!$K$4:$N$223,4,0)</f>
        <v>08800205</v>
      </c>
    </row>
    <row r="30" spans="2:3" ht="20.25" customHeight="1" x14ac:dyDescent="0.25">
      <c r="B30" s="21" t="s">
        <v>637</v>
      </c>
      <c r="C30" s="22" t="str">
        <f>VLOOKUP(B30,'SUBC. List CSI'!$K$4:$N$223,4,0)</f>
        <v>08600205</v>
      </c>
    </row>
    <row r="31" spans="2:3" ht="20.25" customHeight="1" x14ac:dyDescent="0.25">
      <c r="B31" s="21" t="s">
        <v>635</v>
      </c>
      <c r="C31" s="22" t="str">
        <f>VLOOKUP(B31,'SUBC. List CSI'!$K$4:$N$223,4,0)</f>
        <v>08900205</v>
      </c>
    </row>
    <row r="32" spans="2:3" ht="20.25" customHeight="1" x14ac:dyDescent="0.25">
      <c r="B32" s="21" t="s">
        <v>646</v>
      </c>
      <c r="C32" s="22" t="str">
        <f>VLOOKUP(B32,'SUBC. List CSI'!$K$4:$N$223,4,0)</f>
        <v>09200205</v>
      </c>
    </row>
    <row r="33" spans="2:3" ht="20.25" customHeight="1" x14ac:dyDescent="0.25">
      <c r="B33" s="21" t="s">
        <v>639</v>
      </c>
      <c r="C33" s="22" t="str">
        <f>VLOOKUP(B33,'SUBC. List CSI'!$K$4:$N$223,4,0)</f>
        <v>09600225</v>
      </c>
    </row>
    <row r="34" spans="2:3" ht="20.25" customHeight="1" x14ac:dyDescent="0.25">
      <c r="B34" s="21" t="s">
        <v>647</v>
      </c>
      <c r="C34" s="22" t="str">
        <f>VLOOKUP(B34,'SUBC. List CSI'!$K$4:$N$223,4,0)</f>
        <v>09200210</v>
      </c>
    </row>
    <row r="35" spans="2:3" ht="20.25" customHeight="1" x14ac:dyDescent="0.25">
      <c r="B35" s="21" t="s">
        <v>640</v>
      </c>
      <c r="C35" s="22" t="str">
        <f>VLOOKUP(B35,'SUBC. List CSI'!$K$4:$N$223,4,0)</f>
        <v>09600205</v>
      </c>
    </row>
    <row r="36" spans="2:3" ht="20.25" customHeight="1" x14ac:dyDescent="0.25">
      <c r="B36" s="21" t="s">
        <v>643</v>
      </c>
      <c r="C36" s="22" t="str">
        <f>VLOOKUP(B36,'SUBC. List CSI'!$K$4:$N$223,4,0)</f>
        <v>09300215</v>
      </c>
    </row>
    <row r="37" spans="2:3" ht="20.25" customHeight="1" x14ac:dyDescent="0.25">
      <c r="B37" s="21" t="s">
        <v>665</v>
      </c>
      <c r="C37" s="22" t="str">
        <f>VLOOKUP(B37,'SUBC. List CSI'!$K$4:$N$223,4,0)</f>
        <v>09500210</v>
      </c>
    </row>
    <row r="38" spans="2:3" ht="20.25" customHeight="1" x14ac:dyDescent="0.25">
      <c r="B38" s="21" t="s">
        <v>645</v>
      </c>
      <c r="C38" s="22" t="str">
        <f>VLOOKUP(B38,'SUBC. List CSI'!$K$4:$N$223,4,0)</f>
        <v>09300220</v>
      </c>
    </row>
    <row r="39" spans="2:3" ht="20.25" customHeight="1" x14ac:dyDescent="0.25">
      <c r="B39" s="21" t="s">
        <v>641</v>
      </c>
      <c r="C39" s="22" t="str">
        <f>VLOOKUP(B39,'SUBC. List CSI'!$K$4:$N$223,4,0)</f>
        <v>09700205</v>
      </c>
    </row>
    <row r="40" spans="2:3" ht="20.25" customHeight="1" x14ac:dyDescent="0.25">
      <c r="B40" s="21" t="s">
        <v>642</v>
      </c>
      <c r="C40" s="22" t="str">
        <f>VLOOKUP(B40,'SUBC. List CSI'!$K$4:$N$223,4,0)</f>
        <v>09600215</v>
      </c>
    </row>
    <row r="41" spans="2:3" ht="20.25" customHeight="1" x14ac:dyDescent="0.25">
      <c r="B41" s="21" t="s">
        <v>644</v>
      </c>
      <c r="C41" s="22" t="str">
        <f>VLOOKUP(B41,'SUBC. List CSI'!$K$4:$N$223,4,0)</f>
        <v>09300225</v>
      </c>
    </row>
    <row r="42" spans="2:3" ht="20.25" customHeight="1" x14ac:dyDescent="0.25">
      <c r="B42" s="21" t="s">
        <v>648</v>
      </c>
      <c r="C42" s="22" t="str">
        <f>VLOOKUP(B42,'SUBC. List CSI'!$K$4:$N$223,4,0)</f>
        <v>09900210</v>
      </c>
    </row>
    <row r="43" spans="2:3" ht="20.25" customHeight="1" x14ac:dyDescent="0.25">
      <c r="B43" s="21" t="s">
        <v>666</v>
      </c>
      <c r="C43" s="22" t="str">
        <f>VLOOKUP(B43,'SUBC. List CSI'!$K$4:$N$223,4,0)</f>
        <v>09600210</v>
      </c>
    </row>
    <row r="44" spans="2:3" ht="20.25" customHeight="1" x14ac:dyDescent="0.25">
      <c r="B44" s="21" t="s">
        <v>650</v>
      </c>
      <c r="C44" s="22" t="str">
        <f>VLOOKUP(B44,'SUBC. List CSI'!$K$4:$N$223,4,0)</f>
        <v>10100205</v>
      </c>
    </row>
    <row r="45" spans="2:3" ht="20.25" customHeight="1" x14ac:dyDescent="0.25">
      <c r="B45" s="21" t="s">
        <v>649</v>
      </c>
      <c r="C45" s="22" t="str">
        <f>VLOOKUP(B45,'SUBC. List CSI'!$K$4:$N$223,4,0)</f>
        <v>10800205</v>
      </c>
    </row>
    <row r="46" spans="2:3" ht="20.25" customHeight="1" x14ac:dyDescent="0.25">
      <c r="B46" s="21" t="s">
        <v>651</v>
      </c>
      <c r="C46" s="22" t="str">
        <f>VLOOKUP(B46,'SUBC. List CSI'!$K$4:$N$223,4,0)</f>
        <v>11200205</v>
      </c>
    </row>
    <row r="47" spans="2:3" ht="20.25" customHeight="1" x14ac:dyDescent="0.25">
      <c r="B47" s="21" t="s">
        <v>652</v>
      </c>
      <c r="C47" s="22" t="str">
        <f>VLOOKUP(B47,'SUBC. List CSI'!$K$4:$N$223,4,0)</f>
        <v>11460205</v>
      </c>
    </row>
    <row r="48" spans="2:3" ht="20.25" customHeight="1" x14ac:dyDescent="0.25">
      <c r="B48" s="21" t="s">
        <v>653</v>
      </c>
      <c r="C48" s="22" t="str">
        <f>VLOOKUP(B48,'SUBC. List CSI'!$K$4:$N$223,4,0)</f>
        <v>11110205</v>
      </c>
    </row>
    <row r="49" spans="2:3" ht="20.25" customHeight="1" x14ac:dyDescent="0.25">
      <c r="B49" s="21" t="s">
        <v>654</v>
      </c>
      <c r="C49" s="22" t="str">
        <f>VLOOKUP(B49,'SUBC. List CSI'!$K$4:$N$223,4,0)</f>
        <v>11600205</v>
      </c>
    </row>
    <row r="50" spans="2:3" ht="20.25" customHeight="1" x14ac:dyDescent="0.25">
      <c r="B50" s="21" t="s">
        <v>655</v>
      </c>
      <c r="C50" s="22" t="str">
        <f>VLOOKUP(B50,'SUBC. List CSI'!$K$4:$N$223,4,0)</f>
        <v>12500205</v>
      </c>
    </row>
    <row r="51" spans="2:3" ht="20.25" customHeight="1" x14ac:dyDescent="0.25">
      <c r="B51" s="21" t="s">
        <v>272</v>
      </c>
      <c r="C51" s="22" t="str">
        <f>VLOOKUP(B51,'SUBC. List CSI'!$K$4:$N$223,4,0)</f>
        <v>13200205</v>
      </c>
    </row>
    <row r="52" spans="2:3" ht="20.25" customHeight="1" x14ac:dyDescent="0.25">
      <c r="B52" s="21" t="s">
        <v>273</v>
      </c>
      <c r="C52" s="22" t="str">
        <f>VLOOKUP(B52,'SUBC. List CSI'!$K$4:$N$223,4,0)</f>
        <v>13200210</v>
      </c>
    </row>
    <row r="53" spans="2:3" ht="20.25" customHeight="1" x14ac:dyDescent="0.25">
      <c r="B53" s="21" t="s">
        <v>274</v>
      </c>
      <c r="C53" s="22" t="str">
        <f>VLOOKUP(B53,'SUBC. List CSI'!$K$4:$N$223,4,0)</f>
        <v>13240205</v>
      </c>
    </row>
    <row r="54" spans="2:3" ht="20.25" customHeight="1" x14ac:dyDescent="0.25">
      <c r="B54" s="21" t="s">
        <v>275</v>
      </c>
      <c r="C54" s="22" t="str">
        <f>VLOOKUP(B54,'SUBC. List CSI'!$K$4:$N$223,4,0)</f>
        <v>13240210</v>
      </c>
    </row>
    <row r="55" spans="2:3" ht="20.25" customHeight="1" x14ac:dyDescent="0.25">
      <c r="B55" s="21" t="s">
        <v>276</v>
      </c>
      <c r="C55" s="22" t="str">
        <f>VLOOKUP(B55,'SUBC. List CSI'!$K$4:$N$223,4,0)</f>
        <v>13800205</v>
      </c>
    </row>
    <row r="56" spans="2:3" ht="20.25" customHeight="1" x14ac:dyDescent="0.25">
      <c r="B56" s="21" t="s">
        <v>277</v>
      </c>
      <c r="C56" s="22" t="str">
        <f>VLOOKUP(B56,'SUBC. List CSI'!$K$4:$N$223,4,0)</f>
        <v>13900205</v>
      </c>
    </row>
    <row r="57" spans="2:3" ht="20.25" customHeight="1" x14ac:dyDescent="0.25">
      <c r="B57" s="21" t="s">
        <v>656</v>
      </c>
      <c r="C57" s="22" t="str">
        <f>VLOOKUP(B57,'SUBC. List CSI'!$K$4:$N$223,4,0)</f>
        <v>14200205</v>
      </c>
    </row>
    <row r="58" spans="2:3" ht="20.25" customHeight="1" x14ac:dyDescent="0.25">
      <c r="B58" s="21" t="s">
        <v>618</v>
      </c>
      <c r="C58" s="22" t="str">
        <f>VLOOKUP(B58,'SUBC. List CSI'!$K$4:$N$223,4,0)</f>
        <v>15100225</v>
      </c>
    </row>
    <row r="59" spans="2:3" ht="20.25" customHeight="1" x14ac:dyDescent="0.25">
      <c r="B59" s="21" t="s">
        <v>658</v>
      </c>
      <c r="C59" s="22" t="str">
        <f>VLOOKUP(B59,'SUBC. List CSI'!$K$4:$N$223,4,0)</f>
        <v>15200220</v>
      </c>
    </row>
    <row r="60" spans="2:3" ht="20.25" customHeight="1" x14ac:dyDescent="0.25">
      <c r="B60" s="21" t="s">
        <v>657</v>
      </c>
      <c r="C60" s="22" t="str">
        <f>VLOOKUP(B60,'SUBC. List CSI'!$K$4:$N$223,4,0)</f>
        <v>15700205</v>
      </c>
    </row>
    <row r="61" spans="2:3" ht="20.25" customHeight="1" x14ac:dyDescent="0.25">
      <c r="B61" s="21" t="s">
        <v>659</v>
      </c>
      <c r="C61" s="22" t="str">
        <f>VLOOKUP(B61,'SUBC. List CSI'!$K$4:$N$223,4,0)</f>
        <v>16050205</v>
      </c>
    </row>
    <row r="62" spans="2:3" ht="20.25" customHeight="1" thickBot="1" x14ac:dyDescent="0.3">
      <c r="B62" s="23" t="s">
        <v>638</v>
      </c>
      <c r="C62" s="24" t="str">
        <f>VLOOKUP(B62,'SUBC. List CSI'!$K$4:$N$223,4,0)</f>
        <v>09600220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2:AD63"/>
  <sheetViews>
    <sheetView zoomScale="60" zoomScaleNormal="60" workbookViewId="0">
      <selection activeCell="P8" sqref="P8"/>
    </sheetView>
  </sheetViews>
  <sheetFormatPr defaultRowHeight="15" outlineLevelCol="1" x14ac:dyDescent="0.25"/>
  <cols>
    <col min="1" max="1" width="4.28515625" customWidth="1"/>
    <col min="2" max="3" width="31.28515625" customWidth="1"/>
    <col min="4" max="4" width="79.42578125" customWidth="1"/>
    <col min="5" max="5" width="8.5703125" customWidth="1"/>
    <col min="6" max="27" width="9.140625" customWidth="1" outlineLevel="1"/>
    <col min="28" max="28" width="15" customWidth="1"/>
    <col min="29" max="29" width="12.42578125" bestFit="1" customWidth="1"/>
    <col min="30" max="30" width="12.140625" customWidth="1"/>
    <col min="31" max="31" width="15.42578125" bestFit="1" customWidth="1"/>
    <col min="32" max="33" width="11.28515625" customWidth="1"/>
    <col min="34" max="34" width="17" bestFit="1" customWidth="1"/>
    <col min="35" max="35" width="10.7109375" customWidth="1"/>
    <col min="36" max="36" width="11.28515625" customWidth="1"/>
    <col min="37" max="37" width="14.85546875" customWidth="1"/>
    <col min="39" max="39" width="16.5703125" customWidth="1"/>
  </cols>
  <sheetData>
    <row r="2" spans="2:30" ht="32.25" thickBot="1" x14ac:dyDescent="0.55000000000000004">
      <c r="B2" s="26" t="s">
        <v>1142</v>
      </c>
      <c r="C2" s="26"/>
      <c r="D2" s="25"/>
    </row>
    <row r="3" spans="2:30" s="28" customFormat="1" ht="108" customHeight="1" thickTop="1" thickBot="1" x14ac:dyDescent="0.3">
      <c r="B3" s="277" t="s">
        <v>905</v>
      </c>
      <c r="C3" s="278" t="s">
        <v>15</v>
      </c>
      <c r="D3" s="228" t="s">
        <v>1144</v>
      </c>
      <c r="E3" s="263" t="s">
        <v>511</v>
      </c>
      <c r="F3" s="280" t="s">
        <v>688</v>
      </c>
      <c r="G3" s="254" t="s">
        <v>701</v>
      </c>
      <c r="H3" s="255" t="s">
        <v>689</v>
      </c>
      <c r="I3" s="255" t="s">
        <v>690</v>
      </c>
      <c r="J3" s="255" t="s">
        <v>691</v>
      </c>
      <c r="K3" s="255" t="s">
        <v>693</v>
      </c>
      <c r="L3" s="255" t="s">
        <v>713</v>
      </c>
      <c r="M3" s="255" t="s">
        <v>694</v>
      </c>
      <c r="N3" s="255" t="s">
        <v>695</v>
      </c>
      <c r="O3" s="255" t="s">
        <v>696</v>
      </c>
      <c r="P3" s="255" t="s">
        <v>702</v>
      </c>
      <c r="Q3" s="255" t="s">
        <v>703</v>
      </c>
      <c r="R3" s="255" t="s">
        <v>704</v>
      </c>
      <c r="S3" s="255" t="s">
        <v>705</v>
      </c>
      <c r="T3" s="255" t="s">
        <v>692</v>
      </c>
      <c r="U3" s="255" t="s">
        <v>708</v>
      </c>
      <c r="V3" s="255" t="s">
        <v>706</v>
      </c>
      <c r="W3" s="255" t="s">
        <v>697</v>
      </c>
      <c r="X3" s="255" t="s">
        <v>699</v>
      </c>
      <c r="Y3" s="255" t="s">
        <v>698</v>
      </c>
      <c r="Z3" s="255" t="s">
        <v>784</v>
      </c>
      <c r="AA3" s="281" t="s">
        <v>707</v>
      </c>
      <c r="AB3" s="265" t="s">
        <v>562</v>
      </c>
      <c r="AC3" s="216" t="s">
        <v>563</v>
      </c>
      <c r="AD3" s="217" t="s">
        <v>564</v>
      </c>
    </row>
    <row r="4" spans="2:30" s="28" customFormat="1" ht="75" customHeight="1" thickBot="1" x14ac:dyDescent="0.3">
      <c r="B4" s="257"/>
      <c r="C4" s="238"/>
      <c r="D4" s="258"/>
      <c r="E4" s="264"/>
      <c r="F4" s="266" t="str">
        <f>VLOOKUP(F3,'List of Unique Machinary'!$B$6:$C$71,2,0)</f>
        <v>02300405</v>
      </c>
      <c r="G4" s="267" t="str">
        <f>VLOOKUP(G3,'List of Unique Machinary'!$B$6:$C$71,2,0)</f>
        <v>02200405</v>
      </c>
      <c r="H4" s="268" t="str">
        <f>VLOOKUP(H3,'List of Unique Machinary'!$B$6:$C$71,2,0)</f>
        <v>02300410</v>
      </c>
      <c r="I4" s="268" t="str">
        <f>VLOOKUP(I3,'List of Unique Machinary'!$B$6:$C$71,2,0)</f>
        <v>02300415</v>
      </c>
      <c r="J4" s="268" t="str">
        <f>VLOOKUP(J3,'List of Unique Machinary'!$B$6:$C$71,2,0)</f>
        <v>02300420</v>
      </c>
      <c r="K4" s="268" t="str">
        <f>VLOOKUP(K3,'List of Unique Machinary'!$B$6:$C$71,2,0)</f>
        <v>02300425</v>
      </c>
      <c r="L4" s="268" t="str">
        <f>VLOOKUP(L3,'List of Unique Machinary'!$B$6:$C$71,2,0)</f>
        <v>02100405</v>
      </c>
      <c r="M4" s="268" t="str">
        <f>VLOOKUP(M3,'List of Unique Machinary'!$B$6:$C$71,2,0)</f>
        <v>02300430</v>
      </c>
      <c r="N4" s="268" t="str">
        <f>VLOOKUP(N3,'List of Unique Machinary'!$B$6:$C$71,2,0)</f>
        <v>02700435</v>
      </c>
      <c r="O4" s="268" t="str">
        <f>VLOOKUP(O3,'List of Unique Machinary'!$B$6:$C$71,2,0)</f>
        <v>02300440</v>
      </c>
      <c r="P4" s="268" t="str">
        <f>VLOOKUP(P3,'List of Unique Machinary'!$B$6:$C$71,2,0)</f>
        <v>03300405</v>
      </c>
      <c r="Q4" s="268" t="str">
        <f>VLOOKUP(Q3,'List of Unique Machinary'!$B$6:$C$71,2,0)</f>
        <v>03300410</v>
      </c>
      <c r="R4" s="268" t="str">
        <f>VLOOKUP(R3,'List of Unique Machinary'!$B$6:$C$71,2,0)</f>
        <v>03300415</v>
      </c>
      <c r="S4" s="268" t="str">
        <f>VLOOKUP(S3,'List of Unique Machinary'!$B$6:$C$71,2,0)</f>
        <v>07200405</v>
      </c>
      <c r="T4" s="268" t="str">
        <f>VLOOKUP(T3,'List of Unique Machinary'!$B$6:$C$71,2,0)</f>
        <v>02300445</v>
      </c>
      <c r="U4" s="268" t="str">
        <f>VLOOKUP(U3,'List of Unique Machinary'!$B$6:$C$71,2,0)</f>
        <v>03400405</v>
      </c>
      <c r="V4" s="268" t="str">
        <f>VLOOKUP(V3,'List of Unique Machinary'!$B$6:$C$71,2,0)</f>
        <v>02700440</v>
      </c>
      <c r="W4" s="268" t="str">
        <f>VLOOKUP(W3,'List of Unique Machinary'!$B$6:$C$71,2,0)</f>
        <v>02700415</v>
      </c>
      <c r="X4" s="268" t="str">
        <f>VLOOKUP(X3,'List of Unique Machinary'!$B$6:$C$71,2,0)</f>
        <v>02700420</v>
      </c>
      <c r="Y4" s="268" t="str">
        <f>VLOOKUP(Y3,'List of Unique Machinary'!$B$6:$C$71,2,0)</f>
        <v>02700425</v>
      </c>
      <c r="Z4" s="268" t="str">
        <f>VLOOKUP(Z3,'List of Unique Machinary'!$B$6:$C$71,2,0)</f>
        <v>09900405</v>
      </c>
      <c r="AA4" s="269" t="str">
        <f>VLOOKUP(AA3,'List of Unique Machinary'!$B$6:$C$71,2,0)</f>
        <v>02700410</v>
      </c>
      <c r="AB4" s="270"/>
      <c r="AC4" s="239"/>
      <c r="AD4" s="240"/>
    </row>
    <row r="5" spans="2:30" ht="23.25" x14ac:dyDescent="0.35">
      <c r="B5" s="282" t="str">
        <f>VLOOKUP($D5,'Activity List CSI'!$B$4:$D$146,2,0)</f>
        <v>0201</v>
      </c>
      <c r="C5" s="259" t="str">
        <f>VLOOKUP($D5,'Activity List CSI'!$B$4:$D$146,3,0)</f>
        <v>02300-01</v>
      </c>
      <c r="D5" s="47" t="s">
        <v>18</v>
      </c>
      <c r="E5" s="260" t="s">
        <v>515</v>
      </c>
      <c r="F5" s="32">
        <v>1</v>
      </c>
      <c r="G5" s="32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271"/>
      <c r="AB5" s="273">
        <v>308</v>
      </c>
      <c r="AC5" s="274">
        <f t="shared" ref="AC5:AC36" si="0">SUM(F5:AA5)*8</f>
        <v>8</v>
      </c>
      <c r="AD5" s="283">
        <f t="shared" ref="AD5:AD51" si="1">(AC5/AB5)</f>
        <v>2.5974025974025976E-2</v>
      </c>
    </row>
    <row r="6" spans="2:30" ht="23.25" x14ac:dyDescent="0.35">
      <c r="B6" s="29" t="str">
        <f>VLOOKUP($D6,'Activity List CSI'!$B$4:$D$146,2,0)</f>
        <v>0202</v>
      </c>
      <c r="C6" s="232" t="str">
        <f>VLOOKUP($D6,'Activity List CSI'!$B$4:$D$146,3,0)</f>
        <v>02300-02</v>
      </c>
      <c r="D6" s="1" t="s">
        <v>19</v>
      </c>
      <c r="E6" s="261" t="s">
        <v>515</v>
      </c>
      <c r="F6" s="32">
        <v>1</v>
      </c>
      <c r="G6" s="32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271"/>
      <c r="AB6" s="275">
        <v>158</v>
      </c>
      <c r="AC6" s="35">
        <f t="shared" si="0"/>
        <v>8</v>
      </c>
      <c r="AD6" s="36">
        <f t="shared" si="1"/>
        <v>5.0632911392405063E-2</v>
      </c>
    </row>
    <row r="7" spans="2:30" ht="23.25" x14ac:dyDescent="0.35">
      <c r="B7" s="29" t="str">
        <f>VLOOKUP($D7,'Activity List CSI'!$B$4:$D$146,2,0)</f>
        <v>0203</v>
      </c>
      <c r="C7" s="232" t="str">
        <f>VLOOKUP($D7,'Activity List CSI'!$B$4:$D$146,3,0)</f>
        <v>02300-03</v>
      </c>
      <c r="D7" s="1" t="s">
        <v>20</v>
      </c>
      <c r="E7" s="261" t="s">
        <v>515</v>
      </c>
      <c r="F7" s="32">
        <v>1</v>
      </c>
      <c r="G7" s="32"/>
      <c r="H7" s="33">
        <v>1</v>
      </c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271"/>
      <c r="AB7" s="275">
        <v>25</v>
      </c>
      <c r="AC7" s="35">
        <f t="shared" si="0"/>
        <v>16</v>
      </c>
      <c r="AD7" s="36">
        <f t="shared" si="1"/>
        <v>0.64</v>
      </c>
    </row>
    <row r="8" spans="2:30" s="428" customFormat="1" ht="23.25" x14ac:dyDescent="0.35">
      <c r="B8" s="419" t="str">
        <f>VLOOKUP($D8,'Activity List CSI'!$B$4:$D$146,2,0)</f>
        <v>0204</v>
      </c>
      <c r="C8" s="420" t="str">
        <f>VLOOKUP($D8,'Activity List CSI'!$B$4:$D$146,3,0)</f>
        <v>02300-04</v>
      </c>
      <c r="D8" s="13" t="s">
        <v>21</v>
      </c>
      <c r="E8" s="421" t="s">
        <v>515</v>
      </c>
      <c r="F8" s="422">
        <v>1</v>
      </c>
      <c r="G8" s="422"/>
      <c r="H8" s="423"/>
      <c r="I8" s="423">
        <v>1</v>
      </c>
      <c r="J8" s="423">
        <v>2</v>
      </c>
      <c r="K8" s="423"/>
      <c r="L8" s="423"/>
      <c r="M8" s="423"/>
      <c r="N8" s="423"/>
      <c r="O8" s="423"/>
      <c r="P8" s="423"/>
      <c r="Q8" s="423"/>
      <c r="R8" s="423"/>
      <c r="S8" s="423"/>
      <c r="T8" s="423"/>
      <c r="U8" s="423"/>
      <c r="V8" s="423"/>
      <c r="W8" s="423"/>
      <c r="X8" s="423"/>
      <c r="Y8" s="423"/>
      <c r="Z8" s="423"/>
      <c r="AA8" s="424"/>
      <c r="AB8" s="425">
        <v>300</v>
      </c>
      <c r="AC8" s="426">
        <f t="shared" si="0"/>
        <v>32</v>
      </c>
      <c r="AD8" s="427">
        <f t="shared" si="1"/>
        <v>0.10666666666666667</v>
      </c>
    </row>
    <row r="9" spans="2:30" ht="23.25" x14ac:dyDescent="0.35">
      <c r="B9" s="29" t="str">
        <f>VLOOKUP($D9,'Activity List CSI'!$B$4:$D$146,2,0)</f>
        <v>0205</v>
      </c>
      <c r="C9" s="232" t="str">
        <f>VLOOKUP($D9,'Activity List CSI'!$B$4:$D$146,3,0)</f>
        <v>02300-05</v>
      </c>
      <c r="D9" s="1" t="s">
        <v>22</v>
      </c>
      <c r="E9" s="261" t="s">
        <v>515</v>
      </c>
      <c r="F9" s="32">
        <v>1</v>
      </c>
      <c r="G9" s="32"/>
      <c r="H9" s="33"/>
      <c r="I9" s="33">
        <v>1</v>
      </c>
      <c r="J9" s="33">
        <v>2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271"/>
      <c r="AB9" s="275">
        <v>200</v>
      </c>
      <c r="AC9" s="35">
        <f t="shared" si="0"/>
        <v>32</v>
      </c>
      <c r="AD9" s="36">
        <f t="shared" si="1"/>
        <v>0.16</v>
      </c>
    </row>
    <row r="10" spans="2:30" ht="23.25" x14ac:dyDescent="0.35">
      <c r="B10" s="29" t="str">
        <f>VLOOKUP($D10,'Activity List CSI'!$B$4:$D$146,2,0)</f>
        <v>0206</v>
      </c>
      <c r="C10" s="232" t="str">
        <f>VLOOKUP($D10,'Activity List CSI'!$B$4:$D$146,3,0)</f>
        <v>02300-06</v>
      </c>
      <c r="D10" s="1" t="s">
        <v>23</v>
      </c>
      <c r="E10" s="261" t="s">
        <v>515</v>
      </c>
      <c r="F10" s="32">
        <v>1</v>
      </c>
      <c r="G10" s="32"/>
      <c r="H10" s="33">
        <v>1</v>
      </c>
      <c r="I10" s="33">
        <v>1</v>
      </c>
      <c r="J10" s="33">
        <v>2</v>
      </c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271"/>
      <c r="AB10" s="275">
        <v>25</v>
      </c>
      <c r="AC10" s="35">
        <f t="shared" si="0"/>
        <v>40</v>
      </c>
      <c r="AD10" s="36">
        <f t="shared" si="1"/>
        <v>1.6</v>
      </c>
    </row>
    <row r="11" spans="2:30" ht="23.25" x14ac:dyDescent="0.35">
      <c r="B11" s="29" t="str">
        <f>VLOOKUP($D11,'Activity List CSI'!$B$4:$D$146,2,0)</f>
        <v>0207</v>
      </c>
      <c r="C11" s="232" t="str">
        <f>VLOOKUP($D11,'Activity List CSI'!$B$4:$D$146,3,0)</f>
        <v>02100-01</v>
      </c>
      <c r="D11" s="1" t="s">
        <v>24</v>
      </c>
      <c r="E11" s="261" t="s">
        <v>565</v>
      </c>
      <c r="F11" s="32"/>
      <c r="G11" s="32"/>
      <c r="H11" s="33"/>
      <c r="I11" s="33"/>
      <c r="J11" s="33"/>
      <c r="K11" s="33"/>
      <c r="L11" s="33">
        <v>1</v>
      </c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271"/>
      <c r="AB11" s="275">
        <v>900</v>
      </c>
      <c r="AC11" s="35">
        <f t="shared" si="0"/>
        <v>8</v>
      </c>
      <c r="AD11" s="36">
        <f t="shared" si="1"/>
        <v>8.8888888888888889E-3</v>
      </c>
    </row>
    <row r="12" spans="2:30" ht="23.25" x14ac:dyDescent="0.35">
      <c r="B12" s="29" t="str">
        <f>VLOOKUP($D12,'Activity List CSI'!$B$4:$D$146,2,0)</f>
        <v>0208</v>
      </c>
      <c r="C12" s="232" t="str">
        <f>VLOOKUP($D12,'Activity List CSI'!$B$4:$D$146,3,0)</f>
        <v>02300-07</v>
      </c>
      <c r="D12" s="1" t="s">
        <v>566</v>
      </c>
      <c r="E12" s="261" t="s">
        <v>567</v>
      </c>
      <c r="F12" s="32"/>
      <c r="G12" s="32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>
        <v>1</v>
      </c>
      <c r="U12" s="33">
        <v>1</v>
      </c>
      <c r="V12" s="33"/>
      <c r="W12" s="33"/>
      <c r="X12" s="33"/>
      <c r="Y12" s="33"/>
      <c r="Z12" s="33"/>
      <c r="AA12" s="271"/>
      <c r="AB12" s="275">
        <v>10</v>
      </c>
      <c r="AC12" s="35">
        <f t="shared" si="0"/>
        <v>16</v>
      </c>
      <c r="AD12" s="36">
        <f t="shared" si="1"/>
        <v>1.6</v>
      </c>
    </row>
    <row r="13" spans="2:30" s="428" customFormat="1" ht="23.25" x14ac:dyDescent="0.35">
      <c r="B13" s="419" t="str">
        <f>VLOOKUP($D13,'Activity List CSI'!$B$4:$D$146,2,0)</f>
        <v>0209</v>
      </c>
      <c r="C13" s="420" t="str">
        <f>VLOOKUP($D13,'Activity List CSI'!$B$4:$D$146,3,0)</f>
        <v>02300-08</v>
      </c>
      <c r="D13" s="13" t="s">
        <v>26</v>
      </c>
      <c r="E13" s="421" t="s">
        <v>515</v>
      </c>
      <c r="F13" s="422"/>
      <c r="G13" s="422"/>
      <c r="H13" s="423"/>
      <c r="I13" s="423">
        <v>2</v>
      </c>
      <c r="J13" s="423">
        <v>3</v>
      </c>
      <c r="K13" s="423">
        <v>2</v>
      </c>
      <c r="L13" s="423"/>
      <c r="M13" s="423">
        <v>2</v>
      </c>
      <c r="N13" s="423">
        <v>1</v>
      </c>
      <c r="O13" s="423"/>
      <c r="P13" s="423"/>
      <c r="Q13" s="423"/>
      <c r="R13" s="423"/>
      <c r="S13" s="423"/>
      <c r="T13" s="423"/>
      <c r="U13" s="423"/>
      <c r="V13" s="423"/>
      <c r="W13" s="423"/>
      <c r="X13" s="423"/>
      <c r="Y13" s="423"/>
      <c r="Z13" s="423"/>
      <c r="AA13" s="424"/>
      <c r="AB13" s="425">
        <v>500</v>
      </c>
      <c r="AC13" s="426">
        <f t="shared" si="0"/>
        <v>80</v>
      </c>
      <c r="AD13" s="427">
        <f t="shared" si="1"/>
        <v>0.16</v>
      </c>
    </row>
    <row r="14" spans="2:30" ht="23.25" x14ac:dyDescent="0.35">
      <c r="B14" s="29" t="str">
        <f>VLOOKUP($D14,'Activity List CSI'!$B$4:$D$146,2,0)</f>
        <v>0210</v>
      </c>
      <c r="C14" s="232" t="str">
        <f>VLOOKUP($D14,'Activity List CSI'!$B$4:$D$146,3,0)</f>
        <v>02300-09</v>
      </c>
      <c r="D14" s="1" t="s">
        <v>27</v>
      </c>
      <c r="E14" s="261" t="s">
        <v>515</v>
      </c>
      <c r="F14" s="32"/>
      <c r="G14" s="32"/>
      <c r="H14" s="33"/>
      <c r="I14" s="33">
        <v>2</v>
      </c>
      <c r="J14" s="33">
        <v>3</v>
      </c>
      <c r="K14" s="33">
        <v>2</v>
      </c>
      <c r="L14" s="33"/>
      <c r="M14" s="33">
        <v>2</v>
      </c>
      <c r="N14" s="33">
        <v>1</v>
      </c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271"/>
      <c r="AB14" s="275">
        <v>500</v>
      </c>
      <c r="AC14" s="35">
        <f t="shared" si="0"/>
        <v>80</v>
      </c>
      <c r="AD14" s="36">
        <f t="shared" si="1"/>
        <v>0.16</v>
      </c>
    </row>
    <row r="15" spans="2:30" ht="23.25" x14ac:dyDescent="0.35">
      <c r="B15" s="29" t="str">
        <f>VLOOKUP($D15,'Activity List CSI'!$B$4:$D$146,2,0)</f>
        <v>0211</v>
      </c>
      <c r="C15" s="232" t="str">
        <f>VLOOKUP($D15,'Activity List CSI'!$B$4:$D$146,3,0)</f>
        <v>02300-10</v>
      </c>
      <c r="D15" s="1" t="s">
        <v>28</v>
      </c>
      <c r="E15" s="261" t="s">
        <v>519</v>
      </c>
      <c r="F15" s="32"/>
      <c r="G15" s="32"/>
      <c r="H15" s="33"/>
      <c r="I15" s="33">
        <v>1</v>
      </c>
      <c r="J15" s="33"/>
      <c r="K15" s="33">
        <v>2</v>
      </c>
      <c r="L15" s="33"/>
      <c r="M15" s="33"/>
      <c r="N15" s="33">
        <v>1</v>
      </c>
      <c r="O15" s="33">
        <v>2</v>
      </c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271"/>
      <c r="AB15" s="275">
        <v>250</v>
      </c>
      <c r="AC15" s="35">
        <f t="shared" si="0"/>
        <v>48</v>
      </c>
      <c r="AD15" s="36">
        <f t="shared" si="1"/>
        <v>0.192</v>
      </c>
    </row>
    <row r="16" spans="2:30" ht="23.25" x14ac:dyDescent="0.35">
      <c r="B16" s="29" t="str">
        <f>VLOOKUP($D16,'Activity List CSI'!$B$4:$D$146,2,0)</f>
        <v>0211</v>
      </c>
      <c r="C16" s="232" t="str">
        <f>VLOOKUP($D16,'Activity List CSI'!$B$4:$D$146,3,0)</f>
        <v>02300-10</v>
      </c>
      <c r="D16" s="1" t="s">
        <v>28</v>
      </c>
      <c r="E16" s="261" t="s">
        <v>519</v>
      </c>
      <c r="F16" s="32"/>
      <c r="G16" s="32"/>
      <c r="H16" s="33"/>
      <c r="I16" s="33">
        <v>1</v>
      </c>
      <c r="J16" s="33"/>
      <c r="K16" s="33">
        <v>2</v>
      </c>
      <c r="L16" s="33"/>
      <c r="M16" s="33"/>
      <c r="N16" s="33">
        <v>1</v>
      </c>
      <c r="O16" s="33">
        <v>2</v>
      </c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271"/>
      <c r="AB16" s="275">
        <v>250</v>
      </c>
      <c r="AC16" s="35">
        <f t="shared" si="0"/>
        <v>48</v>
      </c>
      <c r="AD16" s="36">
        <f t="shared" si="1"/>
        <v>0.192</v>
      </c>
    </row>
    <row r="17" spans="2:30" ht="23.25" x14ac:dyDescent="0.35">
      <c r="B17" s="29" t="str">
        <f>VLOOKUP($D17,'Activity List CSI'!$B$4:$D$146,2,0)</f>
        <v>0213</v>
      </c>
      <c r="C17" s="232" t="str">
        <f>VLOOKUP($D17,'Activity List CSI'!$B$4:$D$146,3,0)</f>
        <v>02300-12</v>
      </c>
      <c r="D17" s="1" t="s">
        <v>30</v>
      </c>
      <c r="E17" s="261" t="s">
        <v>515</v>
      </c>
      <c r="F17" s="32"/>
      <c r="G17" s="32"/>
      <c r="H17" s="33"/>
      <c r="I17" s="33">
        <v>2</v>
      </c>
      <c r="J17" s="33">
        <v>4</v>
      </c>
      <c r="K17" s="33">
        <v>2</v>
      </c>
      <c r="L17" s="33"/>
      <c r="M17" s="33"/>
      <c r="N17" s="33">
        <v>1</v>
      </c>
      <c r="O17" s="33">
        <v>2</v>
      </c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271"/>
      <c r="AB17" s="275">
        <v>400</v>
      </c>
      <c r="AC17" s="35">
        <f t="shared" si="0"/>
        <v>88</v>
      </c>
      <c r="AD17" s="36">
        <f t="shared" si="1"/>
        <v>0.22</v>
      </c>
    </row>
    <row r="18" spans="2:30" ht="23.25" x14ac:dyDescent="0.35">
      <c r="B18" s="29" t="str">
        <f>VLOOKUP($D18,'Activity List CSI'!$B$4:$D$146,2,0)</f>
        <v>0214</v>
      </c>
      <c r="C18" s="232" t="str">
        <f>VLOOKUP($D18,'Activity List CSI'!$B$4:$D$146,3,0)</f>
        <v>02300-13</v>
      </c>
      <c r="D18" s="1" t="s">
        <v>31</v>
      </c>
      <c r="E18" s="261" t="s">
        <v>515</v>
      </c>
      <c r="F18" s="32"/>
      <c r="G18" s="32"/>
      <c r="H18" s="33"/>
      <c r="I18" s="33">
        <v>2</v>
      </c>
      <c r="J18" s="33">
        <v>4</v>
      </c>
      <c r="K18" s="33">
        <v>2</v>
      </c>
      <c r="L18" s="33"/>
      <c r="M18" s="33"/>
      <c r="N18" s="33">
        <v>1</v>
      </c>
      <c r="O18" s="33">
        <v>2</v>
      </c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271"/>
      <c r="AB18" s="275">
        <v>400</v>
      </c>
      <c r="AC18" s="35">
        <f t="shared" si="0"/>
        <v>88</v>
      </c>
      <c r="AD18" s="36">
        <f t="shared" si="1"/>
        <v>0.22</v>
      </c>
    </row>
    <row r="19" spans="2:30" ht="23.25" x14ac:dyDescent="0.35">
      <c r="B19" s="29" t="str">
        <f>VLOOKUP($D19,'Activity List CSI'!$B$4:$D$146,2,0)</f>
        <v>0215</v>
      </c>
      <c r="C19" s="232" t="str">
        <f>VLOOKUP($D19,'Activity List CSI'!$B$4:$D$146,3,0)</f>
        <v>02300-14</v>
      </c>
      <c r="D19" s="1" t="s">
        <v>32</v>
      </c>
      <c r="E19" s="261" t="s">
        <v>515</v>
      </c>
      <c r="F19" s="32"/>
      <c r="G19" s="32"/>
      <c r="H19" s="33"/>
      <c r="I19" s="33">
        <v>2</v>
      </c>
      <c r="J19" s="33">
        <v>4</v>
      </c>
      <c r="K19" s="33">
        <v>2</v>
      </c>
      <c r="L19" s="33"/>
      <c r="M19" s="33"/>
      <c r="N19" s="33">
        <v>1</v>
      </c>
      <c r="O19" s="33">
        <v>2</v>
      </c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271"/>
      <c r="AB19" s="275">
        <v>300</v>
      </c>
      <c r="AC19" s="35">
        <f t="shared" si="0"/>
        <v>88</v>
      </c>
      <c r="AD19" s="36">
        <f t="shared" si="1"/>
        <v>0.29333333333333333</v>
      </c>
    </row>
    <row r="20" spans="2:30" ht="23.25" x14ac:dyDescent="0.35">
      <c r="B20" s="29" t="str">
        <f>VLOOKUP($D20,'Activity List CSI'!$B$4:$D$146,2,0)</f>
        <v>0216</v>
      </c>
      <c r="C20" s="232" t="str">
        <f>VLOOKUP($D20,'Activity List CSI'!$B$4:$D$146,3,0)</f>
        <v>02300-15</v>
      </c>
      <c r="D20" s="1" t="s">
        <v>33</v>
      </c>
      <c r="E20" s="261" t="s">
        <v>515</v>
      </c>
      <c r="F20" s="32"/>
      <c r="G20" s="32"/>
      <c r="H20" s="33"/>
      <c r="I20" s="33"/>
      <c r="J20" s="33"/>
      <c r="K20" s="33">
        <v>2</v>
      </c>
      <c r="L20" s="33"/>
      <c r="M20" s="33"/>
      <c r="N20" s="33">
        <v>1</v>
      </c>
      <c r="O20" s="33">
        <v>2</v>
      </c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271"/>
      <c r="AB20" s="275">
        <v>250</v>
      </c>
      <c r="AC20" s="35">
        <f t="shared" si="0"/>
        <v>40</v>
      </c>
      <c r="AD20" s="36">
        <f t="shared" si="1"/>
        <v>0.16</v>
      </c>
    </row>
    <row r="21" spans="2:30" ht="23.25" x14ac:dyDescent="0.35">
      <c r="B21" s="29" t="str">
        <f>VLOOKUP($D21,'Activity List CSI'!$B$4:$D$146,2,0)</f>
        <v>0217</v>
      </c>
      <c r="C21" s="232" t="str">
        <f>VLOOKUP($D21,'Activity List CSI'!$B$4:$D$146,3,0)</f>
        <v>02300-16</v>
      </c>
      <c r="D21" s="1" t="s">
        <v>34</v>
      </c>
      <c r="E21" s="261" t="s">
        <v>513</v>
      </c>
      <c r="F21" s="32"/>
      <c r="G21" s="32"/>
      <c r="H21" s="33"/>
      <c r="I21" s="33">
        <v>1</v>
      </c>
      <c r="J21" s="33"/>
      <c r="K21" s="33"/>
      <c r="L21" s="33"/>
      <c r="M21" s="33"/>
      <c r="N21" s="33">
        <v>1</v>
      </c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271"/>
      <c r="AB21" s="275">
        <v>700</v>
      </c>
      <c r="AC21" s="35">
        <f t="shared" si="0"/>
        <v>16</v>
      </c>
      <c r="AD21" s="36">
        <f t="shared" si="1"/>
        <v>2.2857142857142857E-2</v>
      </c>
    </row>
    <row r="22" spans="2:30" ht="23.25" x14ac:dyDescent="0.35">
      <c r="B22" s="29" t="str">
        <f>VLOOKUP($D22,'Activity List CSI'!$B$4:$D$146,2,0)</f>
        <v>0218</v>
      </c>
      <c r="C22" s="232" t="str">
        <f>VLOOKUP($D22,'Activity List CSI'!$B$4:$D$146,3,0)</f>
        <v>02300-17</v>
      </c>
      <c r="D22" s="1" t="s">
        <v>35</v>
      </c>
      <c r="E22" s="261" t="s">
        <v>515</v>
      </c>
      <c r="F22" s="32"/>
      <c r="G22" s="32"/>
      <c r="H22" s="33"/>
      <c r="I22" s="33">
        <v>1</v>
      </c>
      <c r="J22" s="33">
        <v>8</v>
      </c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271"/>
      <c r="AB22" s="275">
        <f>128*4</f>
        <v>512</v>
      </c>
      <c r="AC22" s="35">
        <f t="shared" si="0"/>
        <v>72</v>
      </c>
      <c r="AD22" s="36">
        <f t="shared" si="1"/>
        <v>0.140625</v>
      </c>
    </row>
    <row r="23" spans="2:30" ht="23.25" x14ac:dyDescent="0.35">
      <c r="B23" s="29" t="str">
        <f>VLOOKUP($D23,'Activity List CSI'!$B$4:$D$146,2,0)</f>
        <v>0219</v>
      </c>
      <c r="C23" s="232" t="str">
        <f>VLOOKUP($D23,'Activity List CSI'!$B$4:$D$146,3,0)</f>
        <v>02300-18</v>
      </c>
      <c r="D23" s="1" t="s">
        <v>36</v>
      </c>
      <c r="E23" s="261" t="s">
        <v>515</v>
      </c>
      <c r="F23" s="32"/>
      <c r="G23" s="32"/>
      <c r="H23" s="33"/>
      <c r="I23" s="33">
        <v>1</v>
      </c>
      <c r="J23" s="33">
        <v>8</v>
      </c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271"/>
      <c r="AB23" s="275">
        <v>512</v>
      </c>
      <c r="AC23" s="35">
        <f t="shared" si="0"/>
        <v>72</v>
      </c>
      <c r="AD23" s="36">
        <f t="shared" si="1"/>
        <v>0.140625</v>
      </c>
    </row>
    <row r="24" spans="2:30" ht="23.25" x14ac:dyDescent="0.35">
      <c r="B24" s="29" t="str">
        <f>VLOOKUP($D24,'Activity List CSI'!$B$4:$D$146,2,0)</f>
        <v>0220</v>
      </c>
      <c r="C24" s="232" t="str">
        <f>VLOOKUP($D24,'Activity List CSI'!$B$4:$D$146,3,0)</f>
        <v>02300-19</v>
      </c>
      <c r="D24" s="1" t="s">
        <v>37</v>
      </c>
      <c r="E24" s="261" t="s">
        <v>515</v>
      </c>
      <c r="F24" s="32"/>
      <c r="G24" s="32"/>
      <c r="H24" s="33"/>
      <c r="I24" s="33">
        <v>1</v>
      </c>
      <c r="J24" s="33">
        <v>8</v>
      </c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271"/>
      <c r="AB24" s="275">
        <v>256</v>
      </c>
      <c r="AC24" s="35">
        <f t="shared" si="0"/>
        <v>72</v>
      </c>
      <c r="AD24" s="36">
        <f t="shared" si="1"/>
        <v>0.28125</v>
      </c>
    </row>
    <row r="25" spans="2:30" ht="23.25" x14ac:dyDescent="0.35">
      <c r="B25" s="29" t="str">
        <f>VLOOKUP($D25,'Activity List CSI'!$B$4:$D$146,2,0)</f>
        <v>0223</v>
      </c>
      <c r="C25" s="232" t="str">
        <f>VLOOKUP($D25,'Activity List CSI'!$B$4:$D$146,3,0)</f>
        <v>02700-01</v>
      </c>
      <c r="D25" s="1" t="s">
        <v>407</v>
      </c>
      <c r="E25" s="261" t="s">
        <v>513</v>
      </c>
      <c r="F25" s="32"/>
      <c r="G25" s="32"/>
      <c r="H25" s="33"/>
      <c r="I25" s="33">
        <v>1</v>
      </c>
      <c r="J25" s="33">
        <v>2</v>
      </c>
      <c r="K25" s="33"/>
      <c r="L25" s="33"/>
      <c r="M25" s="33"/>
      <c r="N25" s="33">
        <v>1</v>
      </c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271"/>
      <c r="AB25" s="275">
        <v>700</v>
      </c>
      <c r="AC25" s="35">
        <f t="shared" si="0"/>
        <v>32</v>
      </c>
      <c r="AD25" s="36">
        <f t="shared" si="1"/>
        <v>4.5714285714285714E-2</v>
      </c>
    </row>
    <row r="26" spans="2:30" s="428" customFormat="1" ht="23.25" x14ac:dyDescent="0.35">
      <c r="B26" s="419" t="str">
        <f>VLOOKUP($D26,'Activity List CSI'!$B$4:$D$146,2,0)</f>
        <v>0224</v>
      </c>
      <c r="C26" s="420" t="str">
        <f>VLOOKUP($D26,'Activity List CSI'!$B$4:$D$146,3,0)</f>
        <v>02700-02</v>
      </c>
      <c r="D26" s="13" t="s">
        <v>40</v>
      </c>
      <c r="E26" s="421" t="s">
        <v>513</v>
      </c>
      <c r="F26" s="422"/>
      <c r="G26" s="422"/>
      <c r="H26" s="423"/>
      <c r="I26" s="423">
        <v>1</v>
      </c>
      <c r="J26" s="423">
        <v>2</v>
      </c>
      <c r="K26" s="423"/>
      <c r="L26" s="423"/>
      <c r="M26" s="423"/>
      <c r="N26" s="423">
        <v>1</v>
      </c>
      <c r="O26" s="423"/>
      <c r="P26" s="423"/>
      <c r="Q26" s="423"/>
      <c r="R26" s="423"/>
      <c r="S26" s="423"/>
      <c r="T26" s="423"/>
      <c r="U26" s="423"/>
      <c r="V26" s="423"/>
      <c r="W26" s="423"/>
      <c r="X26" s="423"/>
      <c r="Y26" s="423"/>
      <c r="Z26" s="423"/>
      <c r="AA26" s="424"/>
      <c r="AB26" s="425">
        <v>700</v>
      </c>
      <c r="AC26" s="426">
        <f t="shared" si="0"/>
        <v>32</v>
      </c>
      <c r="AD26" s="427">
        <f t="shared" si="1"/>
        <v>4.5714285714285714E-2</v>
      </c>
    </row>
    <row r="27" spans="2:30" ht="23.25" x14ac:dyDescent="0.35">
      <c r="B27" s="29" t="str">
        <f>VLOOKUP($D27,'Activity List CSI'!$B$4:$D$146,2,0)</f>
        <v>0225</v>
      </c>
      <c r="C27" s="232" t="str">
        <f>VLOOKUP($D27,'Activity List CSI'!$B$4:$D$146,3,0)</f>
        <v>02700-03</v>
      </c>
      <c r="D27" s="1" t="s">
        <v>41</v>
      </c>
      <c r="E27" s="261" t="s">
        <v>513</v>
      </c>
      <c r="F27" s="32"/>
      <c r="G27" s="32"/>
      <c r="H27" s="33"/>
      <c r="I27" s="33">
        <v>1</v>
      </c>
      <c r="J27" s="33">
        <v>2</v>
      </c>
      <c r="K27" s="33"/>
      <c r="L27" s="33"/>
      <c r="M27" s="33"/>
      <c r="N27" s="33">
        <v>1</v>
      </c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271"/>
      <c r="AB27" s="275">
        <v>700</v>
      </c>
      <c r="AC27" s="35">
        <f t="shared" si="0"/>
        <v>32</v>
      </c>
      <c r="AD27" s="36">
        <f t="shared" si="1"/>
        <v>4.5714285714285714E-2</v>
      </c>
    </row>
    <row r="28" spans="2:30" ht="23.25" x14ac:dyDescent="0.35">
      <c r="B28" s="29" t="str">
        <f>VLOOKUP($D28,'Activity List CSI'!$B$4:$D$146,2,0)</f>
        <v>0226</v>
      </c>
      <c r="C28" s="232" t="str">
        <f>VLOOKUP($D28,'Activity List CSI'!$B$4:$D$146,3,0)</f>
        <v>02700-04</v>
      </c>
      <c r="D28" s="1" t="s">
        <v>42</v>
      </c>
      <c r="E28" s="261" t="s">
        <v>513</v>
      </c>
      <c r="F28" s="32"/>
      <c r="G28" s="32"/>
      <c r="H28" s="33"/>
      <c r="I28" s="33">
        <v>1</v>
      </c>
      <c r="J28" s="33"/>
      <c r="K28" s="33">
        <v>1</v>
      </c>
      <c r="L28" s="33"/>
      <c r="M28" s="33">
        <v>1</v>
      </c>
      <c r="N28" s="33">
        <v>1</v>
      </c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271"/>
      <c r="AB28" s="275">
        <v>550</v>
      </c>
      <c r="AC28" s="35">
        <f t="shared" si="0"/>
        <v>32</v>
      </c>
      <c r="AD28" s="36">
        <f t="shared" si="1"/>
        <v>5.8181818181818182E-2</v>
      </c>
    </row>
    <row r="29" spans="2:30" ht="23.25" x14ac:dyDescent="0.35">
      <c r="B29" s="29" t="str">
        <f>VLOOKUP($D29,'Activity List CSI'!$B$4:$D$146,2,0)</f>
        <v>0227</v>
      </c>
      <c r="C29" s="232" t="str">
        <f>VLOOKUP($D29,'Activity List CSI'!$B$4:$D$146,3,0)</f>
        <v>02700-05</v>
      </c>
      <c r="D29" s="1" t="s">
        <v>43</v>
      </c>
      <c r="E29" s="261" t="s">
        <v>513</v>
      </c>
      <c r="F29" s="32"/>
      <c r="G29" s="32"/>
      <c r="H29" s="33"/>
      <c r="I29" s="33">
        <v>1</v>
      </c>
      <c r="J29" s="33"/>
      <c r="K29" s="33"/>
      <c r="L29" s="33"/>
      <c r="M29" s="33">
        <v>1</v>
      </c>
      <c r="N29" s="33">
        <v>1</v>
      </c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271"/>
      <c r="AB29" s="275">
        <v>500</v>
      </c>
      <c r="AC29" s="35">
        <f t="shared" si="0"/>
        <v>24</v>
      </c>
      <c r="AD29" s="36">
        <f t="shared" si="1"/>
        <v>4.8000000000000001E-2</v>
      </c>
    </row>
    <row r="30" spans="2:30" s="428" customFormat="1" ht="23.25" x14ac:dyDescent="0.35">
      <c r="B30" s="419" t="str">
        <f>VLOOKUP($D30,'Activity List CSI'!$B$4:$D$146,2,0)</f>
        <v>0228</v>
      </c>
      <c r="C30" s="420" t="str">
        <f>VLOOKUP($D30,'Activity List CSI'!$B$4:$D$146,3,0)</f>
        <v>02700-06</v>
      </c>
      <c r="D30" s="13" t="s">
        <v>44</v>
      </c>
      <c r="E30" s="421" t="s">
        <v>513</v>
      </c>
      <c r="F30" s="422"/>
      <c r="G30" s="422"/>
      <c r="H30" s="423"/>
      <c r="I30" s="423"/>
      <c r="J30" s="423"/>
      <c r="K30" s="423"/>
      <c r="L30" s="423"/>
      <c r="M30" s="423"/>
      <c r="N30" s="423"/>
      <c r="O30" s="423"/>
      <c r="P30" s="423"/>
      <c r="Q30" s="423"/>
      <c r="R30" s="423"/>
      <c r="S30" s="423"/>
      <c r="T30" s="423"/>
      <c r="U30" s="423"/>
      <c r="V30" s="423"/>
      <c r="W30" s="423">
        <v>1</v>
      </c>
      <c r="X30" s="423"/>
      <c r="Y30" s="423"/>
      <c r="Z30" s="423"/>
      <c r="AA30" s="424"/>
      <c r="AB30" s="425">
        <v>1000</v>
      </c>
      <c r="AC30" s="426">
        <f t="shared" si="0"/>
        <v>8</v>
      </c>
      <c r="AD30" s="427">
        <f t="shared" si="1"/>
        <v>8.0000000000000002E-3</v>
      </c>
    </row>
    <row r="31" spans="2:30" ht="23.25" x14ac:dyDescent="0.35">
      <c r="B31" s="29" t="str">
        <f>VLOOKUP($D31,'Activity List CSI'!$B$4:$D$146,2,0)</f>
        <v>0229</v>
      </c>
      <c r="C31" s="232" t="str">
        <f>VLOOKUP($D31,'Activity List CSI'!$B$4:$D$146,3,0)</f>
        <v>02700-07</v>
      </c>
      <c r="D31" s="1" t="s">
        <v>45</v>
      </c>
      <c r="E31" s="261" t="s">
        <v>513</v>
      </c>
      <c r="F31" s="32"/>
      <c r="G31" s="32"/>
      <c r="H31" s="33"/>
      <c r="I31" s="33"/>
      <c r="J31" s="33">
        <v>4</v>
      </c>
      <c r="K31" s="33"/>
      <c r="L31" s="33"/>
      <c r="M31" s="33">
        <v>1</v>
      </c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>
        <v>1</v>
      </c>
      <c r="Z31" s="33"/>
      <c r="AA31" s="271"/>
      <c r="AB31" s="275">
        <v>1000</v>
      </c>
      <c r="AC31" s="35">
        <f t="shared" si="0"/>
        <v>48</v>
      </c>
      <c r="AD31" s="36">
        <f t="shared" si="1"/>
        <v>4.8000000000000001E-2</v>
      </c>
    </row>
    <row r="32" spans="2:30" s="428" customFormat="1" ht="23.25" x14ac:dyDescent="0.35">
      <c r="B32" s="419" t="str">
        <f>VLOOKUP($D32,'Activity List CSI'!$B$4:$D$146,2,0)</f>
        <v>0230</v>
      </c>
      <c r="C32" s="420" t="str">
        <f>VLOOKUP($D32,'Activity List CSI'!$B$4:$D$146,3,0)</f>
        <v>02700-08</v>
      </c>
      <c r="D32" s="13" t="s">
        <v>46</v>
      </c>
      <c r="E32" s="421" t="s">
        <v>513</v>
      </c>
      <c r="F32" s="422"/>
      <c r="G32" s="422"/>
      <c r="H32" s="423"/>
      <c r="I32" s="423"/>
      <c r="J32" s="423"/>
      <c r="K32" s="423"/>
      <c r="L32" s="423"/>
      <c r="M32" s="423"/>
      <c r="N32" s="423"/>
      <c r="O32" s="423"/>
      <c r="P32" s="423"/>
      <c r="Q32" s="423"/>
      <c r="R32" s="423"/>
      <c r="S32" s="423"/>
      <c r="T32" s="423"/>
      <c r="U32" s="423"/>
      <c r="V32" s="423"/>
      <c r="W32" s="423"/>
      <c r="X32" s="423">
        <v>1</v>
      </c>
      <c r="Y32" s="423"/>
      <c r="Z32" s="423"/>
      <c r="AA32" s="424"/>
      <c r="AB32" s="425">
        <v>1000</v>
      </c>
      <c r="AC32" s="426">
        <f t="shared" si="0"/>
        <v>8</v>
      </c>
      <c r="AD32" s="427">
        <f t="shared" si="1"/>
        <v>8.0000000000000002E-3</v>
      </c>
    </row>
    <row r="33" spans="2:30" s="428" customFormat="1" ht="23.25" x14ac:dyDescent="0.35">
      <c r="B33" s="419" t="str">
        <f>VLOOKUP($D33,'Activity List CSI'!$B$4:$D$146,2,0)</f>
        <v>0231</v>
      </c>
      <c r="C33" s="420" t="str">
        <f>VLOOKUP($D33,'Activity List CSI'!$B$4:$D$146,3,0)</f>
        <v>02700-09</v>
      </c>
      <c r="D33" s="13" t="s">
        <v>47</v>
      </c>
      <c r="E33" s="421" t="s">
        <v>513</v>
      </c>
      <c r="F33" s="422"/>
      <c r="G33" s="422"/>
      <c r="H33" s="423"/>
      <c r="I33" s="423"/>
      <c r="J33" s="423">
        <v>4</v>
      </c>
      <c r="K33" s="423"/>
      <c r="L33" s="423"/>
      <c r="M33" s="423">
        <v>2</v>
      </c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Y33" s="423">
        <v>1</v>
      </c>
      <c r="Z33" s="423"/>
      <c r="AA33" s="424"/>
      <c r="AB33" s="425">
        <v>1200</v>
      </c>
      <c r="AC33" s="426">
        <f t="shared" si="0"/>
        <v>56</v>
      </c>
      <c r="AD33" s="427">
        <f t="shared" si="1"/>
        <v>4.6666666666666669E-2</v>
      </c>
    </row>
    <row r="34" spans="2:30" ht="23.25" x14ac:dyDescent="0.35">
      <c r="B34" s="29" t="str">
        <f>VLOOKUP($D34,'Activity List CSI'!$B$4:$D$146,2,0)</f>
        <v>0232</v>
      </c>
      <c r="C34" s="232" t="str">
        <f>VLOOKUP($D34,'Activity List CSI'!$B$4:$D$146,3,0)</f>
        <v>09900-04</v>
      </c>
      <c r="D34" s="1" t="s">
        <v>48</v>
      </c>
      <c r="E34" s="261" t="s">
        <v>519</v>
      </c>
      <c r="F34" s="32"/>
      <c r="G34" s="32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>
        <v>1</v>
      </c>
      <c r="AA34" s="271"/>
      <c r="AB34" s="275">
        <v>1800</v>
      </c>
      <c r="AC34" s="35">
        <f t="shared" si="0"/>
        <v>8</v>
      </c>
      <c r="AD34" s="212">
        <f t="shared" si="1"/>
        <v>4.4444444444444444E-3</v>
      </c>
    </row>
    <row r="35" spans="2:30" ht="23.25" x14ac:dyDescent="0.35">
      <c r="B35" s="29" t="str">
        <f>VLOOKUP($D35,'Activity List CSI'!$B$4:$D$146,2,0)</f>
        <v>0233</v>
      </c>
      <c r="C35" s="232" t="str">
        <f>VLOOKUP($D35,'Activity List CSI'!$B$4:$D$146,3,0)</f>
        <v>02700-10</v>
      </c>
      <c r="D35" s="1" t="s">
        <v>49</v>
      </c>
      <c r="E35" s="261" t="s">
        <v>519</v>
      </c>
      <c r="F35" s="32"/>
      <c r="G35" s="32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>
        <v>1</v>
      </c>
      <c r="V35" s="33"/>
      <c r="W35" s="33"/>
      <c r="X35" s="33"/>
      <c r="Y35" s="33"/>
      <c r="Z35" s="33"/>
      <c r="AA35" s="271"/>
      <c r="AB35" s="275">
        <v>150</v>
      </c>
      <c r="AC35" s="35">
        <f t="shared" si="0"/>
        <v>8</v>
      </c>
      <c r="AD35" s="212">
        <f t="shared" si="1"/>
        <v>5.3333333333333337E-2</v>
      </c>
    </row>
    <row r="36" spans="2:30" ht="23.25" x14ac:dyDescent="0.35">
      <c r="B36" s="29" t="str">
        <f>VLOOKUP($D36,'Activity List CSI'!$B$4:$D$146,2,0)</f>
        <v>0237</v>
      </c>
      <c r="C36" s="232" t="str">
        <f>VLOOKUP($D36,'Activity List CSI'!$B$4:$D$146,3,0)</f>
        <v>02200-01</v>
      </c>
      <c r="D36" s="1" t="s">
        <v>1</v>
      </c>
      <c r="E36" s="261" t="s">
        <v>513</v>
      </c>
      <c r="F36" s="32"/>
      <c r="G36" s="32">
        <v>1</v>
      </c>
      <c r="H36" s="33"/>
      <c r="I36" s="33">
        <v>1</v>
      </c>
      <c r="J36" s="33">
        <v>2</v>
      </c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271"/>
      <c r="AB36" s="275">
        <v>1000</v>
      </c>
      <c r="AC36" s="35">
        <f t="shared" si="0"/>
        <v>32</v>
      </c>
      <c r="AD36" s="212">
        <f t="shared" si="1"/>
        <v>3.2000000000000001E-2</v>
      </c>
    </row>
    <row r="37" spans="2:30" ht="23.25" x14ac:dyDescent="0.35">
      <c r="B37" s="29" t="str">
        <f>VLOOKUP($D37,'Activity List CSI'!$B$4:$D$146,2,0)</f>
        <v>0238</v>
      </c>
      <c r="C37" s="232" t="str">
        <f>VLOOKUP($D37,'Activity List CSI'!$B$4:$D$146,3,0)</f>
        <v>02200-02</v>
      </c>
      <c r="D37" s="1" t="s">
        <v>53</v>
      </c>
      <c r="E37" s="261" t="s">
        <v>513</v>
      </c>
      <c r="F37" s="32"/>
      <c r="G37" s="32">
        <v>1</v>
      </c>
      <c r="H37" s="33"/>
      <c r="I37" s="33">
        <v>1</v>
      </c>
      <c r="J37" s="33">
        <v>2</v>
      </c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271"/>
      <c r="AB37" s="275">
        <v>1000</v>
      </c>
      <c r="AC37" s="35">
        <f t="shared" ref="AC37:AC62" si="2">SUM(F37:AA37)*8</f>
        <v>32</v>
      </c>
      <c r="AD37" s="212">
        <f t="shared" si="1"/>
        <v>3.2000000000000001E-2</v>
      </c>
    </row>
    <row r="38" spans="2:30" ht="23.25" x14ac:dyDescent="0.35">
      <c r="B38" s="29" t="str">
        <f>VLOOKUP($D38,'Activity List CSI'!$B$4:$D$146,2,0)</f>
        <v>0245</v>
      </c>
      <c r="C38" s="232" t="str">
        <f>VLOOKUP($D38,'Activity List CSI'!$B$4:$D$146,3,0)</f>
        <v>02200-03</v>
      </c>
      <c r="D38" s="1" t="s">
        <v>64</v>
      </c>
      <c r="E38" s="261" t="s">
        <v>515</v>
      </c>
      <c r="F38" s="32"/>
      <c r="G38" s="32"/>
      <c r="H38" s="33"/>
      <c r="I38" s="33">
        <v>1</v>
      </c>
      <c r="J38" s="33">
        <v>2</v>
      </c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>
        <v>1</v>
      </c>
      <c r="V38" s="33"/>
      <c r="W38" s="33"/>
      <c r="X38" s="33"/>
      <c r="Y38" s="33"/>
      <c r="Z38" s="33"/>
      <c r="AA38" s="271"/>
      <c r="AB38" s="275">
        <v>350</v>
      </c>
      <c r="AC38" s="35">
        <f t="shared" si="2"/>
        <v>32</v>
      </c>
      <c r="AD38" s="212">
        <f t="shared" si="1"/>
        <v>9.1428571428571428E-2</v>
      </c>
    </row>
    <row r="39" spans="2:30" ht="23.25" x14ac:dyDescent="0.35">
      <c r="B39" s="29" t="str">
        <f>VLOOKUP($D39,'Activity List CSI'!$B$4:$D$146,2,0)</f>
        <v>0247</v>
      </c>
      <c r="C39" s="232" t="str">
        <f>VLOOKUP($D39,'Activity List CSI'!$B$4:$D$146,3,0)</f>
        <v>02200-04</v>
      </c>
      <c r="D39" s="1" t="s">
        <v>67</v>
      </c>
      <c r="E39" s="261" t="s">
        <v>512</v>
      </c>
      <c r="F39" s="32"/>
      <c r="G39" s="32"/>
      <c r="H39" s="33"/>
      <c r="I39" s="33">
        <v>1</v>
      </c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271"/>
      <c r="AB39" s="275">
        <v>3</v>
      </c>
      <c r="AC39" s="35">
        <f t="shared" si="2"/>
        <v>8</v>
      </c>
      <c r="AD39" s="212">
        <f t="shared" si="1"/>
        <v>2.6666666666666665</v>
      </c>
    </row>
    <row r="40" spans="2:30" ht="23.25" x14ac:dyDescent="0.35">
      <c r="B40" s="29" t="str">
        <f>VLOOKUP($D40,'Activity List CSI'!$B$4:$D$146,2,0)</f>
        <v>0248</v>
      </c>
      <c r="C40" s="232" t="str">
        <f>VLOOKUP($D40,'Activity List CSI'!$B$4:$D$146,3,0)</f>
        <v>02200-05</v>
      </c>
      <c r="D40" s="1" t="s">
        <v>69</v>
      </c>
      <c r="E40" s="261" t="s">
        <v>515</v>
      </c>
      <c r="F40" s="32">
        <v>1</v>
      </c>
      <c r="G40" s="32"/>
      <c r="H40" s="33">
        <v>1</v>
      </c>
      <c r="I40" s="33">
        <v>1</v>
      </c>
      <c r="J40" s="33">
        <v>2</v>
      </c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271"/>
      <c r="AB40" s="275">
        <v>25</v>
      </c>
      <c r="AC40" s="35">
        <f t="shared" si="2"/>
        <v>40</v>
      </c>
      <c r="AD40" s="36">
        <f t="shared" si="1"/>
        <v>1.6</v>
      </c>
    </row>
    <row r="41" spans="2:30" ht="23.25" x14ac:dyDescent="0.35">
      <c r="B41" s="29" t="str">
        <f>VLOOKUP($D41,'Activity List CSI'!$B$4:$D$146,2,0)</f>
        <v>0301</v>
      </c>
      <c r="C41" s="232" t="str">
        <f>VLOOKUP($D41,'Activity List CSI'!$B$4:$D$146,3,0)</f>
        <v>03300-01</v>
      </c>
      <c r="D41" s="1" t="s">
        <v>76</v>
      </c>
      <c r="E41" s="261" t="s">
        <v>513</v>
      </c>
      <c r="F41" s="32"/>
      <c r="G41" s="32"/>
      <c r="H41" s="33"/>
      <c r="I41" s="33"/>
      <c r="J41" s="33"/>
      <c r="K41" s="33"/>
      <c r="L41" s="33"/>
      <c r="M41" s="33"/>
      <c r="N41" s="33"/>
      <c r="O41" s="33"/>
      <c r="P41" s="33">
        <v>1</v>
      </c>
      <c r="Q41" s="33">
        <v>1</v>
      </c>
      <c r="R41" s="33">
        <v>3</v>
      </c>
      <c r="S41" s="33"/>
      <c r="T41" s="33"/>
      <c r="U41" s="33"/>
      <c r="V41" s="33"/>
      <c r="W41" s="33"/>
      <c r="X41" s="33"/>
      <c r="Y41" s="33"/>
      <c r="Z41" s="33"/>
      <c r="AA41" s="271"/>
      <c r="AB41" s="275">
        <f>(120/0.15)*0.75</f>
        <v>600</v>
      </c>
      <c r="AC41" s="35">
        <f t="shared" si="2"/>
        <v>40</v>
      </c>
      <c r="AD41" s="36">
        <f t="shared" si="1"/>
        <v>6.6666666666666666E-2</v>
      </c>
    </row>
    <row r="42" spans="2:30" ht="23.25" x14ac:dyDescent="0.35">
      <c r="B42" s="29" t="str">
        <f>VLOOKUP($D42,'Activity List CSI'!$B$4:$D$146,2,0)</f>
        <v>0302</v>
      </c>
      <c r="C42" s="232" t="str">
        <f>VLOOKUP($D42,'Activity List CSI'!$B$4:$D$146,3,0)</f>
        <v>03300-02</v>
      </c>
      <c r="D42" s="1" t="s">
        <v>78</v>
      </c>
      <c r="E42" s="261" t="s">
        <v>515</v>
      </c>
      <c r="F42" s="32"/>
      <c r="G42" s="32"/>
      <c r="H42" s="33"/>
      <c r="I42" s="33"/>
      <c r="J42" s="33"/>
      <c r="K42" s="33"/>
      <c r="L42" s="33"/>
      <c r="M42" s="33"/>
      <c r="N42" s="33"/>
      <c r="O42" s="33"/>
      <c r="P42" s="33">
        <v>1</v>
      </c>
      <c r="Q42" s="33">
        <v>1</v>
      </c>
      <c r="R42" s="33">
        <v>3</v>
      </c>
      <c r="S42" s="33"/>
      <c r="T42" s="33"/>
      <c r="U42" s="33"/>
      <c r="V42" s="33"/>
      <c r="W42" s="33"/>
      <c r="X42" s="33"/>
      <c r="Y42" s="33"/>
      <c r="Z42" s="33"/>
      <c r="AA42" s="271"/>
      <c r="AB42" s="275">
        <f>120*0.75</f>
        <v>90</v>
      </c>
      <c r="AC42" s="35">
        <f t="shared" si="2"/>
        <v>40</v>
      </c>
      <c r="AD42" s="36">
        <f t="shared" si="1"/>
        <v>0.44444444444444442</v>
      </c>
    </row>
    <row r="43" spans="2:30" ht="23.25" x14ac:dyDescent="0.35">
      <c r="B43" s="29" t="str">
        <f>VLOOKUP($D43,'Activity List CSI'!$B$4:$D$146,2,0)</f>
        <v>0303</v>
      </c>
      <c r="C43" s="232" t="str">
        <f>VLOOKUP($D43,'Activity List CSI'!$B$4:$D$146,3,0)</f>
        <v>03300-03</v>
      </c>
      <c r="D43" s="1" t="s">
        <v>80</v>
      </c>
      <c r="E43" s="261" t="s">
        <v>515</v>
      </c>
      <c r="F43" s="32"/>
      <c r="G43" s="32"/>
      <c r="H43" s="33"/>
      <c r="I43" s="33"/>
      <c r="J43" s="33"/>
      <c r="K43" s="33"/>
      <c r="L43" s="33"/>
      <c r="M43" s="33"/>
      <c r="N43" s="33"/>
      <c r="O43" s="33"/>
      <c r="P43" s="33">
        <v>1</v>
      </c>
      <c r="Q43" s="33">
        <v>1</v>
      </c>
      <c r="R43" s="33">
        <v>3</v>
      </c>
      <c r="S43" s="33"/>
      <c r="T43" s="33"/>
      <c r="U43" s="33"/>
      <c r="V43" s="33"/>
      <c r="W43" s="33"/>
      <c r="X43" s="33"/>
      <c r="Y43" s="33"/>
      <c r="Z43" s="33"/>
      <c r="AA43" s="271"/>
      <c r="AB43" s="275">
        <v>90</v>
      </c>
      <c r="AC43" s="35">
        <f t="shared" si="2"/>
        <v>40</v>
      </c>
      <c r="AD43" s="36">
        <f t="shared" si="1"/>
        <v>0.44444444444444442</v>
      </c>
    </row>
    <row r="44" spans="2:30" ht="23.25" x14ac:dyDescent="0.35">
      <c r="B44" s="29" t="str">
        <f>VLOOKUP($D44,'Activity List CSI'!$B$4:$D$146,2,0)</f>
        <v>0304</v>
      </c>
      <c r="C44" s="232" t="str">
        <f>VLOOKUP($D44,'Activity List CSI'!$B$4:$D$146,3,0)</f>
        <v>03300-04</v>
      </c>
      <c r="D44" s="1" t="s">
        <v>82</v>
      </c>
      <c r="E44" s="261" t="s">
        <v>515</v>
      </c>
      <c r="F44" s="32"/>
      <c r="G44" s="32"/>
      <c r="H44" s="33"/>
      <c r="I44" s="33"/>
      <c r="J44" s="33"/>
      <c r="K44" s="33"/>
      <c r="L44" s="33"/>
      <c r="M44" s="33"/>
      <c r="N44" s="33"/>
      <c r="O44" s="33"/>
      <c r="P44" s="33">
        <v>1</v>
      </c>
      <c r="Q44" s="33">
        <v>1</v>
      </c>
      <c r="R44" s="33">
        <v>3</v>
      </c>
      <c r="S44" s="33"/>
      <c r="T44" s="33"/>
      <c r="U44" s="33"/>
      <c r="V44" s="33"/>
      <c r="W44" s="33"/>
      <c r="X44" s="33"/>
      <c r="Y44" s="33"/>
      <c r="Z44" s="33"/>
      <c r="AA44" s="271"/>
      <c r="AB44" s="275">
        <v>90</v>
      </c>
      <c r="AC44" s="35">
        <f t="shared" si="2"/>
        <v>40</v>
      </c>
      <c r="AD44" s="36">
        <f t="shared" si="1"/>
        <v>0.44444444444444442</v>
      </c>
    </row>
    <row r="45" spans="2:30" ht="23.25" x14ac:dyDescent="0.35">
      <c r="B45" s="29" t="str">
        <f>VLOOKUP($D45,'Activity List CSI'!$B$4:$D$146,2,0)</f>
        <v>0305</v>
      </c>
      <c r="C45" s="232" t="str">
        <f>VLOOKUP($D45,'Activity List CSI'!$B$4:$D$146,3,0)</f>
        <v>03300-05</v>
      </c>
      <c r="D45" s="1" t="s">
        <v>84</v>
      </c>
      <c r="E45" s="261" t="s">
        <v>515</v>
      </c>
      <c r="F45" s="32"/>
      <c r="G45" s="32"/>
      <c r="H45" s="33"/>
      <c r="I45" s="33"/>
      <c r="J45" s="33"/>
      <c r="K45" s="33"/>
      <c r="L45" s="33"/>
      <c r="M45" s="33"/>
      <c r="N45" s="33"/>
      <c r="O45" s="33"/>
      <c r="P45" s="33">
        <v>1</v>
      </c>
      <c r="Q45" s="33">
        <v>1</v>
      </c>
      <c r="R45" s="33">
        <v>3</v>
      </c>
      <c r="S45" s="33"/>
      <c r="T45" s="33"/>
      <c r="U45" s="33"/>
      <c r="V45" s="33"/>
      <c r="W45" s="33"/>
      <c r="X45" s="33"/>
      <c r="Y45" s="33"/>
      <c r="Z45" s="33"/>
      <c r="AA45" s="271"/>
      <c r="AB45" s="275">
        <v>90</v>
      </c>
      <c r="AC45" s="35">
        <f t="shared" si="2"/>
        <v>40</v>
      </c>
      <c r="AD45" s="36">
        <f t="shared" si="1"/>
        <v>0.44444444444444442</v>
      </c>
    </row>
    <row r="46" spans="2:30" ht="23.25" x14ac:dyDescent="0.35">
      <c r="B46" s="29" t="str">
        <f>VLOOKUP($D46,'Activity List CSI'!$B$4:$D$146,2,0)</f>
        <v>0306</v>
      </c>
      <c r="C46" s="232" t="str">
        <f>VLOOKUP($D46,'Activity List CSI'!$B$4:$D$146,3,0)</f>
        <v>03300-06</v>
      </c>
      <c r="D46" s="1" t="s">
        <v>86</v>
      </c>
      <c r="E46" s="262" t="s">
        <v>515</v>
      </c>
      <c r="F46" s="39"/>
      <c r="G46" s="39"/>
      <c r="H46" s="40"/>
      <c r="I46" s="40"/>
      <c r="J46" s="40"/>
      <c r="K46" s="40"/>
      <c r="L46" s="40"/>
      <c r="M46" s="40"/>
      <c r="N46" s="40"/>
      <c r="O46" s="40"/>
      <c r="P46" s="40">
        <v>1</v>
      </c>
      <c r="Q46" s="40">
        <v>1</v>
      </c>
      <c r="R46" s="40">
        <v>3</v>
      </c>
      <c r="S46" s="40"/>
      <c r="T46" s="40"/>
      <c r="U46" s="40"/>
      <c r="V46" s="40"/>
      <c r="W46" s="40"/>
      <c r="X46" s="40"/>
      <c r="Y46" s="40"/>
      <c r="Z46" s="40"/>
      <c r="AA46" s="272"/>
      <c r="AB46" s="275">
        <v>90</v>
      </c>
      <c r="AC46" s="35">
        <f t="shared" si="2"/>
        <v>40</v>
      </c>
      <c r="AD46" s="36">
        <f t="shared" si="1"/>
        <v>0.44444444444444442</v>
      </c>
    </row>
    <row r="47" spans="2:30" ht="23.25" x14ac:dyDescent="0.35">
      <c r="B47" s="29" t="str">
        <f>VLOOKUP($D47,'Activity List CSI'!$B$4:$D$146,2,0)</f>
        <v>0309</v>
      </c>
      <c r="C47" s="232" t="str">
        <f>VLOOKUP($D47,'Activity List CSI'!$B$4:$D$146,3,0)</f>
        <v>03300-09</v>
      </c>
      <c r="D47" s="1" t="s">
        <v>92</v>
      </c>
      <c r="E47" s="262" t="s">
        <v>515</v>
      </c>
      <c r="F47" s="39"/>
      <c r="G47" s="39"/>
      <c r="H47" s="40"/>
      <c r="I47" s="40"/>
      <c r="J47" s="40"/>
      <c r="K47" s="40"/>
      <c r="L47" s="40"/>
      <c r="M47" s="40"/>
      <c r="N47" s="40"/>
      <c r="O47" s="40"/>
      <c r="P47" s="40">
        <v>1</v>
      </c>
      <c r="Q47" s="40">
        <v>1</v>
      </c>
      <c r="R47" s="40">
        <v>3</v>
      </c>
      <c r="S47" s="40"/>
      <c r="T47" s="40"/>
      <c r="U47" s="40"/>
      <c r="V47" s="40"/>
      <c r="W47" s="40"/>
      <c r="X47" s="40"/>
      <c r="Y47" s="40"/>
      <c r="Z47" s="40"/>
      <c r="AA47" s="272"/>
      <c r="AB47" s="275">
        <v>90</v>
      </c>
      <c r="AC47" s="35">
        <f t="shared" si="2"/>
        <v>40</v>
      </c>
      <c r="AD47" s="36">
        <f t="shared" si="1"/>
        <v>0.44444444444444442</v>
      </c>
    </row>
    <row r="48" spans="2:30" ht="23.25" x14ac:dyDescent="0.35">
      <c r="B48" s="29" t="str">
        <f>VLOOKUP($D48,'Activity List CSI'!$B$4:$D$146,2,0)</f>
        <v>0310</v>
      </c>
      <c r="C48" s="232" t="str">
        <f>VLOOKUP($D48,'Activity List CSI'!$B$4:$D$146,3,0)</f>
        <v>03300-10</v>
      </c>
      <c r="D48" s="1" t="s">
        <v>94</v>
      </c>
      <c r="E48" s="262" t="s">
        <v>515</v>
      </c>
      <c r="F48" s="39"/>
      <c r="G48" s="39"/>
      <c r="H48" s="40"/>
      <c r="I48" s="40"/>
      <c r="J48" s="40"/>
      <c r="K48" s="40"/>
      <c r="L48" s="40"/>
      <c r="M48" s="40"/>
      <c r="N48" s="40"/>
      <c r="O48" s="40"/>
      <c r="P48" s="40">
        <v>1</v>
      </c>
      <c r="Q48" s="40">
        <v>1</v>
      </c>
      <c r="R48" s="40">
        <v>3</v>
      </c>
      <c r="S48" s="40"/>
      <c r="T48" s="40"/>
      <c r="U48" s="40"/>
      <c r="V48" s="40"/>
      <c r="W48" s="40"/>
      <c r="X48" s="40"/>
      <c r="Y48" s="40"/>
      <c r="Z48" s="40"/>
      <c r="AA48" s="272"/>
      <c r="AB48" s="275">
        <v>90</v>
      </c>
      <c r="AC48" s="35">
        <f t="shared" si="2"/>
        <v>40</v>
      </c>
      <c r="AD48" s="36">
        <f t="shared" si="1"/>
        <v>0.44444444444444442</v>
      </c>
    </row>
    <row r="49" spans="2:30" ht="23.25" x14ac:dyDescent="0.35">
      <c r="B49" s="29" t="str">
        <f>VLOOKUP($D49,'Activity List CSI'!$B$4:$D$146,2,0)</f>
        <v>0312</v>
      </c>
      <c r="C49" s="232" t="str">
        <f>VLOOKUP($D49,'Activity List CSI'!$B$4:$D$146,3,0)</f>
        <v>03300-12</v>
      </c>
      <c r="D49" s="1" t="s">
        <v>98</v>
      </c>
      <c r="E49" s="262" t="s">
        <v>515</v>
      </c>
      <c r="F49" s="39"/>
      <c r="G49" s="39"/>
      <c r="H49" s="40"/>
      <c r="I49" s="40"/>
      <c r="J49" s="40"/>
      <c r="K49" s="40"/>
      <c r="L49" s="40"/>
      <c r="M49" s="40"/>
      <c r="N49" s="40"/>
      <c r="O49" s="40"/>
      <c r="P49" s="40">
        <v>1</v>
      </c>
      <c r="Q49" s="40">
        <v>1</v>
      </c>
      <c r="R49" s="40">
        <v>3</v>
      </c>
      <c r="S49" s="40"/>
      <c r="T49" s="40"/>
      <c r="U49" s="40"/>
      <c r="V49" s="40"/>
      <c r="W49" s="40"/>
      <c r="X49" s="40"/>
      <c r="Y49" s="40"/>
      <c r="Z49" s="40"/>
      <c r="AA49" s="272"/>
      <c r="AB49" s="275">
        <v>90</v>
      </c>
      <c r="AC49" s="35">
        <f t="shared" si="2"/>
        <v>40</v>
      </c>
      <c r="AD49" s="36">
        <f t="shared" si="1"/>
        <v>0.44444444444444442</v>
      </c>
    </row>
    <row r="50" spans="2:30" ht="23.25" x14ac:dyDescent="0.35">
      <c r="B50" s="29" t="str">
        <f>VLOOKUP($D50,'Activity List CSI'!$B$4:$D$146,2,0)</f>
        <v>0307</v>
      </c>
      <c r="C50" s="232" t="str">
        <f>VLOOKUP($D50,'Activity List CSI'!$B$4:$D$146,3,0)</f>
        <v>03300-07</v>
      </c>
      <c r="D50" s="1" t="s">
        <v>88</v>
      </c>
      <c r="E50" s="262" t="s">
        <v>515</v>
      </c>
      <c r="F50" s="39"/>
      <c r="G50" s="39"/>
      <c r="H50" s="40"/>
      <c r="I50" s="40"/>
      <c r="J50" s="40"/>
      <c r="K50" s="40"/>
      <c r="L50" s="40"/>
      <c r="M50" s="40"/>
      <c r="N50" s="40"/>
      <c r="O50" s="40"/>
      <c r="P50" s="40">
        <v>1</v>
      </c>
      <c r="Q50" s="40">
        <v>1</v>
      </c>
      <c r="R50" s="40">
        <v>3</v>
      </c>
      <c r="S50" s="40"/>
      <c r="T50" s="40"/>
      <c r="U50" s="40"/>
      <c r="V50" s="40"/>
      <c r="W50" s="40"/>
      <c r="X50" s="40"/>
      <c r="Y50" s="40"/>
      <c r="Z50" s="40"/>
      <c r="AA50" s="272"/>
      <c r="AB50" s="275">
        <v>90</v>
      </c>
      <c r="AC50" s="35">
        <f t="shared" si="2"/>
        <v>40</v>
      </c>
      <c r="AD50" s="36">
        <f t="shared" si="1"/>
        <v>0.44444444444444442</v>
      </c>
    </row>
    <row r="51" spans="2:30" ht="23.25" x14ac:dyDescent="0.35">
      <c r="B51" s="29" t="str">
        <f>VLOOKUP($D51,'Activity List CSI'!$B$4:$D$146,2,0)</f>
        <v>0308</v>
      </c>
      <c r="C51" s="232" t="str">
        <f>VLOOKUP($D51,'Activity List CSI'!$B$4:$D$146,3,0)</f>
        <v>03300-08</v>
      </c>
      <c r="D51" s="1" t="s">
        <v>90</v>
      </c>
      <c r="E51" s="262" t="s">
        <v>515</v>
      </c>
      <c r="F51" s="39"/>
      <c r="G51" s="39"/>
      <c r="H51" s="40"/>
      <c r="I51" s="40"/>
      <c r="J51" s="40"/>
      <c r="K51" s="40"/>
      <c r="L51" s="40"/>
      <c r="M51" s="40"/>
      <c r="N51" s="40"/>
      <c r="O51" s="40"/>
      <c r="P51" s="40">
        <v>1</v>
      </c>
      <c r="Q51" s="40">
        <v>1</v>
      </c>
      <c r="R51" s="40">
        <v>3</v>
      </c>
      <c r="S51" s="40"/>
      <c r="T51" s="40"/>
      <c r="U51" s="40"/>
      <c r="V51" s="40"/>
      <c r="W51" s="40"/>
      <c r="X51" s="40"/>
      <c r="Y51" s="40"/>
      <c r="Z51" s="40"/>
      <c r="AA51" s="272"/>
      <c r="AB51" s="275">
        <v>90</v>
      </c>
      <c r="AC51" s="35">
        <f t="shared" si="2"/>
        <v>40</v>
      </c>
      <c r="AD51" s="36">
        <f t="shared" si="1"/>
        <v>0.44444444444444442</v>
      </c>
    </row>
    <row r="52" spans="2:30" ht="23.25" x14ac:dyDescent="0.35">
      <c r="B52" s="29" t="str">
        <f>VLOOKUP($D52,'Activity List CSI'!$B$4:$D$146,2,0)</f>
        <v>0316</v>
      </c>
      <c r="C52" s="232" t="str">
        <f>VLOOKUP($D52,'Activity List CSI'!$B$4:$D$146,3,0)</f>
        <v>03300-14</v>
      </c>
      <c r="D52" s="1" t="s">
        <v>437</v>
      </c>
      <c r="E52" s="262" t="s">
        <v>513</v>
      </c>
      <c r="F52" s="39"/>
      <c r="G52" s="39"/>
      <c r="H52" s="40"/>
      <c r="I52" s="40"/>
      <c r="J52" s="40"/>
      <c r="K52" s="40"/>
      <c r="L52" s="40"/>
      <c r="M52" s="40"/>
      <c r="N52" s="40"/>
      <c r="O52" s="40"/>
      <c r="P52" s="40">
        <v>1</v>
      </c>
      <c r="Q52" s="40">
        <v>1</v>
      </c>
      <c r="R52" s="40">
        <v>3</v>
      </c>
      <c r="S52" s="40"/>
      <c r="T52" s="40"/>
      <c r="U52" s="40"/>
      <c r="V52" s="40"/>
      <c r="W52" s="40"/>
      <c r="X52" s="40"/>
      <c r="Y52" s="40"/>
      <c r="Z52" s="40"/>
      <c r="AA52" s="272"/>
      <c r="AB52" s="276">
        <f>(120/0.15)*0.75</f>
        <v>600</v>
      </c>
      <c r="AC52" s="35">
        <f t="shared" si="2"/>
        <v>40</v>
      </c>
      <c r="AD52" s="36">
        <f>(AC52/AB52)</f>
        <v>6.6666666666666666E-2</v>
      </c>
    </row>
    <row r="53" spans="2:30" ht="23.25" x14ac:dyDescent="0.35">
      <c r="B53" s="29" t="str">
        <f>VLOOKUP($D53,'Activity List CSI'!$B$4:$D$146,2,0)</f>
        <v>0313</v>
      </c>
      <c r="C53" s="232" t="str">
        <f>VLOOKUP($D53,'Activity List CSI'!$B$4:$D$146,3,0)</f>
        <v>03400-01</v>
      </c>
      <c r="D53" s="1" t="s">
        <v>100</v>
      </c>
      <c r="E53" s="262" t="s">
        <v>513</v>
      </c>
      <c r="F53" s="39"/>
      <c r="G53" s="39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>
        <v>1</v>
      </c>
      <c r="V53" s="40"/>
      <c r="W53" s="40"/>
      <c r="X53" s="40"/>
      <c r="Y53" s="40"/>
      <c r="Z53" s="40"/>
      <c r="AA53" s="272"/>
      <c r="AB53" s="276">
        <v>400</v>
      </c>
      <c r="AC53" s="35">
        <f t="shared" si="2"/>
        <v>8</v>
      </c>
      <c r="AD53" s="36">
        <f t="shared" ref="AD53:AD56" si="3">(AC53/AB53)</f>
        <v>0.02</v>
      </c>
    </row>
    <row r="54" spans="2:30" ht="23.25" x14ac:dyDescent="0.35">
      <c r="B54" s="29" t="str">
        <f>VLOOKUP($D54,'Activity List CSI'!$B$4:$D$146,2,0)</f>
        <v>0314</v>
      </c>
      <c r="C54" s="232" t="str">
        <f>VLOOKUP($D54,'Activity List CSI'!$B$4:$D$146,3,0)</f>
        <v>03400-02</v>
      </c>
      <c r="D54" s="1" t="s">
        <v>435</v>
      </c>
      <c r="E54" s="262" t="s">
        <v>513</v>
      </c>
      <c r="F54" s="39"/>
      <c r="G54" s="39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>
        <v>1</v>
      </c>
      <c r="V54" s="40"/>
      <c r="W54" s="40"/>
      <c r="X54" s="40"/>
      <c r="Y54" s="40"/>
      <c r="Z54" s="40"/>
      <c r="AA54" s="272"/>
      <c r="AB54" s="276">
        <v>50</v>
      </c>
      <c r="AC54" s="35">
        <f t="shared" si="2"/>
        <v>8</v>
      </c>
      <c r="AD54" s="36">
        <f t="shared" si="3"/>
        <v>0.16</v>
      </c>
    </row>
    <row r="55" spans="2:30" ht="23.25" x14ac:dyDescent="0.35">
      <c r="B55" s="29" t="str">
        <f>VLOOKUP($D55,'Activity List CSI'!$B$4:$D$146,2,0)</f>
        <v>0315</v>
      </c>
      <c r="C55" s="232" t="str">
        <f>VLOOKUP($D55,'Activity List CSI'!$B$4:$D$146,3,0)</f>
        <v>03300-13</v>
      </c>
      <c r="D55" s="1" t="s">
        <v>103</v>
      </c>
      <c r="E55" s="262" t="s">
        <v>515</v>
      </c>
      <c r="F55" s="39"/>
      <c r="G55" s="39"/>
      <c r="H55" s="40"/>
      <c r="I55" s="40"/>
      <c r="J55" s="40"/>
      <c r="K55" s="40"/>
      <c r="L55" s="40"/>
      <c r="M55" s="40"/>
      <c r="N55" s="40"/>
      <c r="O55" s="40"/>
      <c r="P55" s="40">
        <v>1</v>
      </c>
      <c r="Q55" s="40">
        <v>1</v>
      </c>
      <c r="R55" s="40">
        <v>3</v>
      </c>
      <c r="S55" s="40"/>
      <c r="T55" s="40"/>
      <c r="U55" s="40"/>
      <c r="V55" s="40"/>
      <c r="W55" s="40"/>
      <c r="X55" s="40"/>
      <c r="Y55" s="40"/>
      <c r="Z55" s="40"/>
      <c r="AA55" s="272"/>
      <c r="AB55" s="276">
        <v>90</v>
      </c>
      <c r="AC55" s="35">
        <f t="shared" si="2"/>
        <v>40</v>
      </c>
      <c r="AD55" s="36">
        <f t="shared" si="3"/>
        <v>0.44444444444444442</v>
      </c>
    </row>
    <row r="56" spans="2:30" ht="23.25" x14ac:dyDescent="0.35">
      <c r="B56" s="29" t="str">
        <f>VLOOKUP($D56,'Activity List CSI'!$B$4:$D$146,2,0)</f>
        <v>0709</v>
      </c>
      <c r="C56" s="232" t="str">
        <f>VLOOKUP($D56,'Activity List CSI'!$B$4:$D$146,3,0)</f>
        <v>07200-03</v>
      </c>
      <c r="D56" s="1" t="s">
        <v>135</v>
      </c>
      <c r="E56" s="262" t="s">
        <v>513</v>
      </c>
      <c r="F56" s="39"/>
      <c r="G56" s="39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>
        <v>1</v>
      </c>
      <c r="T56" s="40"/>
      <c r="U56" s="40"/>
      <c r="V56" s="40"/>
      <c r="W56" s="40"/>
      <c r="X56" s="40"/>
      <c r="Y56" s="40"/>
      <c r="Z56" s="40"/>
      <c r="AA56" s="272"/>
      <c r="AB56" s="276">
        <v>75</v>
      </c>
      <c r="AC56" s="35">
        <f t="shared" si="2"/>
        <v>8</v>
      </c>
      <c r="AD56" s="36">
        <f t="shared" si="3"/>
        <v>0.10666666666666667</v>
      </c>
    </row>
    <row r="57" spans="2:30" ht="23.25" x14ac:dyDescent="0.35">
      <c r="B57" s="29" t="str">
        <f>VLOOKUP($D57,'Activity List CSI'!$B$4:$D$146,2,0)</f>
        <v>0403</v>
      </c>
      <c r="C57" s="232" t="str">
        <f>VLOOKUP($D57,'Activity List CSI'!$B$4:$D$146,3,0)</f>
        <v>04400-01</v>
      </c>
      <c r="D57" s="1" t="s">
        <v>108</v>
      </c>
      <c r="E57" s="262" t="s">
        <v>515</v>
      </c>
      <c r="F57" s="39">
        <v>1</v>
      </c>
      <c r="G57" s="39"/>
      <c r="H57" s="40"/>
      <c r="I57" s="40">
        <v>1</v>
      </c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272"/>
      <c r="AB57" s="276">
        <v>55</v>
      </c>
      <c r="AC57" s="41">
        <f t="shared" si="2"/>
        <v>16</v>
      </c>
      <c r="AD57" s="42">
        <f t="shared" ref="AD57:AD62" si="4">(AC57/AB57)</f>
        <v>0.29090909090909089</v>
      </c>
    </row>
    <row r="58" spans="2:30" s="428" customFormat="1" ht="23.25" x14ac:dyDescent="0.35">
      <c r="B58" s="419" t="str">
        <f>VLOOKUP($D58,'Activity List CSI'!$B$4:$D$146,2,0)</f>
        <v>1505</v>
      </c>
      <c r="C58" s="420" t="str">
        <f>VLOOKUP($D58,'Activity List CSI'!$B$4:$D$146,3,0)</f>
        <v>15200-01</v>
      </c>
      <c r="D58" s="13" t="s">
        <v>295</v>
      </c>
      <c r="E58" s="429" t="s">
        <v>519</v>
      </c>
      <c r="F58" s="430"/>
      <c r="G58" s="430"/>
      <c r="H58" s="431"/>
      <c r="I58" s="431"/>
      <c r="J58" s="431"/>
      <c r="K58" s="431"/>
      <c r="L58" s="431"/>
      <c r="M58" s="431"/>
      <c r="N58" s="431"/>
      <c r="O58" s="431"/>
      <c r="P58" s="431"/>
      <c r="Q58" s="431"/>
      <c r="R58" s="431"/>
      <c r="S58" s="431"/>
      <c r="T58" s="431"/>
      <c r="U58" s="431">
        <v>0.5</v>
      </c>
      <c r="V58" s="431"/>
      <c r="W58" s="431"/>
      <c r="X58" s="431"/>
      <c r="Y58" s="431"/>
      <c r="Z58" s="431"/>
      <c r="AA58" s="432"/>
      <c r="AB58" s="433">
        <v>6.75</v>
      </c>
      <c r="AC58" s="434">
        <f t="shared" si="2"/>
        <v>4</v>
      </c>
      <c r="AD58" s="435">
        <f t="shared" si="4"/>
        <v>0.59259259259259256</v>
      </c>
    </row>
    <row r="59" spans="2:30" s="428" customFormat="1" ht="23.25" x14ac:dyDescent="0.35">
      <c r="B59" s="419" t="str">
        <f>VLOOKUP($D59,'Activity List CSI'!$B$4:$D$146,2,0)</f>
        <v>1506</v>
      </c>
      <c r="C59" s="420" t="str">
        <f>VLOOKUP($D59,'Activity List CSI'!$B$4:$D$146,3,0)</f>
        <v>15200-02</v>
      </c>
      <c r="D59" s="13" t="s">
        <v>296</v>
      </c>
      <c r="E59" s="429" t="s">
        <v>519</v>
      </c>
      <c r="F59" s="430"/>
      <c r="G59" s="430"/>
      <c r="H59" s="431"/>
      <c r="I59" s="431"/>
      <c r="J59" s="431"/>
      <c r="K59" s="431"/>
      <c r="L59" s="431"/>
      <c r="M59" s="431"/>
      <c r="N59" s="431"/>
      <c r="O59" s="431"/>
      <c r="P59" s="431"/>
      <c r="Q59" s="431"/>
      <c r="R59" s="431"/>
      <c r="S59" s="431"/>
      <c r="T59" s="431"/>
      <c r="U59" s="431">
        <v>0.5</v>
      </c>
      <c r="V59" s="431"/>
      <c r="W59" s="431"/>
      <c r="X59" s="431"/>
      <c r="Y59" s="431"/>
      <c r="Z59" s="431"/>
      <c r="AA59" s="432"/>
      <c r="AB59" s="433">
        <v>4.5</v>
      </c>
      <c r="AC59" s="434">
        <f t="shared" si="2"/>
        <v>4</v>
      </c>
      <c r="AD59" s="435">
        <f t="shared" si="4"/>
        <v>0.88888888888888884</v>
      </c>
    </row>
    <row r="60" spans="2:30" s="428" customFormat="1" ht="23.25" x14ac:dyDescent="0.35">
      <c r="B60" s="419" t="str">
        <f>VLOOKUP($D60,'Activity List CSI'!$B$4:$D$146,2,0)</f>
        <v>1507</v>
      </c>
      <c r="C60" s="420" t="str">
        <f>VLOOKUP($D60,'Activity List CSI'!$B$4:$D$146,3,0)</f>
        <v>15200-03</v>
      </c>
      <c r="D60" s="13" t="s">
        <v>297</v>
      </c>
      <c r="E60" s="429" t="s">
        <v>519</v>
      </c>
      <c r="F60" s="430"/>
      <c r="G60" s="430"/>
      <c r="H60" s="431"/>
      <c r="I60" s="431"/>
      <c r="J60" s="431"/>
      <c r="K60" s="431"/>
      <c r="L60" s="431"/>
      <c r="M60" s="431"/>
      <c r="N60" s="431"/>
      <c r="O60" s="431"/>
      <c r="P60" s="431"/>
      <c r="Q60" s="431"/>
      <c r="R60" s="431"/>
      <c r="S60" s="431"/>
      <c r="T60" s="431"/>
      <c r="U60" s="431">
        <v>0.5</v>
      </c>
      <c r="V60" s="431"/>
      <c r="W60" s="431"/>
      <c r="X60" s="431"/>
      <c r="Y60" s="431"/>
      <c r="Z60" s="431"/>
      <c r="AA60" s="432"/>
      <c r="AB60" s="433">
        <f>45*0.75</f>
        <v>33.75</v>
      </c>
      <c r="AC60" s="434">
        <f t="shared" si="2"/>
        <v>4</v>
      </c>
      <c r="AD60" s="435">
        <f t="shared" si="4"/>
        <v>0.11851851851851852</v>
      </c>
    </row>
    <row r="61" spans="2:30" s="428" customFormat="1" ht="23.25" x14ac:dyDescent="0.35">
      <c r="B61" s="419" t="str">
        <f>VLOOKUP($D61,'Activity List CSI'!$B$4:$D$146,2,0)</f>
        <v>1509</v>
      </c>
      <c r="C61" s="420" t="str">
        <f>VLOOKUP($D61,'Activity List CSI'!$B$4:$D$146,3,0)</f>
        <v>15200-05</v>
      </c>
      <c r="D61" s="13" t="s">
        <v>299</v>
      </c>
      <c r="E61" s="429" t="s">
        <v>519</v>
      </c>
      <c r="F61" s="430"/>
      <c r="G61" s="430"/>
      <c r="H61" s="431"/>
      <c r="I61" s="431"/>
      <c r="J61" s="431"/>
      <c r="K61" s="431"/>
      <c r="L61" s="431"/>
      <c r="M61" s="431"/>
      <c r="N61" s="431"/>
      <c r="O61" s="431"/>
      <c r="P61" s="431"/>
      <c r="Q61" s="431"/>
      <c r="R61" s="431"/>
      <c r="S61" s="431"/>
      <c r="T61" s="431"/>
      <c r="U61" s="431">
        <v>0.5</v>
      </c>
      <c r="V61" s="431"/>
      <c r="W61" s="431"/>
      <c r="X61" s="431"/>
      <c r="Y61" s="431"/>
      <c r="Z61" s="431"/>
      <c r="AA61" s="432"/>
      <c r="AB61" s="433">
        <f>27*0.75</f>
        <v>20.25</v>
      </c>
      <c r="AC61" s="434">
        <f t="shared" si="2"/>
        <v>4</v>
      </c>
      <c r="AD61" s="435">
        <f t="shared" si="4"/>
        <v>0.19753086419753085</v>
      </c>
    </row>
    <row r="62" spans="2:30" s="428" customFormat="1" ht="24" thickBot="1" x14ac:dyDescent="0.4">
      <c r="B62" s="436" t="str">
        <f>VLOOKUP($D62,'Activity List CSI'!$B$4:$D$146,2,0)</f>
        <v>1510</v>
      </c>
      <c r="C62" s="437" t="str">
        <f>VLOOKUP($D62,'Activity List CSI'!$B$4:$D$146,3,0)</f>
        <v>15200-06</v>
      </c>
      <c r="D62" s="438" t="s">
        <v>410</v>
      </c>
      <c r="E62" s="439" t="s">
        <v>512</v>
      </c>
      <c r="F62" s="440"/>
      <c r="G62" s="440"/>
      <c r="H62" s="441"/>
      <c r="I62" s="441"/>
      <c r="J62" s="441"/>
      <c r="K62" s="441"/>
      <c r="L62" s="441"/>
      <c r="M62" s="441"/>
      <c r="N62" s="441"/>
      <c r="O62" s="441"/>
      <c r="P62" s="441"/>
      <c r="Q62" s="441"/>
      <c r="R62" s="441"/>
      <c r="S62" s="441"/>
      <c r="T62" s="441"/>
      <c r="U62" s="441">
        <v>0.375</v>
      </c>
      <c r="V62" s="441"/>
      <c r="W62" s="441"/>
      <c r="X62" s="441"/>
      <c r="Y62" s="441"/>
      <c r="Z62" s="441"/>
      <c r="AA62" s="442"/>
      <c r="AB62" s="443">
        <f>1.65*0.75</f>
        <v>1.2374999999999998</v>
      </c>
      <c r="AC62" s="444">
        <f t="shared" si="2"/>
        <v>3</v>
      </c>
      <c r="AD62" s="445">
        <f t="shared" si="4"/>
        <v>2.4242424242424248</v>
      </c>
    </row>
    <row r="63" spans="2:30" ht="15.75" thickTop="1" x14ac:dyDescent="0.25"/>
  </sheetData>
  <pageMargins left="0.7" right="0.7" top="0.75" bottom="0.75" header="0.3" footer="0.3"/>
  <pageSetup paperSize="8" scale="49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AA63"/>
  <sheetViews>
    <sheetView topLeftCell="A40" zoomScale="70" zoomScaleNormal="70" workbookViewId="0">
      <selection activeCell="W5" sqref="W5"/>
    </sheetView>
  </sheetViews>
  <sheetFormatPr defaultRowHeight="15" outlineLevelCol="1" x14ac:dyDescent="0.25"/>
  <cols>
    <col min="1" max="1" width="4.28515625" customWidth="1"/>
    <col min="2" max="2" width="18.140625" customWidth="1"/>
    <col min="3" max="3" width="20.85546875" customWidth="1"/>
    <col min="4" max="4" width="84.140625" customWidth="1"/>
    <col min="5" max="5" width="16.85546875" customWidth="1"/>
    <col min="6" max="27" width="10.5703125" customWidth="1" outlineLevel="1"/>
    <col min="28" max="28" width="15.42578125" bestFit="1" customWidth="1"/>
    <col min="29" max="30" width="11.28515625" customWidth="1"/>
    <col min="31" max="31" width="17" bestFit="1" customWidth="1"/>
    <col min="32" max="32" width="10.7109375" customWidth="1"/>
    <col min="33" max="33" width="11.28515625" customWidth="1"/>
    <col min="34" max="34" width="14.85546875" customWidth="1"/>
    <col min="36" max="36" width="16.5703125" customWidth="1"/>
  </cols>
  <sheetData>
    <row r="2" spans="2:27" ht="32.25" thickBot="1" x14ac:dyDescent="0.55000000000000004">
      <c r="B2" s="26" t="s">
        <v>1143</v>
      </c>
      <c r="C2" s="26"/>
      <c r="D2" s="25"/>
    </row>
    <row r="3" spans="2:27" s="28" customFormat="1" ht="116.25" customHeight="1" thickTop="1" thickBot="1" x14ac:dyDescent="0.3">
      <c r="B3" s="213" t="s">
        <v>905</v>
      </c>
      <c r="C3" s="235" t="s">
        <v>15</v>
      </c>
      <c r="D3" s="214" t="s">
        <v>521</v>
      </c>
      <c r="E3" s="215" t="s">
        <v>511</v>
      </c>
      <c r="F3" s="253" t="s">
        <v>688</v>
      </c>
      <c r="G3" s="254" t="s">
        <v>701</v>
      </c>
      <c r="H3" s="255" t="s">
        <v>689</v>
      </c>
      <c r="I3" s="255" t="s">
        <v>690</v>
      </c>
      <c r="J3" s="255" t="s">
        <v>691</v>
      </c>
      <c r="K3" s="255" t="s">
        <v>693</v>
      </c>
      <c r="L3" s="255" t="s">
        <v>713</v>
      </c>
      <c r="M3" s="255" t="s">
        <v>694</v>
      </c>
      <c r="N3" s="255" t="s">
        <v>695</v>
      </c>
      <c r="O3" s="255" t="s">
        <v>696</v>
      </c>
      <c r="P3" s="255" t="s">
        <v>702</v>
      </c>
      <c r="Q3" s="255" t="s">
        <v>703</v>
      </c>
      <c r="R3" s="255" t="s">
        <v>704</v>
      </c>
      <c r="S3" s="255" t="s">
        <v>705</v>
      </c>
      <c r="T3" s="255" t="s">
        <v>692</v>
      </c>
      <c r="U3" s="255" t="s">
        <v>708</v>
      </c>
      <c r="V3" s="255" t="s">
        <v>706</v>
      </c>
      <c r="W3" s="255" t="s">
        <v>697</v>
      </c>
      <c r="X3" s="255" t="s">
        <v>699</v>
      </c>
      <c r="Y3" s="255" t="s">
        <v>698</v>
      </c>
      <c r="Z3" s="255" t="s">
        <v>784</v>
      </c>
      <c r="AA3" s="256" t="s">
        <v>707</v>
      </c>
    </row>
    <row r="4" spans="2:27" s="28" customFormat="1" ht="80.25" customHeight="1" thickBot="1" x14ac:dyDescent="0.3">
      <c r="B4" s="237"/>
      <c r="C4" s="238"/>
      <c r="D4" s="239"/>
      <c r="E4" s="240"/>
      <c r="F4" s="249" t="str">
        <f>VLOOKUP(F3,'List of Unique Machinary'!$B$6:$C$71,2,0)</f>
        <v>02300405</v>
      </c>
      <c r="G4" s="250" t="str">
        <f>VLOOKUP(G3,'List of Unique Machinary'!$B$6:$C$71,2,0)</f>
        <v>02200405</v>
      </c>
      <c r="H4" s="251" t="str">
        <f>VLOOKUP(H3,'List of Unique Machinary'!$B$6:$C$71,2,0)</f>
        <v>02300410</v>
      </c>
      <c r="I4" s="251" t="str">
        <f>VLOOKUP(I3,'List of Unique Machinary'!$B$6:$C$71,2,0)</f>
        <v>02300415</v>
      </c>
      <c r="J4" s="251" t="str">
        <f>VLOOKUP(J3,'List of Unique Machinary'!$B$6:$C$71,2,0)</f>
        <v>02300420</v>
      </c>
      <c r="K4" s="251" t="str">
        <f>VLOOKUP(K3,'List of Unique Machinary'!$B$6:$C$71,2,0)</f>
        <v>02300425</v>
      </c>
      <c r="L4" s="251" t="str">
        <f>VLOOKUP(L3,'List of Unique Machinary'!$B$6:$C$71,2,0)</f>
        <v>02100405</v>
      </c>
      <c r="M4" s="251" t="str">
        <f>VLOOKUP(M3,'List of Unique Machinary'!$B$6:$C$71,2,0)</f>
        <v>02300430</v>
      </c>
      <c r="N4" s="251" t="str">
        <f>VLOOKUP(N3,'List of Unique Machinary'!$B$6:$C$71,2,0)</f>
        <v>02700435</v>
      </c>
      <c r="O4" s="251" t="str">
        <f>VLOOKUP(O3,'List of Unique Machinary'!$B$6:$C$71,2,0)</f>
        <v>02300440</v>
      </c>
      <c r="P4" s="251" t="str">
        <f>VLOOKUP(P3,'List of Unique Machinary'!$B$6:$C$71,2,0)</f>
        <v>03300405</v>
      </c>
      <c r="Q4" s="251" t="str">
        <f>VLOOKUP(Q3,'List of Unique Machinary'!$B$6:$C$71,2,0)</f>
        <v>03300410</v>
      </c>
      <c r="R4" s="251" t="str">
        <f>VLOOKUP(R3,'List of Unique Machinary'!$B$6:$C$71,2,0)</f>
        <v>03300415</v>
      </c>
      <c r="S4" s="251" t="str">
        <f>VLOOKUP(S3,'List of Unique Machinary'!$B$6:$C$71,2,0)</f>
        <v>07200405</v>
      </c>
      <c r="T4" s="251" t="str">
        <f>VLOOKUP(T3,'List of Unique Machinary'!$B$6:$C$71,2,0)</f>
        <v>02300445</v>
      </c>
      <c r="U4" s="251" t="str">
        <f>VLOOKUP(U3,'List of Unique Machinary'!$B$6:$C$71,2,0)</f>
        <v>03400405</v>
      </c>
      <c r="V4" s="251" t="str">
        <f>VLOOKUP(V3,'List of Unique Machinary'!$B$6:$C$71,2,0)</f>
        <v>02700440</v>
      </c>
      <c r="W4" s="251" t="str">
        <f>VLOOKUP(W3,'List of Unique Machinary'!$B$6:$C$71,2,0)</f>
        <v>02700415</v>
      </c>
      <c r="X4" s="251" t="str">
        <f>VLOOKUP(X3,'List of Unique Machinary'!$B$6:$C$71,2,0)</f>
        <v>02700420</v>
      </c>
      <c r="Y4" s="251" t="str">
        <f>VLOOKUP(Y3,'List of Unique Machinary'!$B$6:$C$71,2,0)</f>
        <v>02700425</v>
      </c>
      <c r="Z4" s="251" t="str">
        <f>VLOOKUP(Z3,'List of Unique Machinary'!$B$6:$C$71,2,0)</f>
        <v>09900405</v>
      </c>
      <c r="AA4" s="252" t="str">
        <f>VLOOKUP(AA3,'List of Unique Machinary'!$B$6:$C$71,2,0)</f>
        <v>02700410</v>
      </c>
    </row>
    <row r="5" spans="2:27" ht="19.5" thickTop="1" x14ac:dyDescent="0.3">
      <c r="B5" s="241" t="str">
        <f>VLOOKUP(D5,'Activity List CSI'!$B$4:$D$146,2,0)</f>
        <v>0201</v>
      </c>
      <c r="C5" s="242" t="str">
        <f>VLOOKUP(D5,'Activity List CSI'!$B$4:$D$146,3,0)</f>
        <v>02300-01</v>
      </c>
      <c r="D5" s="243" t="s">
        <v>18</v>
      </c>
      <c r="E5" s="244" t="s">
        <v>515</v>
      </c>
      <c r="F5" s="245">
        <f>'Machinary PR'!F5*8/'Machinary PR'!$AB5</f>
        <v>2.5974025974025976E-2</v>
      </c>
      <c r="G5" s="246">
        <f>'Machinary PR'!G5*8/'Machinary PR'!$AB5</f>
        <v>0</v>
      </c>
      <c r="H5" s="247">
        <f>'Machinary PR'!H5*8/'Machinary PR'!$AB5</f>
        <v>0</v>
      </c>
      <c r="I5" s="247">
        <f>'Machinary PR'!I5*8/'Machinary PR'!$AB5</f>
        <v>0</v>
      </c>
      <c r="J5" s="247">
        <f>'Machinary PR'!J5*8/'Machinary PR'!$AB5</f>
        <v>0</v>
      </c>
      <c r="K5" s="247">
        <f>'Machinary PR'!K5*8/'Machinary PR'!$AB5</f>
        <v>0</v>
      </c>
      <c r="L5" s="247">
        <f>'Machinary PR'!L5*8/'Machinary PR'!$AB5</f>
        <v>0</v>
      </c>
      <c r="M5" s="247">
        <f>'Machinary PR'!M5*8/'Machinary PR'!$AB5</f>
        <v>0</v>
      </c>
      <c r="N5" s="247">
        <f>'Machinary PR'!N5*8/'Machinary PR'!$AB5</f>
        <v>0</v>
      </c>
      <c r="O5" s="247">
        <f>'Machinary PR'!O5*8/'Machinary PR'!$AB5</f>
        <v>0</v>
      </c>
      <c r="P5" s="247">
        <f>'Machinary PR'!P5*8/'Machinary PR'!$AB5</f>
        <v>0</v>
      </c>
      <c r="Q5" s="247">
        <f>'Machinary PR'!Q5*8/'Machinary PR'!$AB5</f>
        <v>0</v>
      </c>
      <c r="R5" s="247">
        <f>'Machinary PR'!R5*8/'Machinary PR'!$AB5</f>
        <v>0</v>
      </c>
      <c r="S5" s="247">
        <f>'Machinary PR'!S5*8/'Machinary PR'!$AB5</f>
        <v>0</v>
      </c>
      <c r="T5" s="247">
        <f>'Machinary PR'!T5*8/'Machinary PR'!$AB5</f>
        <v>0</v>
      </c>
      <c r="U5" s="247">
        <f>'Machinary PR'!U5*8/'Machinary PR'!$AB5</f>
        <v>0</v>
      </c>
      <c r="V5" s="247">
        <f>'Machinary PR'!V5*8/'Machinary PR'!$AB5</f>
        <v>0</v>
      </c>
      <c r="W5" s="247">
        <f>'Machinary PR'!W5*8/'Machinary PR'!$AB5</f>
        <v>0</v>
      </c>
      <c r="X5" s="247">
        <f>'Machinary PR'!X5*8/'Machinary PR'!$AB5</f>
        <v>0</v>
      </c>
      <c r="Y5" s="247">
        <f>'Machinary PR'!Y5*8/'Machinary PR'!$AB5</f>
        <v>0</v>
      </c>
      <c r="Z5" s="247">
        <f>'Machinary PR'!Z5*8/'Machinary PR'!$AB5</f>
        <v>0</v>
      </c>
      <c r="AA5" s="248">
        <f>'Machinary PR'!AA5*8/'Machinary PR'!$AB5</f>
        <v>0</v>
      </c>
    </row>
    <row r="6" spans="2:27" ht="18.75" x14ac:dyDescent="0.3">
      <c r="B6" s="29" t="str">
        <f>VLOOKUP(D6,'Activity List CSI'!$B$4:$D$146,2,0)</f>
        <v>0202</v>
      </c>
      <c r="C6" s="232" t="str">
        <f>VLOOKUP(D6,'Activity List CSI'!$B$4:$D$146,3,0)</f>
        <v>02300-02</v>
      </c>
      <c r="D6" s="1" t="s">
        <v>19</v>
      </c>
      <c r="E6" s="30" t="s">
        <v>515</v>
      </c>
      <c r="F6" s="218">
        <f>'Machinary PR'!F6*8/'Machinary PR'!$AB6</f>
        <v>5.0632911392405063E-2</v>
      </c>
      <c r="G6" s="219">
        <f>'Machinary PR'!G6*8/'Machinary PR'!$AB6</f>
        <v>0</v>
      </c>
      <c r="H6" s="220">
        <f>'Machinary PR'!H6*8/'Machinary PR'!$AB6</f>
        <v>0</v>
      </c>
      <c r="I6" s="220">
        <f>'Machinary PR'!I6*8/'Machinary PR'!$AB6</f>
        <v>0</v>
      </c>
      <c r="J6" s="220">
        <f>'Machinary PR'!J6*8/'Machinary PR'!$AB6</f>
        <v>0</v>
      </c>
      <c r="K6" s="220">
        <f>'Machinary PR'!K6*8/'Machinary PR'!$AB6</f>
        <v>0</v>
      </c>
      <c r="L6" s="220">
        <f>'Machinary PR'!L6*8/'Machinary PR'!$AB6</f>
        <v>0</v>
      </c>
      <c r="M6" s="220">
        <f>'Machinary PR'!M6*8/'Machinary PR'!$AB6</f>
        <v>0</v>
      </c>
      <c r="N6" s="220">
        <f>'Machinary PR'!N6*8/'Machinary PR'!$AB6</f>
        <v>0</v>
      </c>
      <c r="O6" s="220">
        <f>'Machinary PR'!O6*8/'Machinary PR'!$AB6</f>
        <v>0</v>
      </c>
      <c r="P6" s="220">
        <f>'Machinary PR'!P6*8/'Machinary PR'!$AB6</f>
        <v>0</v>
      </c>
      <c r="Q6" s="220">
        <f>'Machinary PR'!Q6*8/'Machinary PR'!$AB6</f>
        <v>0</v>
      </c>
      <c r="R6" s="220">
        <f>'Machinary PR'!R6*8/'Machinary PR'!$AB6</f>
        <v>0</v>
      </c>
      <c r="S6" s="220">
        <f>'Machinary PR'!S6*8/'Machinary PR'!$AB6</f>
        <v>0</v>
      </c>
      <c r="T6" s="220">
        <f>'Machinary PR'!T6*8/'Machinary PR'!$AB6</f>
        <v>0</v>
      </c>
      <c r="U6" s="220">
        <f>'Machinary PR'!U6*8/'Machinary PR'!$AB6</f>
        <v>0</v>
      </c>
      <c r="V6" s="220">
        <f>'Machinary PR'!V6*8/'Machinary PR'!$AB6</f>
        <v>0</v>
      </c>
      <c r="W6" s="220">
        <f>'Machinary PR'!W6*8/'Machinary PR'!$AB6</f>
        <v>0</v>
      </c>
      <c r="X6" s="220">
        <f>'Machinary PR'!X6*8/'Machinary PR'!$AB6</f>
        <v>0</v>
      </c>
      <c r="Y6" s="220">
        <f>'Machinary PR'!Y6*8/'Machinary PR'!$AB6</f>
        <v>0</v>
      </c>
      <c r="Z6" s="220">
        <f>'Machinary PR'!Z6*8/'Machinary PR'!$AB6</f>
        <v>0</v>
      </c>
      <c r="AA6" s="229">
        <f>'Machinary PR'!AA6*8/'Machinary PR'!$AB6</f>
        <v>0</v>
      </c>
    </row>
    <row r="7" spans="2:27" ht="18.75" x14ac:dyDescent="0.3">
      <c r="B7" s="29" t="str">
        <f>VLOOKUP(D7,'Activity List CSI'!$B$4:$D$146,2,0)</f>
        <v>0203</v>
      </c>
      <c r="C7" s="232" t="str">
        <f>VLOOKUP(D7,'Activity List CSI'!$B$4:$D$146,3,0)</f>
        <v>02300-03</v>
      </c>
      <c r="D7" s="1" t="s">
        <v>20</v>
      </c>
      <c r="E7" s="30" t="s">
        <v>515</v>
      </c>
      <c r="F7" s="218">
        <f>'Machinary PR'!F7*8/'Machinary PR'!$AB7</f>
        <v>0.32</v>
      </c>
      <c r="G7" s="219">
        <f>'Machinary PR'!G7*8/'Machinary PR'!$AB7</f>
        <v>0</v>
      </c>
      <c r="H7" s="220">
        <f>'Machinary PR'!H7*8/'Machinary PR'!$AB7</f>
        <v>0.32</v>
      </c>
      <c r="I7" s="220">
        <f>'Machinary PR'!I7*8/'Machinary PR'!$AB7</f>
        <v>0</v>
      </c>
      <c r="J7" s="220">
        <f>'Machinary PR'!J7*8/'Machinary PR'!$AB7</f>
        <v>0</v>
      </c>
      <c r="K7" s="220">
        <f>'Machinary PR'!K7*8/'Machinary PR'!$AB7</f>
        <v>0</v>
      </c>
      <c r="L7" s="220">
        <f>'Machinary PR'!L7*8/'Machinary PR'!$AB7</f>
        <v>0</v>
      </c>
      <c r="M7" s="220">
        <f>'Machinary PR'!M7*8/'Machinary PR'!$AB7</f>
        <v>0</v>
      </c>
      <c r="N7" s="220">
        <f>'Machinary PR'!N7*8/'Machinary PR'!$AB7</f>
        <v>0</v>
      </c>
      <c r="O7" s="220">
        <f>'Machinary PR'!O7*8/'Machinary PR'!$AB7</f>
        <v>0</v>
      </c>
      <c r="P7" s="220">
        <f>'Machinary PR'!P7*8/'Machinary PR'!$AB7</f>
        <v>0</v>
      </c>
      <c r="Q7" s="220">
        <f>'Machinary PR'!Q7*8/'Machinary PR'!$AB7</f>
        <v>0</v>
      </c>
      <c r="R7" s="220">
        <f>'Machinary PR'!R7*8/'Machinary PR'!$AB7</f>
        <v>0</v>
      </c>
      <c r="S7" s="220">
        <f>'Machinary PR'!S7*8/'Machinary PR'!$AB7</f>
        <v>0</v>
      </c>
      <c r="T7" s="220">
        <f>'Machinary PR'!T7*8/'Machinary PR'!$AB7</f>
        <v>0</v>
      </c>
      <c r="U7" s="220">
        <f>'Machinary PR'!U7*8/'Machinary PR'!$AB7</f>
        <v>0</v>
      </c>
      <c r="V7" s="220">
        <f>'Machinary PR'!V7*8/'Machinary PR'!$AB7</f>
        <v>0</v>
      </c>
      <c r="W7" s="220">
        <f>'Machinary PR'!W7*8/'Machinary PR'!$AB7</f>
        <v>0</v>
      </c>
      <c r="X7" s="220">
        <f>'Machinary PR'!X7*8/'Machinary PR'!$AB7</f>
        <v>0</v>
      </c>
      <c r="Y7" s="220">
        <f>'Machinary PR'!Y7*8/'Machinary PR'!$AB7</f>
        <v>0</v>
      </c>
      <c r="Z7" s="220">
        <f>'Machinary PR'!Z7*8/'Machinary PR'!$AB7</f>
        <v>0</v>
      </c>
      <c r="AA7" s="229">
        <f>'Machinary PR'!AA7*8/'Machinary PR'!$AB7</f>
        <v>0</v>
      </c>
    </row>
    <row r="8" spans="2:27" ht="18.75" x14ac:dyDescent="0.3">
      <c r="B8" s="29" t="str">
        <f>VLOOKUP(D8,'Activity List CSI'!$B$4:$D$146,2,0)</f>
        <v>0204</v>
      </c>
      <c r="C8" s="232" t="str">
        <f>VLOOKUP(D8,'Activity List CSI'!$B$4:$D$146,3,0)</f>
        <v>02300-04</v>
      </c>
      <c r="D8" s="1" t="s">
        <v>21</v>
      </c>
      <c r="E8" s="30" t="s">
        <v>515</v>
      </c>
      <c r="F8" s="218">
        <f>'Machinary PR'!F8*8/'Machinary PR'!$AB8</f>
        <v>2.6666666666666668E-2</v>
      </c>
      <c r="G8" s="219">
        <f>'Machinary PR'!G8*8/'Machinary PR'!$AB8</f>
        <v>0</v>
      </c>
      <c r="H8" s="220">
        <f>'Machinary PR'!H8*8/'Machinary PR'!$AB8</f>
        <v>0</v>
      </c>
      <c r="I8" s="220">
        <f>'Machinary PR'!I8*8/'Machinary PR'!$AB8</f>
        <v>2.6666666666666668E-2</v>
      </c>
      <c r="J8" s="220">
        <f>'Machinary PR'!J8*8/'Machinary PR'!$AB8</f>
        <v>5.3333333333333337E-2</v>
      </c>
      <c r="K8" s="220">
        <f>'Machinary PR'!K8*8/'Machinary PR'!$AB8</f>
        <v>0</v>
      </c>
      <c r="L8" s="220">
        <f>'Machinary PR'!L8*8/'Machinary PR'!$AB8</f>
        <v>0</v>
      </c>
      <c r="M8" s="220">
        <f>'Machinary PR'!M8*8/'Machinary PR'!$AB8</f>
        <v>0</v>
      </c>
      <c r="N8" s="220">
        <f>'Machinary PR'!N8*8/'Machinary PR'!$AB8</f>
        <v>0</v>
      </c>
      <c r="O8" s="220">
        <f>'Machinary PR'!O8*8/'Machinary PR'!$AB8</f>
        <v>0</v>
      </c>
      <c r="P8" s="220">
        <f>'Machinary PR'!P8*8/'Machinary PR'!$AB8</f>
        <v>0</v>
      </c>
      <c r="Q8" s="220">
        <f>'Machinary PR'!Q8*8/'Machinary PR'!$AB8</f>
        <v>0</v>
      </c>
      <c r="R8" s="220">
        <f>'Machinary PR'!R8*8/'Machinary PR'!$AB8</f>
        <v>0</v>
      </c>
      <c r="S8" s="220">
        <f>'Machinary PR'!S8*8/'Machinary PR'!$AB8</f>
        <v>0</v>
      </c>
      <c r="T8" s="220">
        <f>'Machinary PR'!T8*8/'Machinary PR'!$AB8</f>
        <v>0</v>
      </c>
      <c r="U8" s="220">
        <f>'Machinary PR'!U8*8/'Machinary PR'!$AB8</f>
        <v>0</v>
      </c>
      <c r="V8" s="220">
        <f>'Machinary PR'!V8*8/'Machinary PR'!$AB8</f>
        <v>0</v>
      </c>
      <c r="W8" s="220">
        <f>'Machinary PR'!W8*8/'Machinary PR'!$AB8</f>
        <v>0</v>
      </c>
      <c r="X8" s="220">
        <f>'Machinary PR'!X8*8/'Machinary PR'!$AB8</f>
        <v>0</v>
      </c>
      <c r="Y8" s="220">
        <f>'Machinary PR'!Y8*8/'Machinary PR'!$AB8</f>
        <v>0</v>
      </c>
      <c r="Z8" s="220">
        <f>'Machinary PR'!Z8*8/'Machinary PR'!$AB8</f>
        <v>0</v>
      </c>
      <c r="AA8" s="229">
        <f>'Machinary PR'!AA8*8/'Machinary PR'!$AB8</f>
        <v>0</v>
      </c>
    </row>
    <row r="9" spans="2:27" ht="18.75" x14ac:dyDescent="0.3">
      <c r="B9" s="29" t="str">
        <f>VLOOKUP(D9,'Activity List CSI'!$B$4:$D$146,2,0)</f>
        <v>0205</v>
      </c>
      <c r="C9" s="232" t="str">
        <f>VLOOKUP(D9,'Activity List CSI'!$B$4:$D$146,3,0)</f>
        <v>02300-05</v>
      </c>
      <c r="D9" s="1" t="s">
        <v>22</v>
      </c>
      <c r="E9" s="30" t="s">
        <v>515</v>
      </c>
      <c r="F9" s="218">
        <f>'Machinary PR'!F9*8/'Machinary PR'!$AB9</f>
        <v>0.04</v>
      </c>
      <c r="G9" s="219">
        <f>'Machinary PR'!G9*8/'Machinary PR'!$AB9</f>
        <v>0</v>
      </c>
      <c r="H9" s="220">
        <f>'Machinary PR'!H9*8/'Machinary PR'!$AB9</f>
        <v>0</v>
      </c>
      <c r="I9" s="220">
        <f>'Machinary PR'!I9*8/'Machinary PR'!$AB9</f>
        <v>0.04</v>
      </c>
      <c r="J9" s="220">
        <f>'Machinary PR'!J9*8/'Machinary PR'!$AB9</f>
        <v>0.08</v>
      </c>
      <c r="K9" s="220">
        <f>'Machinary PR'!K9*8/'Machinary PR'!$AB9</f>
        <v>0</v>
      </c>
      <c r="L9" s="220">
        <f>'Machinary PR'!L9*8/'Machinary PR'!$AB9</f>
        <v>0</v>
      </c>
      <c r="M9" s="220">
        <f>'Machinary PR'!M9*8/'Machinary PR'!$AB9</f>
        <v>0</v>
      </c>
      <c r="N9" s="220">
        <f>'Machinary PR'!N9*8/'Machinary PR'!$AB9</f>
        <v>0</v>
      </c>
      <c r="O9" s="220">
        <f>'Machinary PR'!O9*8/'Machinary PR'!$AB9</f>
        <v>0</v>
      </c>
      <c r="P9" s="220">
        <f>'Machinary PR'!P9*8/'Machinary PR'!$AB9</f>
        <v>0</v>
      </c>
      <c r="Q9" s="220">
        <f>'Machinary PR'!Q9*8/'Machinary PR'!$AB9</f>
        <v>0</v>
      </c>
      <c r="R9" s="220">
        <f>'Machinary PR'!R9*8/'Machinary PR'!$AB9</f>
        <v>0</v>
      </c>
      <c r="S9" s="220">
        <f>'Machinary PR'!S9*8/'Machinary PR'!$AB9</f>
        <v>0</v>
      </c>
      <c r="T9" s="220">
        <f>'Machinary PR'!T9*8/'Machinary PR'!$AB9</f>
        <v>0</v>
      </c>
      <c r="U9" s="220">
        <f>'Machinary PR'!U9*8/'Machinary PR'!$AB9</f>
        <v>0</v>
      </c>
      <c r="V9" s="220">
        <f>'Machinary PR'!V9*8/'Machinary PR'!$AB9</f>
        <v>0</v>
      </c>
      <c r="W9" s="220">
        <f>'Machinary PR'!W9*8/'Machinary PR'!$AB9</f>
        <v>0</v>
      </c>
      <c r="X9" s="220">
        <f>'Machinary PR'!X9*8/'Machinary PR'!$AB9</f>
        <v>0</v>
      </c>
      <c r="Y9" s="220">
        <f>'Machinary PR'!Y9*8/'Machinary PR'!$AB9</f>
        <v>0</v>
      </c>
      <c r="Z9" s="220">
        <f>'Machinary PR'!Z9*8/'Machinary PR'!$AB9</f>
        <v>0</v>
      </c>
      <c r="AA9" s="229">
        <f>'Machinary PR'!AA9*8/'Machinary PR'!$AB9</f>
        <v>0</v>
      </c>
    </row>
    <row r="10" spans="2:27" ht="18.75" x14ac:dyDescent="0.3">
      <c r="B10" s="29" t="str">
        <f>VLOOKUP(D10,'Activity List CSI'!$B$4:$D$146,2,0)</f>
        <v>0206</v>
      </c>
      <c r="C10" s="232" t="str">
        <f>VLOOKUP(D10,'Activity List CSI'!$B$4:$D$146,3,0)</f>
        <v>02300-06</v>
      </c>
      <c r="D10" s="1" t="s">
        <v>23</v>
      </c>
      <c r="E10" s="30" t="s">
        <v>515</v>
      </c>
      <c r="F10" s="218">
        <f>'Machinary PR'!F10*8/'Machinary PR'!$AB10</f>
        <v>0.32</v>
      </c>
      <c r="G10" s="219">
        <f>'Machinary PR'!G10*8/'Machinary PR'!$AB10</f>
        <v>0</v>
      </c>
      <c r="H10" s="220">
        <f>'Machinary PR'!H10*8/'Machinary PR'!$AB10</f>
        <v>0.32</v>
      </c>
      <c r="I10" s="220">
        <f>'Machinary PR'!I10*8/'Machinary PR'!$AB10</f>
        <v>0.32</v>
      </c>
      <c r="J10" s="220">
        <f>'Machinary PR'!J10*8/'Machinary PR'!$AB10</f>
        <v>0.64</v>
      </c>
      <c r="K10" s="220">
        <f>'Machinary PR'!K10*8/'Machinary PR'!$AB10</f>
        <v>0</v>
      </c>
      <c r="L10" s="220">
        <f>'Machinary PR'!L10*8/'Machinary PR'!$AB10</f>
        <v>0</v>
      </c>
      <c r="M10" s="220">
        <f>'Machinary PR'!M10*8/'Machinary PR'!$AB10</f>
        <v>0</v>
      </c>
      <c r="N10" s="220">
        <f>'Machinary PR'!N10*8/'Machinary PR'!$AB10</f>
        <v>0</v>
      </c>
      <c r="O10" s="220">
        <f>'Machinary PR'!O10*8/'Machinary PR'!$AB10</f>
        <v>0</v>
      </c>
      <c r="P10" s="220">
        <f>'Machinary PR'!P10*8/'Machinary PR'!$AB10</f>
        <v>0</v>
      </c>
      <c r="Q10" s="220">
        <f>'Machinary PR'!Q10*8/'Machinary PR'!$AB10</f>
        <v>0</v>
      </c>
      <c r="R10" s="220">
        <f>'Machinary PR'!R10*8/'Machinary PR'!$AB10</f>
        <v>0</v>
      </c>
      <c r="S10" s="220">
        <f>'Machinary PR'!S10*8/'Machinary PR'!$AB10</f>
        <v>0</v>
      </c>
      <c r="T10" s="220">
        <f>'Machinary PR'!T10*8/'Machinary PR'!$AB10</f>
        <v>0</v>
      </c>
      <c r="U10" s="220">
        <f>'Machinary PR'!U10*8/'Machinary PR'!$AB10</f>
        <v>0</v>
      </c>
      <c r="V10" s="220">
        <f>'Machinary PR'!V10*8/'Machinary PR'!$AB10</f>
        <v>0</v>
      </c>
      <c r="W10" s="220">
        <f>'Machinary PR'!W10*8/'Machinary PR'!$AB10</f>
        <v>0</v>
      </c>
      <c r="X10" s="220">
        <f>'Machinary PR'!X10*8/'Machinary PR'!$AB10</f>
        <v>0</v>
      </c>
      <c r="Y10" s="220">
        <f>'Machinary PR'!Y10*8/'Machinary PR'!$AB10</f>
        <v>0</v>
      </c>
      <c r="Z10" s="220">
        <f>'Machinary PR'!Z10*8/'Machinary PR'!$AB10</f>
        <v>0</v>
      </c>
      <c r="AA10" s="229">
        <f>'Machinary PR'!AA10*8/'Machinary PR'!$AB10</f>
        <v>0</v>
      </c>
    </row>
    <row r="11" spans="2:27" ht="18.75" x14ac:dyDescent="0.3">
      <c r="B11" s="29" t="str">
        <f>VLOOKUP(D11,'Activity List CSI'!$B$4:$D$146,2,0)</f>
        <v>0207</v>
      </c>
      <c r="C11" s="232" t="str">
        <f>VLOOKUP(D11,'Activity List CSI'!$B$4:$D$146,3,0)</f>
        <v>02100-01</v>
      </c>
      <c r="D11" s="1" t="s">
        <v>24</v>
      </c>
      <c r="E11" s="30" t="s">
        <v>565</v>
      </c>
      <c r="F11" s="218">
        <f>'Machinary PR'!F11*8/'Machinary PR'!$AB11</f>
        <v>0</v>
      </c>
      <c r="G11" s="219">
        <f>'Machinary PR'!G11*8/'Machinary PR'!$AB11</f>
        <v>0</v>
      </c>
      <c r="H11" s="220">
        <f>'Machinary PR'!H11*8/'Machinary PR'!$AB11</f>
        <v>0</v>
      </c>
      <c r="I11" s="220">
        <f>'Machinary PR'!I11*8/'Machinary PR'!$AB11</f>
        <v>0</v>
      </c>
      <c r="J11" s="220">
        <f>'Machinary PR'!J11*8/'Machinary PR'!$AB11</f>
        <v>0</v>
      </c>
      <c r="K11" s="220">
        <f>'Machinary PR'!K11*8/'Machinary PR'!$AB11</f>
        <v>0</v>
      </c>
      <c r="L11" s="220">
        <f>'Machinary PR'!L11*8/'Machinary PR'!$AB11</f>
        <v>8.8888888888888889E-3</v>
      </c>
      <c r="M11" s="220">
        <f>'Machinary PR'!M11*8/'Machinary PR'!$AB11</f>
        <v>0</v>
      </c>
      <c r="N11" s="220">
        <f>'Machinary PR'!N11*8/'Machinary PR'!$AB11</f>
        <v>0</v>
      </c>
      <c r="O11" s="220">
        <f>'Machinary PR'!O11*8/'Machinary PR'!$AB11</f>
        <v>0</v>
      </c>
      <c r="P11" s="220">
        <f>'Machinary PR'!P11*8/'Machinary PR'!$AB11</f>
        <v>0</v>
      </c>
      <c r="Q11" s="220">
        <f>'Machinary PR'!Q11*8/'Machinary PR'!$AB11</f>
        <v>0</v>
      </c>
      <c r="R11" s="220">
        <f>'Machinary PR'!R11*8/'Machinary PR'!$AB11</f>
        <v>0</v>
      </c>
      <c r="S11" s="220">
        <f>'Machinary PR'!S11*8/'Machinary PR'!$AB11</f>
        <v>0</v>
      </c>
      <c r="T11" s="220">
        <f>'Machinary PR'!T11*8/'Machinary PR'!$AB11</f>
        <v>0</v>
      </c>
      <c r="U11" s="220">
        <f>'Machinary PR'!U11*8/'Machinary PR'!$AB11</f>
        <v>0</v>
      </c>
      <c r="V11" s="220">
        <f>'Machinary PR'!V11*8/'Machinary PR'!$AB11</f>
        <v>0</v>
      </c>
      <c r="W11" s="220">
        <f>'Machinary PR'!W11*8/'Machinary PR'!$AB11</f>
        <v>0</v>
      </c>
      <c r="X11" s="220">
        <f>'Machinary PR'!X11*8/'Machinary PR'!$AB11</f>
        <v>0</v>
      </c>
      <c r="Y11" s="220">
        <f>'Machinary PR'!Y11*8/'Machinary PR'!$AB11</f>
        <v>0</v>
      </c>
      <c r="Z11" s="220">
        <f>'Machinary PR'!Z11*8/'Machinary PR'!$AB11</f>
        <v>0</v>
      </c>
      <c r="AA11" s="229">
        <f>'Machinary PR'!AA11*8/'Machinary PR'!$AB11</f>
        <v>0</v>
      </c>
    </row>
    <row r="12" spans="2:27" ht="18.75" x14ac:dyDescent="0.3">
      <c r="B12" s="29" t="str">
        <f>VLOOKUP(D12,'Activity List CSI'!$B$4:$D$146,2,0)</f>
        <v>0208</v>
      </c>
      <c r="C12" s="232" t="str">
        <f>VLOOKUP(D12,'Activity List CSI'!$B$4:$D$146,3,0)</f>
        <v>02300-07</v>
      </c>
      <c r="D12" s="1" t="s">
        <v>566</v>
      </c>
      <c r="E12" s="30" t="s">
        <v>567</v>
      </c>
      <c r="F12" s="218">
        <f>'Machinary PR'!F12*8/'Machinary PR'!$AB12</f>
        <v>0</v>
      </c>
      <c r="G12" s="219">
        <f>'Machinary PR'!G12*8/'Machinary PR'!$AB12</f>
        <v>0</v>
      </c>
      <c r="H12" s="220">
        <f>'Machinary PR'!H12*8/'Machinary PR'!$AB12</f>
        <v>0</v>
      </c>
      <c r="I12" s="220">
        <f>'Machinary PR'!I12*8/'Machinary PR'!$AB12</f>
        <v>0</v>
      </c>
      <c r="J12" s="220">
        <f>'Machinary PR'!J12*8/'Machinary PR'!$AB12</f>
        <v>0</v>
      </c>
      <c r="K12" s="220">
        <f>'Machinary PR'!K12*8/'Machinary PR'!$AB12</f>
        <v>0</v>
      </c>
      <c r="L12" s="220">
        <f>'Machinary PR'!L12*8/'Machinary PR'!$AB12</f>
        <v>0</v>
      </c>
      <c r="M12" s="220">
        <f>'Machinary PR'!M12*8/'Machinary PR'!$AB12</f>
        <v>0</v>
      </c>
      <c r="N12" s="220">
        <f>'Machinary PR'!N12*8/'Machinary PR'!$AB12</f>
        <v>0</v>
      </c>
      <c r="O12" s="220">
        <f>'Machinary PR'!O12*8/'Machinary PR'!$AB12</f>
        <v>0</v>
      </c>
      <c r="P12" s="220">
        <f>'Machinary PR'!P12*8/'Machinary PR'!$AB12</f>
        <v>0</v>
      </c>
      <c r="Q12" s="220">
        <f>'Machinary PR'!Q12*8/'Machinary PR'!$AB12</f>
        <v>0</v>
      </c>
      <c r="R12" s="220">
        <f>'Machinary PR'!R12*8/'Machinary PR'!$AB12</f>
        <v>0</v>
      </c>
      <c r="S12" s="220">
        <f>'Machinary PR'!S12*8/'Machinary PR'!$AB12</f>
        <v>0</v>
      </c>
      <c r="T12" s="220">
        <f>'Machinary PR'!T12*8/'Machinary PR'!$AB12</f>
        <v>0.8</v>
      </c>
      <c r="U12" s="220">
        <f>'Machinary PR'!U12*8/'Machinary PR'!$AB12</f>
        <v>0.8</v>
      </c>
      <c r="V12" s="220">
        <f>'Machinary PR'!V12*8/'Machinary PR'!$AB12</f>
        <v>0</v>
      </c>
      <c r="W12" s="220">
        <f>'Machinary PR'!W12*8/'Machinary PR'!$AB12</f>
        <v>0</v>
      </c>
      <c r="X12" s="220">
        <f>'Machinary PR'!X12*8/'Machinary PR'!$AB12</f>
        <v>0</v>
      </c>
      <c r="Y12" s="220">
        <f>'Machinary PR'!Y12*8/'Machinary PR'!$AB12</f>
        <v>0</v>
      </c>
      <c r="Z12" s="220">
        <f>'Machinary PR'!Z12*8/'Machinary PR'!$AB12</f>
        <v>0</v>
      </c>
      <c r="AA12" s="229">
        <f>'Machinary PR'!AA12*8/'Machinary PR'!$AB12</f>
        <v>0</v>
      </c>
    </row>
    <row r="13" spans="2:27" ht="18.75" x14ac:dyDescent="0.3">
      <c r="B13" s="29" t="str">
        <f>VLOOKUP(D13,'Activity List CSI'!$B$4:$D$146,2,0)</f>
        <v>0209</v>
      </c>
      <c r="C13" s="232" t="str">
        <f>VLOOKUP(D13,'Activity List CSI'!$B$4:$D$146,3,0)</f>
        <v>02300-08</v>
      </c>
      <c r="D13" s="1" t="s">
        <v>26</v>
      </c>
      <c r="E13" s="30" t="s">
        <v>515</v>
      </c>
      <c r="F13" s="218">
        <f>'Machinary PR'!F13*8/'Machinary PR'!$AB13</f>
        <v>0</v>
      </c>
      <c r="G13" s="219">
        <f>'Machinary PR'!G13*8/'Machinary PR'!$AB13</f>
        <v>0</v>
      </c>
      <c r="H13" s="220">
        <f>'Machinary PR'!H13*8/'Machinary PR'!$AB13</f>
        <v>0</v>
      </c>
      <c r="I13" s="220">
        <f>'Machinary PR'!I13*8/'Machinary PR'!$AB13</f>
        <v>3.2000000000000001E-2</v>
      </c>
      <c r="J13" s="220">
        <f>'Machinary PR'!J13*8/'Machinary PR'!$AB13</f>
        <v>4.8000000000000001E-2</v>
      </c>
      <c r="K13" s="220">
        <f>'Machinary PR'!K13*8/'Machinary PR'!$AB13</f>
        <v>3.2000000000000001E-2</v>
      </c>
      <c r="L13" s="220">
        <f>'Machinary PR'!L13*8/'Machinary PR'!$AB13</f>
        <v>0</v>
      </c>
      <c r="M13" s="220">
        <f>'Machinary PR'!M13*8/'Machinary PR'!$AB13</f>
        <v>3.2000000000000001E-2</v>
      </c>
      <c r="N13" s="220">
        <f>'Machinary PR'!N13*8/'Machinary PR'!$AB13</f>
        <v>1.6E-2</v>
      </c>
      <c r="O13" s="220">
        <f>'Machinary PR'!O13*8/'Machinary PR'!$AB13</f>
        <v>0</v>
      </c>
      <c r="P13" s="220">
        <f>'Machinary PR'!P13*8/'Machinary PR'!$AB13</f>
        <v>0</v>
      </c>
      <c r="Q13" s="220">
        <f>'Machinary PR'!Q13*8/'Machinary PR'!$AB13</f>
        <v>0</v>
      </c>
      <c r="R13" s="220">
        <f>'Machinary PR'!R13*8/'Machinary PR'!$AB13</f>
        <v>0</v>
      </c>
      <c r="S13" s="220">
        <f>'Machinary PR'!S13*8/'Machinary PR'!$AB13</f>
        <v>0</v>
      </c>
      <c r="T13" s="220">
        <f>'Machinary PR'!T13*8/'Machinary PR'!$AB13</f>
        <v>0</v>
      </c>
      <c r="U13" s="220">
        <f>'Machinary PR'!U13*8/'Machinary PR'!$AB13</f>
        <v>0</v>
      </c>
      <c r="V13" s="220">
        <f>'Machinary PR'!V13*8/'Machinary PR'!$AB13</f>
        <v>0</v>
      </c>
      <c r="W13" s="220">
        <f>'Machinary PR'!W13*8/'Machinary PR'!$AB13</f>
        <v>0</v>
      </c>
      <c r="X13" s="220">
        <f>'Machinary PR'!X13*8/'Machinary PR'!$AB13</f>
        <v>0</v>
      </c>
      <c r="Y13" s="220">
        <f>'Machinary PR'!Y13*8/'Machinary PR'!$AB13</f>
        <v>0</v>
      </c>
      <c r="Z13" s="220">
        <f>'Machinary PR'!Z13*8/'Machinary PR'!$AB13</f>
        <v>0</v>
      </c>
      <c r="AA13" s="229">
        <f>'Machinary PR'!AA13*8/'Machinary PR'!$AB13</f>
        <v>0</v>
      </c>
    </row>
    <row r="14" spans="2:27" ht="18.75" x14ac:dyDescent="0.3">
      <c r="B14" s="29" t="str">
        <f>VLOOKUP(D14,'Activity List CSI'!$B$4:$D$146,2,0)</f>
        <v>0210</v>
      </c>
      <c r="C14" s="232" t="str">
        <f>VLOOKUP(D14,'Activity List CSI'!$B$4:$D$146,3,0)</f>
        <v>02300-09</v>
      </c>
      <c r="D14" s="1" t="s">
        <v>27</v>
      </c>
      <c r="E14" s="30" t="s">
        <v>515</v>
      </c>
      <c r="F14" s="218">
        <f>'Machinary PR'!F14*8/'Machinary PR'!$AB14</f>
        <v>0</v>
      </c>
      <c r="G14" s="219">
        <f>'Machinary PR'!G14*8/'Machinary PR'!$AB14</f>
        <v>0</v>
      </c>
      <c r="H14" s="220">
        <f>'Machinary PR'!H14*8/'Machinary PR'!$AB14</f>
        <v>0</v>
      </c>
      <c r="I14" s="220">
        <f>'Machinary PR'!I14*8/'Machinary PR'!$AB14</f>
        <v>3.2000000000000001E-2</v>
      </c>
      <c r="J14" s="220">
        <f>'Machinary PR'!J14*8/'Machinary PR'!$AB14</f>
        <v>4.8000000000000001E-2</v>
      </c>
      <c r="K14" s="220">
        <f>'Machinary PR'!K14*8/'Machinary PR'!$AB14</f>
        <v>3.2000000000000001E-2</v>
      </c>
      <c r="L14" s="220">
        <f>'Machinary PR'!L14*8/'Machinary PR'!$AB14</f>
        <v>0</v>
      </c>
      <c r="M14" s="220">
        <f>'Machinary PR'!M14*8/'Machinary PR'!$AB14</f>
        <v>3.2000000000000001E-2</v>
      </c>
      <c r="N14" s="220">
        <f>'Machinary PR'!N14*8/'Machinary PR'!$AB14</f>
        <v>1.6E-2</v>
      </c>
      <c r="O14" s="220">
        <f>'Machinary PR'!O14*8/'Machinary PR'!$AB14</f>
        <v>0</v>
      </c>
      <c r="P14" s="220">
        <f>'Machinary PR'!P14*8/'Machinary PR'!$AB14</f>
        <v>0</v>
      </c>
      <c r="Q14" s="220">
        <f>'Machinary PR'!Q14*8/'Machinary PR'!$AB14</f>
        <v>0</v>
      </c>
      <c r="R14" s="220">
        <f>'Machinary PR'!R14*8/'Machinary PR'!$AB14</f>
        <v>0</v>
      </c>
      <c r="S14" s="220">
        <f>'Machinary PR'!S14*8/'Machinary PR'!$AB14</f>
        <v>0</v>
      </c>
      <c r="T14" s="220">
        <f>'Machinary PR'!T14*8/'Machinary PR'!$AB14</f>
        <v>0</v>
      </c>
      <c r="U14" s="220">
        <f>'Machinary PR'!U14*8/'Machinary PR'!$AB14</f>
        <v>0</v>
      </c>
      <c r="V14" s="220">
        <f>'Machinary PR'!V14*8/'Machinary PR'!$AB14</f>
        <v>0</v>
      </c>
      <c r="W14" s="220">
        <f>'Machinary PR'!W14*8/'Machinary PR'!$AB14</f>
        <v>0</v>
      </c>
      <c r="X14" s="220">
        <f>'Machinary PR'!X14*8/'Machinary PR'!$AB14</f>
        <v>0</v>
      </c>
      <c r="Y14" s="220">
        <f>'Machinary PR'!Y14*8/'Machinary PR'!$AB14</f>
        <v>0</v>
      </c>
      <c r="Z14" s="220">
        <f>'Machinary PR'!Z14*8/'Machinary PR'!$AB14</f>
        <v>0</v>
      </c>
      <c r="AA14" s="229">
        <f>'Machinary PR'!AA14*8/'Machinary PR'!$AB14</f>
        <v>0</v>
      </c>
    </row>
    <row r="15" spans="2:27" ht="18.75" x14ac:dyDescent="0.3">
      <c r="B15" s="29" t="str">
        <f>VLOOKUP(D15,'Activity List CSI'!$B$4:$D$146,2,0)</f>
        <v>0211</v>
      </c>
      <c r="C15" s="232" t="str">
        <f>VLOOKUP(D15,'Activity List CSI'!$B$4:$D$146,3,0)</f>
        <v>02300-10</v>
      </c>
      <c r="D15" s="1" t="s">
        <v>28</v>
      </c>
      <c r="E15" s="30" t="s">
        <v>519</v>
      </c>
      <c r="F15" s="218">
        <f>'Machinary PR'!F15*8/'Machinary PR'!$AB15</f>
        <v>0</v>
      </c>
      <c r="G15" s="219">
        <f>'Machinary PR'!G15*8/'Machinary PR'!$AB15</f>
        <v>0</v>
      </c>
      <c r="H15" s="220">
        <f>'Machinary PR'!H15*8/'Machinary PR'!$AB15</f>
        <v>0</v>
      </c>
      <c r="I15" s="220">
        <f>'Machinary PR'!I15*8/'Machinary PR'!$AB15</f>
        <v>3.2000000000000001E-2</v>
      </c>
      <c r="J15" s="220">
        <f>'Machinary PR'!J15*8/'Machinary PR'!$AB15</f>
        <v>0</v>
      </c>
      <c r="K15" s="220">
        <f>'Machinary PR'!K15*8/'Machinary PR'!$AB15</f>
        <v>6.4000000000000001E-2</v>
      </c>
      <c r="L15" s="220">
        <f>'Machinary PR'!L15*8/'Machinary PR'!$AB15</f>
        <v>0</v>
      </c>
      <c r="M15" s="220">
        <f>'Machinary PR'!M15*8/'Machinary PR'!$AB15</f>
        <v>0</v>
      </c>
      <c r="N15" s="220">
        <f>'Machinary PR'!N15*8/'Machinary PR'!$AB15</f>
        <v>3.2000000000000001E-2</v>
      </c>
      <c r="O15" s="220">
        <f>'Machinary PR'!O15*8/'Machinary PR'!$AB15</f>
        <v>6.4000000000000001E-2</v>
      </c>
      <c r="P15" s="220">
        <f>'Machinary PR'!P15*8/'Machinary PR'!$AB15</f>
        <v>0</v>
      </c>
      <c r="Q15" s="220">
        <f>'Machinary PR'!Q15*8/'Machinary PR'!$AB15</f>
        <v>0</v>
      </c>
      <c r="R15" s="220">
        <f>'Machinary PR'!R15*8/'Machinary PR'!$AB15</f>
        <v>0</v>
      </c>
      <c r="S15" s="220">
        <f>'Machinary PR'!S15*8/'Machinary PR'!$AB15</f>
        <v>0</v>
      </c>
      <c r="T15" s="220">
        <f>'Machinary PR'!T15*8/'Machinary PR'!$AB15</f>
        <v>0</v>
      </c>
      <c r="U15" s="220">
        <f>'Machinary PR'!U15*8/'Machinary PR'!$AB15</f>
        <v>0</v>
      </c>
      <c r="V15" s="220">
        <f>'Machinary PR'!V15*8/'Machinary PR'!$AB15</f>
        <v>0</v>
      </c>
      <c r="W15" s="220">
        <f>'Machinary PR'!W15*8/'Machinary PR'!$AB15</f>
        <v>0</v>
      </c>
      <c r="X15" s="220">
        <f>'Machinary PR'!X15*8/'Machinary PR'!$AB15</f>
        <v>0</v>
      </c>
      <c r="Y15" s="220">
        <f>'Machinary PR'!Y15*8/'Machinary PR'!$AB15</f>
        <v>0</v>
      </c>
      <c r="Z15" s="220">
        <f>'Machinary PR'!Z15*8/'Machinary PR'!$AB15</f>
        <v>0</v>
      </c>
      <c r="AA15" s="229">
        <f>'Machinary PR'!AA15*8/'Machinary PR'!$AB15</f>
        <v>0</v>
      </c>
    </row>
    <row r="16" spans="2:27" ht="18.75" x14ac:dyDescent="0.3">
      <c r="B16" s="29" t="str">
        <f>VLOOKUP(D16,'Activity List CSI'!$B$4:$D$146,2,0)</f>
        <v>0212</v>
      </c>
      <c r="C16" s="232" t="str">
        <f>VLOOKUP(D16,'Activity List CSI'!$B$4:$D$146,3,0)</f>
        <v>02300-11</v>
      </c>
      <c r="D16" s="1" t="s">
        <v>29</v>
      </c>
      <c r="E16" s="30" t="s">
        <v>519</v>
      </c>
      <c r="F16" s="218">
        <f>'Machinary PR'!F16*8/'Machinary PR'!$AB16</f>
        <v>0</v>
      </c>
      <c r="G16" s="219">
        <f>'Machinary PR'!G16*8/'Machinary PR'!$AB16</f>
        <v>0</v>
      </c>
      <c r="H16" s="220">
        <f>'Machinary PR'!H16*8/'Machinary PR'!$AB16</f>
        <v>0</v>
      </c>
      <c r="I16" s="220">
        <f>'Machinary PR'!I16*8/'Machinary PR'!$AB16</f>
        <v>3.2000000000000001E-2</v>
      </c>
      <c r="J16" s="220">
        <f>'Machinary PR'!J16*8/'Machinary PR'!$AB16</f>
        <v>0</v>
      </c>
      <c r="K16" s="220">
        <f>'Machinary PR'!K16*8/'Machinary PR'!$AB16</f>
        <v>6.4000000000000001E-2</v>
      </c>
      <c r="L16" s="220">
        <f>'Machinary PR'!L16*8/'Machinary PR'!$AB16</f>
        <v>0</v>
      </c>
      <c r="M16" s="220">
        <f>'Machinary PR'!M16*8/'Machinary PR'!$AB16</f>
        <v>0</v>
      </c>
      <c r="N16" s="220">
        <f>'Machinary PR'!N16*8/'Machinary PR'!$AB16</f>
        <v>3.2000000000000001E-2</v>
      </c>
      <c r="O16" s="220">
        <f>'Machinary PR'!O16*8/'Machinary PR'!$AB16</f>
        <v>6.4000000000000001E-2</v>
      </c>
      <c r="P16" s="220">
        <f>'Machinary PR'!P16*8/'Machinary PR'!$AB16</f>
        <v>0</v>
      </c>
      <c r="Q16" s="220">
        <f>'Machinary PR'!Q16*8/'Machinary PR'!$AB16</f>
        <v>0</v>
      </c>
      <c r="R16" s="220">
        <f>'Machinary PR'!R16*8/'Machinary PR'!$AB16</f>
        <v>0</v>
      </c>
      <c r="S16" s="220">
        <f>'Machinary PR'!S16*8/'Machinary PR'!$AB16</f>
        <v>0</v>
      </c>
      <c r="T16" s="220">
        <f>'Machinary PR'!T16*8/'Machinary PR'!$AB16</f>
        <v>0</v>
      </c>
      <c r="U16" s="220">
        <f>'Machinary PR'!U16*8/'Machinary PR'!$AB16</f>
        <v>0</v>
      </c>
      <c r="V16" s="220">
        <f>'Machinary PR'!V16*8/'Machinary PR'!$AB16</f>
        <v>0</v>
      </c>
      <c r="W16" s="220">
        <f>'Machinary PR'!W16*8/'Machinary PR'!$AB16</f>
        <v>0</v>
      </c>
      <c r="X16" s="220">
        <f>'Machinary PR'!X16*8/'Machinary PR'!$AB16</f>
        <v>0</v>
      </c>
      <c r="Y16" s="220">
        <f>'Machinary PR'!Y16*8/'Machinary PR'!$AB16</f>
        <v>0</v>
      </c>
      <c r="Z16" s="220">
        <f>'Machinary PR'!Z16*8/'Machinary PR'!$AB16</f>
        <v>0</v>
      </c>
      <c r="AA16" s="229">
        <f>'Machinary PR'!AA16*8/'Machinary PR'!$AB16</f>
        <v>0</v>
      </c>
    </row>
    <row r="17" spans="2:27" ht="18.75" x14ac:dyDescent="0.3">
      <c r="B17" s="29" t="str">
        <f>VLOOKUP(D17,'Activity List CSI'!$B$4:$D$146,2,0)</f>
        <v>0213</v>
      </c>
      <c r="C17" s="232" t="str">
        <f>VLOOKUP(D17,'Activity List CSI'!$B$4:$D$146,3,0)</f>
        <v>02300-12</v>
      </c>
      <c r="D17" s="1" t="s">
        <v>30</v>
      </c>
      <c r="E17" s="30" t="s">
        <v>515</v>
      </c>
      <c r="F17" s="218">
        <f>'Machinary PR'!F17*8/'Machinary PR'!$AB17</f>
        <v>0</v>
      </c>
      <c r="G17" s="219">
        <f>'Machinary PR'!G17*8/'Machinary PR'!$AB17</f>
        <v>0</v>
      </c>
      <c r="H17" s="220">
        <f>'Machinary PR'!H17*8/'Machinary PR'!$AB17</f>
        <v>0</v>
      </c>
      <c r="I17" s="220">
        <f>'Machinary PR'!I17*8/'Machinary PR'!$AB17</f>
        <v>0.04</v>
      </c>
      <c r="J17" s="220">
        <f>'Machinary PR'!J17*8/'Machinary PR'!$AB17</f>
        <v>0.08</v>
      </c>
      <c r="K17" s="220">
        <f>'Machinary PR'!K17*8/'Machinary PR'!$AB17</f>
        <v>0.04</v>
      </c>
      <c r="L17" s="220">
        <f>'Machinary PR'!L17*8/'Machinary PR'!$AB17</f>
        <v>0</v>
      </c>
      <c r="M17" s="220">
        <f>'Machinary PR'!M17*8/'Machinary PR'!$AB17</f>
        <v>0</v>
      </c>
      <c r="N17" s="220">
        <f>'Machinary PR'!N17*8/'Machinary PR'!$AB17</f>
        <v>0.02</v>
      </c>
      <c r="O17" s="220">
        <f>'Machinary PR'!O17*8/'Machinary PR'!$AB17</f>
        <v>0.04</v>
      </c>
      <c r="P17" s="220">
        <f>'Machinary PR'!P17*8/'Machinary PR'!$AB17</f>
        <v>0</v>
      </c>
      <c r="Q17" s="220">
        <f>'Machinary PR'!Q17*8/'Machinary PR'!$AB17</f>
        <v>0</v>
      </c>
      <c r="R17" s="220">
        <f>'Machinary PR'!R17*8/'Machinary PR'!$AB17</f>
        <v>0</v>
      </c>
      <c r="S17" s="220">
        <f>'Machinary PR'!S17*8/'Machinary PR'!$AB17</f>
        <v>0</v>
      </c>
      <c r="T17" s="220">
        <f>'Machinary PR'!T17*8/'Machinary PR'!$AB17</f>
        <v>0</v>
      </c>
      <c r="U17" s="220">
        <f>'Machinary PR'!U17*8/'Machinary PR'!$AB17</f>
        <v>0</v>
      </c>
      <c r="V17" s="220">
        <f>'Machinary PR'!V17*8/'Machinary PR'!$AB17</f>
        <v>0</v>
      </c>
      <c r="W17" s="220">
        <f>'Machinary PR'!W17*8/'Machinary PR'!$AB17</f>
        <v>0</v>
      </c>
      <c r="X17" s="220">
        <f>'Machinary PR'!X17*8/'Machinary PR'!$AB17</f>
        <v>0</v>
      </c>
      <c r="Y17" s="220">
        <f>'Machinary PR'!Y17*8/'Machinary PR'!$AB17</f>
        <v>0</v>
      </c>
      <c r="Z17" s="220">
        <f>'Machinary PR'!Z17*8/'Machinary PR'!$AB17</f>
        <v>0</v>
      </c>
      <c r="AA17" s="229">
        <f>'Machinary PR'!AA17*8/'Machinary PR'!$AB17</f>
        <v>0</v>
      </c>
    </row>
    <row r="18" spans="2:27" ht="18.75" x14ac:dyDescent="0.3">
      <c r="B18" s="29" t="str">
        <f>VLOOKUP(D18,'Activity List CSI'!$B$4:$D$146,2,0)</f>
        <v>0214</v>
      </c>
      <c r="C18" s="232" t="str">
        <f>VLOOKUP(D18,'Activity List CSI'!$B$4:$D$146,3,0)</f>
        <v>02300-13</v>
      </c>
      <c r="D18" s="1" t="s">
        <v>31</v>
      </c>
      <c r="E18" s="30" t="s">
        <v>515</v>
      </c>
      <c r="F18" s="218">
        <f>'Machinary PR'!F18*8/'Machinary PR'!$AB18</f>
        <v>0</v>
      </c>
      <c r="G18" s="219">
        <f>'Machinary PR'!G18*8/'Machinary PR'!$AB18</f>
        <v>0</v>
      </c>
      <c r="H18" s="220">
        <f>'Machinary PR'!H18*8/'Machinary PR'!$AB18</f>
        <v>0</v>
      </c>
      <c r="I18" s="220">
        <f>'Machinary PR'!I18*8/'Machinary PR'!$AB18</f>
        <v>0.04</v>
      </c>
      <c r="J18" s="220">
        <f>'Machinary PR'!J18*8/'Machinary PR'!$AB18</f>
        <v>0.08</v>
      </c>
      <c r="K18" s="220">
        <f>'Machinary PR'!K18*8/'Machinary PR'!$AB18</f>
        <v>0.04</v>
      </c>
      <c r="L18" s="220">
        <f>'Machinary PR'!L18*8/'Machinary PR'!$AB18</f>
        <v>0</v>
      </c>
      <c r="M18" s="220">
        <f>'Machinary PR'!M18*8/'Machinary PR'!$AB18</f>
        <v>0</v>
      </c>
      <c r="N18" s="220">
        <f>'Machinary PR'!N18*8/'Machinary PR'!$AB18</f>
        <v>0.02</v>
      </c>
      <c r="O18" s="220">
        <f>'Machinary PR'!O18*8/'Machinary PR'!$AB18</f>
        <v>0.04</v>
      </c>
      <c r="P18" s="220">
        <f>'Machinary PR'!P18*8/'Machinary PR'!$AB18</f>
        <v>0</v>
      </c>
      <c r="Q18" s="220">
        <f>'Machinary PR'!Q18*8/'Machinary PR'!$AB18</f>
        <v>0</v>
      </c>
      <c r="R18" s="220">
        <f>'Machinary PR'!R18*8/'Machinary PR'!$AB18</f>
        <v>0</v>
      </c>
      <c r="S18" s="220">
        <f>'Machinary PR'!S18*8/'Machinary PR'!$AB18</f>
        <v>0</v>
      </c>
      <c r="T18" s="220">
        <f>'Machinary PR'!T18*8/'Machinary PR'!$AB18</f>
        <v>0</v>
      </c>
      <c r="U18" s="220">
        <f>'Machinary PR'!U18*8/'Machinary PR'!$AB18</f>
        <v>0</v>
      </c>
      <c r="V18" s="220">
        <f>'Machinary PR'!V18*8/'Machinary PR'!$AB18</f>
        <v>0</v>
      </c>
      <c r="W18" s="220">
        <f>'Machinary PR'!W18*8/'Machinary PR'!$AB18</f>
        <v>0</v>
      </c>
      <c r="X18" s="220">
        <f>'Machinary PR'!X18*8/'Machinary PR'!$AB18</f>
        <v>0</v>
      </c>
      <c r="Y18" s="220">
        <f>'Machinary PR'!Y18*8/'Machinary PR'!$AB18</f>
        <v>0</v>
      </c>
      <c r="Z18" s="220">
        <f>'Machinary PR'!Z18*8/'Machinary PR'!$AB18</f>
        <v>0</v>
      </c>
      <c r="AA18" s="229">
        <f>'Machinary PR'!AA18*8/'Machinary PR'!$AB18</f>
        <v>0</v>
      </c>
    </row>
    <row r="19" spans="2:27" ht="18.75" x14ac:dyDescent="0.3">
      <c r="B19" s="29" t="str">
        <f>VLOOKUP(D19,'Activity List CSI'!$B$4:$D$146,2,0)</f>
        <v>0215</v>
      </c>
      <c r="C19" s="232" t="str">
        <f>VLOOKUP(D19,'Activity List CSI'!$B$4:$D$146,3,0)</f>
        <v>02300-14</v>
      </c>
      <c r="D19" s="1" t="s">
        <v>32</v>
      </c>
      <c r="E19" s="30" t="s">
        <v>515</v>
      </c>
      <c r="F19" s="218">
        <f>'Machinary PR'!F19*8/'Machinary PR'!$AB19</f>
        <v>0</v>
      </c>
      <c r="G19" s="219">
        <f>'Machinary PR'!G19*8/'Machinary PR'!$AB19</f>
        <v>0</v>
      </c>
      <c r="H19" s="220">
        <f>'Machinary PR'!H19*8/'Machinary PR'!$AB19</f>
        <v>0</v>
      </c>
      <c r="I19" s="220">
        <f>'Machinary PR'!I19*8/'Machinary PR'!$AB19</f>
        <v>5.3333333333333337E-2</v>
      </c>
      <c r="J19" s="220">
        <f>'Machinary PR'!J19*8/'Machinary PR'!$AB19</f>
        <v>0.10666666666666667</v>
      </c>
      <c r="K19" s="220">
        <f>'Machinary PR'!K19*8/'Machinary PR'!$AB19</f>
        <v>5.3333333333333337E-2</v>
      </c>
      <c r="L19" s="220">
        <f>'Machinary PR'!L19*8/'Machinary PR'!$AB19</f>
        <v>0</v>
      </c>
      <c r="M19" s="220">
        <f>'Machinary PR'!M19*8/'Machinary PR'!$AB19</f>
        <v>0</v>
      </c>
      <c r="N19" s="220">
        <f>'Machinary PR'!N19*8/'Machinary PR'!$AB19</f>
        <v>2.6666666666666668E-2</v>
      </c>
      <c r="O19" s="220">
        <f>'Machinary PR'!O19*8/'Machinary PR'!$AB19</f>
        <v>5.3333333333333337E-2</v>
      </c>
      <c r="P19" s="220">
        <f>'Machinary PR'!P19*8/'Machinary PR'!$AB19</f>
        <v>0</v>
      </c>
      <c r="Q19" s="220">
        <f>'Machinary PR'!Q19*8/'Machinary PR'!$AB19</f>
        <v>0</v>
      </c>
      <c r="R19" s="220">
        <f>'Machinary PR'!R19*8/'Machinary PR'!$AB19</f>
        <v>0</v>
      </c>
      <c r="S19" s="220">
        <f>'Machinary PR'!S19*8/'Machinary PR'!$AB19</f>
        <v>0</v>
      </c>
      <c r="T19" s="220">
        <f>'Machinary PR'!T19*8/'Machinary PR'!$AB19</f>
        <v>0</v>
      </c>
      <c r="U19" s="220">
        <f>'Machinary PR'!U19*8/'Machinary PR'!$AB19</f>
        <v>0</v>
      </c>
      <c r="V19" s="220">
        <f>'Machinary PR'!V19*8/'Machinary PR'!$AB19</f>
        <v>0</v>
      </c>
      <c r="W19" s="220">
        <f>'Machinary PR'!W19*8/'Machinary PR'!$AB19</f>
        <v>0</v>
      </c>
      <c r="X19" s="220">
        <f>'Machinary PR'!X19*8/'Machinary PR'!$AB19</f>
        <v>0</v>
      </c>
      <c r="Y19" s="220">
        <f>'Machinary PR'!Y19*8/'Machinary PR'!$AB19</f>
        <v>0</v>
      </c>
      <c r="Z19" s="220">
        <f>'Machinary PR'!Z19*8/'Machinary PR'!$AB19</f>
        <v>0</v>
      </c>
      <c r="AA19" s="229">
        <f>'Machinary PR'!AA19*8/'Machinary PR'!$AB19</f>
        <v>0</v>
      </c>
    </row>
    <row r="20" spans="2:27" ht="18.75" x14ac:dyDescent="0.3">
      <c r="B20" s="29" t="str">
        <f>VLOOKUP(D20,'Activity List CSI'!$B$4:$D$146,2,0)</f>
        <v>0216</v>
      </c>
      <c r="C20" s="232" t="str">
        <f>VLOOKUP(D20,'Activity List CSI'!$B$4:$D$146,3,0)</f>
        <v>02300-15</v>
      </c>
      <c r="D20" s="1" t="s">
        <v>33</v>
      </c>
      <c r="E20" s="30" t="s">
        <v>515</v>
      </c>
      <c r="F20" s="218">
        <f>'Machinary PR'!F20*8/'Machinary PR'!$AB20</f>
        <v>0</v>
      </c>
      <c r="G20" s="219">
        <f>'Machinary PR'!G20*8/'Machinary PR'!$AB20</f>
        <v>0</v>
      </c>
      <c r="H20" s="220">
        <f>'Machinary PR'!H20*8/'Machinary PR'!$AB20</f>
        <v>0</v>
      </c>
      <c r="I20" s="220">
        <f>'Machinary PR'!I20*8/'Machinary PR'!$AB20</f>
        <v>0</v>
      </c>
      <c r="J20" s="220">
        <f>'Machinary PR'!J20*8/'Machinary PR'!$AB20</f>
        <v>0</v>
      </c>
      <c r="K20" s="220">
        <f>'Machinary PR'!K20*8/'Machinary PR'!$AB20</f>
        <v>6.4000000000000001E-2</v>
      </c>
      <c r="L20" s="220">
        <f>'Machinary PR'!L20*8/'Machinary PR'!$AB20</f>
        <v>0</v>
      </c>
      <c r="M20" s="220">
        <f>'Machinary PR'!M20*8/'Machinary PR'!$AB20</f>
        <v>0</v>
      </c>
      <c r="N20" s="220">
        <f>'Machinary PR'!N20*8/'Machinary PR'!$AB20</f>
        <v>3.2000000000000001E-2</v>
      </c>
      <c r="O20" s="220">
        <f>'Machinary PR'!O20*8/'Machinary PR'!$AB20</f>
        <v>6.4000000000000001E-2</v>
      </c>
      <c r="P20" s="220">
        <f>'Machinary PR'!P20*8/'Machinary PR'!$AB20</f>
        <v>0</v>
      </c>
      <c r="Q20" s="220">
        <f>'Machinary PR'!Q20*8/'Machinary PR'!$AB20</f>
        <v>0</v>
      </c>
      <c r="R20" s="220">
        <f>'Machinary PR'!R20*8/'Machinary PR'!$AB20</f>
        <v>0</v>
      </c>
      <c r="S20" s="220">
        <f>'Machinary PR'!S20*8/'Machinary PR'!$AB20</f>
        <v>0</v>
      </c>
      <c r="T20" s="220">
        <f>'Machinary PR'!T20*8/'Machinary PR'!$AB20</f>
        <v>0</v>
      </c>
      <c r="U20" s="220">
        <f>'Machinary PR'!U20*8/'Machinary PR'!$AB20</f>
        <v>0</v>
      </c>
      <c r="V20" s="220">
        <f>'Machinary PR'!V20*8/'Machinary PR'!$AB20</f>
        <v>0</v>
      </c>
      <c r="W20" s="220">
        <f>'Machinary PR'!W20*8/'Machinary PR'!$AB20</f>
        <v>0</v>
      </c>
      <c r="X20" s="220">
        <f>'Machinary PR'!X20*8/'Machinary PR'!$AB20</f>
        <v>0</v>
      </c>
      <c r="Y20" s="220">
        <f>'Machinary PR'!Y20*8/'Machinary PR'!$AB20</f>
        <v>0</v>
      </c>
      <c r="Z20" s="220">
        <f>'Machinary PR'!Z20*8/'Machinary PR'!$AB20</f>
        <v>0</v>
      </c>
      <c r="AA20" s="229">
        <f>'Machinary PR'!AA20*8/'Machinary PR'!$AB20</f>
        <v>0</v>
      </c>
    </row>
    <row r="21" spans="2:27" ht="18.75" x14ac:dyDescent="0.3">
      <c r="B21" s="29" t="str">
        <f>VLOOKUP(D21,'Activity List CSI'!$B$4:$D$146,2,0)</f>
        <v>0217</v>
      </c>
      <c r="C21" s="232" t="str">
        <f>VLOOKUP(D21,'Activity List CSI'!$B$4:$D$146,3,0)</f>
        <v>02300-16</v>
      </c>
      <c r="D21" s="1" t="s">
        <v>34</v>
      </c>
      <c r="E21" s="30" t="s">
        <v>513</v>
      </c>
      <c r="F21" s="218">
        <f>'Machinary PR'!F21*8/'Machinary PR'!$AB21</f>
        <v>0</v>
      </c>
      <c r="G21" s="219">
        <f>'Machinary PR'!G21*8/'Machinary PR'!$AB21</f>
        <v>0</v>
      </c>
      <c r="H21" s="220">
        <f>'Machinary PR'!H21*8/'Machinary PR'!$AB21</f>
        <v>0</v>
      </c>
      <c r="I21" s="220">
        <f>'Machinary PR'!I21*8/'Machinary PR'!$AB21</f>
        <v>1.1428571428571429E-2</v>
      </c>
      <c r="J21" s="220">
        <f>'Machinary PR'!J21*8/'Machinary PR'!$AB21</f>
        <v>0</v>
      </c>
      <c r="K21" s="220">
        <f>'Machinary PR'!K21*8/'Machinary PR'!$AB21</f>
        <v>0</v>
      </c>
      <c r="L21" s="220">
        <f>'Machinary PR'!L21*8/'Machinary PR'!$AB21</f>
        <v>0</v>
      </c>
      <c r="M21" s="220">
        <f>'Machinary PR'!M21*8/'Machinary PR'!$AB21</f>
        <v>0</v>
      </c>
      <c r="N21" s="220">
        <f>'Machinary PR'!N21*8/'Machinary PR'!$AB21</f>
        <v>1.1428571428571429E-2</v>
      </c>
      <c r="O21" s="220">
        <f>'Machinary PR'!O21*8/'Machinary PR'!$AB21</f>
        <v>0</v>
      </c>
      <c r="P21" s="220">
        <f>'Machinary PR'!P21*8/'Machinary PR'!$AB21</f>
        <v>0</v>
      </c>
      <c r="Q21" s="220">
        <f>'Machinary PR'!Q21*8/'Machinary PR'!$AB21</f>
        <v>0</v>
      </c>
      <c r="R21" s="220">
        <f>'Machinary PR'!R21*8/'Machinary PR'!$AB21</f>
        <v>0</v>
      </c>
      <c r="S21" s="220">
        <f>'Machinary PR'!S21*8/'Machinary PR'!$AB21</f>
        <v>0</v>
      </c>
      <c r="T21" s="220">
        <f>'Machinary PR'!T21*8/'Machinary PR'!$AB21</f>
        <v>0</v>
      </c>
      <c r="U21" s="220">
        <f>'Machinary PR'!U21*8/'Machinary PR'!$AB21</f>
        <v>0</v>
      </c>
      <c r="V21" s="220">
        <f>'Machinary PR'!V21*8/'Machinary PR'!$AB21</f>
        <v>0</v>
      </c>
      <c r="W21" s="220">
        <f>'Machinary PR'!W21*8/'Machinary PR'!$AB21</f>
        <v>0</v>
      </c>
      <c r="X21" s="220">
        <f>'Machinary PR'!X21*8/'Machinary PR'!$AB21</f>
        <v>0</v>
      </c>
      <c r="Y21" s="220">
        <f>'Machinary PR'!Y21*8/'Machinary PR'!$AB21</f>
        <v>0</v>
      </c>
      <c r="Z21" s="220">
        <f>'Machinary PR'!Z21*8/'Machinary PR'!$AB21</f>
        <v>0</v>
      </c>
      <c r="AA21" s="229">
        <f>'Machinary PR'!AA21*8/'Machinary PR'!$AB21</f>
        <v>0</v>
      </c>
    </row>
    <row r="22" spans="2:27" ht="18.75" x14ac:dyDescent="0.3">
      <c r="B22" s="29" t="str">
        <f>VLOOKUP(D22,'Activity List CSI'!$B$4:$D$146,2,0)</f>
        <v>0218</v>
      </c>
      <c r="C22" s="232" t="str">
        <f>VLOOKUP(D22,'Activity List CSI'!$B$4:$D$146,3,0)</f>
        <v>02300-17</v>
      </c>
      <c r="D22" s="1" t="s">
        <v>35</v>
      </c>
      <c r="E22" s="30" t="s">
        <v>515</v>
      </c>
      <c r="F22" s="218">
        <f>'Machinary PR'!F22*8/'Machinary PR'!$AB22</f>
        <v>0</v>
      </c>
      <c r="G22" s="219">
        <f>'Machinary PR'!G22*8/'Machinary PR'!$AB22</f>
        <v>0</v>
      </c>
      <c r="H22" s="220">
        <f>'Machinary PR'!H22*8/'Machinary PR'!$AB22</f>
        <v>0</v>
      </c>
      <c r="I22" s="220">
        <f>'Machinary PR'!I22*8/'Machinary PR'!$AB22</f>
        <v>1.5625E-2</v>
      </c>
      <c r="J22" s="220">
        <f>'Machinary PR'!J22*8/'Machinary PR'!$AB22</f>
        <v>0.125</v>
      </c>
      <c r="K22" s="220">
        <f>'Machinary PR'!K22*8/'Machinary PR'!$AB22</f>
        <v>0</v>
      </c>
      <c r="L22" s="220">
        <f>'Machinary PR'!L22*8/'Machinary PR'!$AB22</f>
        <v>0</v>
      </c>
      <c r="M22" s="220">
        <f>'Machinary PR'!M22*8/'Machinary PR'!$AB22</f>
        <v>0</v>
      </c>
      <c r="N22" s="220">
        <f>'Machinary PR'!N22*8/'Machinary PR'!$AB22</f>
        <v>0</v>
      </c>
      <c r="O22" s="220">
        <f>'Machinary PR'!O22*8/'Machinary PR'!$AB22</f>
        <v>0</v>
      </c>
      <c r="P22" s="220">
        <f>'Machinary PR'!P22*8/'Machinary PR'!$AB22</f>
        <v>0</v>
      </c>
      <c r="Q22" s="220">
        <f>'Machinary PR'!Q22*8/'Machinary PR'!$AB22</f>
        <v>0</v>
      </c>
      <c r="R22" s="220">
        <f>'Machinary PR'!R22*8/'Machinary PR'!$AB22</f>
        <v>0</v>
      </c>
      <c r="S22" s="220">
        <f>'Machinary PR'!S22*8/'Machinary PR'!$AB22</f>
        <v>0</v>
      </c>
      <c r="T22" s="220">
        <f>'Machinary PR'!T22*8/'Machinary PR'!$AB22</f>
        <v>0</v>
      </c>
      <c r="U22" s="220">
        <f>'Machinary PR'!U22*8/'Machinary PR'!$AB22</f>
        <v>0</v>
      </c>
      <c r="V22" s="220">
        <f>'Machinary PR'!V22*8/'Machinary PR'!$AB22</f>
        <v>0</v>
      </c>
      <c r="W22" s="220">
        <f>'Machinary PR'!W22*8/'Machinary PR'!$AB22</f>
        <v>0</v>
      </c>
      <c r="X22" s="220">
        <f>'Machinary PR'!X22*8/'Machinary PR'!$AB22</f>
        <v>0</v>
      </c>
      <c r="Y22" s="220">
        <f>'Machinary PR'!Y22*8/'Machinary PR'!$AB22</f>
        <v>0</v>
      </c>
      <c r="Z22" s="220">
        <f>'Machinary PR'!Z22*8/'Machinary PR'!$AB22</f>
        <v>0</v>
      </c>
      <c r="AA22" s="229">
        <f>'Machinary PR'!AA22*8/'Machinary PR'!$AB22</f>
        <v>0</v>
      </c>
    </row>
    <row r="23" spans="2:27" ht="18.75" x14ac:dyDescent="0.3">
      <c r="B23" s="29" t="str">
        <f>VLOOKUP(D23,'Activity List CSI'!$B$4:$D$146,2,0)</f>
        <v>0219</v>
      </c>
      <c r="C23" s="232" t="str">
        <f>VLOOKUP(D23,'Activity List CSI'!$B$4:$D$146,3,0)</f>
        <v>02300-18</v>
      </c>
      <c r="D23" s="1" t="s">
        <v>36</v>
      </c>
      <c r="E23" s="30" t="s">
        <v>515</v>
      </c>
      <c r="F23" s="218">
        <f>'Machinary PR'!F23*8/'Machinary PR'!$AB23</f>
        <v>0</v>
      </c>
      <c r="G23" s="219">
        <f>'Machinary PR'!G23*8/'Machinary PR'!$AB23</f>
        <v>0</v>
      </c>
      <c r="H23" s="220">
        <f>'Machinary PR'!H23*8/'Machinary PR'!$AB23</f>
        <v>0</v>
      </c>
      <c r="I23" s="220">
        <f>'Machinary PR'!I23*8/'Machinary PR'!$AB23</f>
        <v>1.5625E-2</v>
      </c>
      <c r="J23" s="220">
        <f>'Machinary PR'!J23*8/'Machinary PR'!$AB23</f>
        <v>0.125</v>
      </c>
      <c r="K23" s="220">
        <f>'Machinary PR'!K23*8/'Machinary PR'!$AB23</f>
        <v>0</v>
      </c>
      <c r="L23" s="220">
        <f>'Machinary PR'!L23*8/'Machinary PR'!$AB23</f>
        <v>0</v>
      </c>
      <c r="M23" s="220">
        <f>'Machinary PR'!M23*8/'Machinary PR'!$AB23</f>
        <v>0</v>
      </c>
      <c r="N23" s="220">
        <f>'Machinary PR'!N23*8/'Machinary PR'!$AB23</f>
        <v>0</v>
      </c>
      <c r="O23" s="220">
        <f>'Machinary PR'!O23*8/'Machinary PR'!$AB23</f>
        <v>0</v>
      </c>
      <c r="P23" s="220">
        <f>'Machinary PR'!P23*8/'Machinary PR'!$AB23</f>
        <v>0</v>
      </c>
      <c r="Q23" s="220">
        <f>'Machinary PR'!Q23*8/'Machinary PR'!$AB23</f>
        <v>0</v>
      </c>
      <c r="R23" s="220">
        <f>'Machinary PR'!R23*8/'Machinary PR'!$AB23</f>
        <v>0</v>
      </c>
      <c r="S23" s="220">
        <f>'Machinary PR'!S23*8/'Machinary PR'!$AB23</f>
        <v>0</v>
      </c>
      <c r="T23" s="220">
        <f>'Machinary PR'!T23*8/'Machinary PR'!$AB23</f>
        <v>0</v>
      </c>
      <c r="U23" s="220">
        <f>'Machinary PR'!U23*8/'Machinary PR'!$AB23</f>
        <v>0</v>
      </c>
      <c r="V23" s="220">
        <f>'Machinary PR'!V23*8/'Machinary PR'!$AB23</f>
        <v>0</v>
      </c>
      <c r="W23" s="220">
        <f>'Machinary PR'!W23*8/'Machinary PR'!$AB23</f>
        <v>0</v>
      </c>
      <c r="X23" s="220">
        <f>'Machinary PR'!X23*8/'Machinary PR'!$AB23</f>
        <v>0</v>
      </c>
      <c r="Y23" s="220">
        <f>'Machinary PR'!Y23*8/'Machinary PR'!$AB23</f>
        <v>0</v>
      </c>
      <c r="Z23" s="220">
        <f>'Machinary PR'!Z23*8/'Machinary PR'!$AB23</f>
        <v>0</v>
      </c>
      <c r="AA23" s="229">
        <f>'Machinary PR'!AA23*8/'Machinary PR'!$AB23</f>
        <v>0</v>
      </c>
    </row>
    <row r="24" spans="2:27" ht="18.75" x14ac:dyDescent="0.3">
      <c r="B24" s="29" t="str">
        <f>VLOOKUP(D24,'Activity List CSI'!$B$4:$D$146,2,0)</f>
        <v>0220</v>
      </c>
      <c r="C24" s="232" t="str">
        <f>VLOOKUP(D24,'Activity List CSI'!$B$4:$D$146,3,0)</f>
        <v>02300-19</v>
      </c>
      <c r="D24" s="1" t="s">
        <v>37</v>
      </c>
      <c r="E24" s="30" t="s">
        <v>515</v>
      </c>
      <c r="F24" s="218">
        <f>'Machinary PR'!F24*8/'Machinary PR'!$AB24</f>
        <v>0</v>
      </c>
      <c r="G24" s="219">
        <f>'Machinary PR'!G24*8/'Machinary PR'!$AB24</f>
        <v>0</v>
      </c>
      <c r="H24" s="220">
        <f>'Machinary PR'!H24*8/'Machinary PR'!$AB24</f>
        <v>0</v>
      </c>
      <c r="I24" s="220">
        <f>'Machinary PR'!I24*8/'Machinary PR'!$AB24</f>
        <v>3.125E-2</v>
      </c>
      <c r="J24" s="220">
        <f>'Machinary PR'!J24*8/'Machinary PR'!$AB24</f>
        <v>0.25</v>
      </c>
      <c r="K24" s="220">
        <f>'Machinary PR'!K24*8/'Machinary PR'!$AB24</f>
        <v>0</v>
      </c>
      <c r="L24" s="220">
        <f>'Machinary PR'!L24*8/'Machinary PR'!$AB24</f>
        <v>0</v>
      </c>
      <c r="M24" s="220">
        <f>'Machinary PR'!M24*8/'Machinary PR'!$AB24</f>
        <v>0</v>
      </c>
      <c r="N24" s="220">
        <f>'Machinary PR'!N24*8/'Machinary PR'!$AB24</f>
        <v>0</v>
      </c>
      <c r="O24" s="220">
        <f>'Machinary PR'!O24*8/'Machinary PR'!$AB24</f>
        <v>0</v>
      </c>
      <c r="P24" s="220">
        <f>'Machinary PR'!P24*8/'Machinary PR'!$AB24</f>
        <v>0</v>
      </c>
      <c r="Q24" s="220">
        <f>'Machinary PR'!Q24*8/'Machinary PR'!$AB24</f>
        <v>0</v>
      </c>
      <c r="R24" s="220">
        <f>'Machinary PR'!R24*8/'Machinary PR'!$AB24</f>
        <v>0</v>
      </c>
      <c r="S24" s="220">
        <f>'Machinary PR'!S24*8/'Machinary PR'!$AB24</f>
        <v>0</v>
      </c>
      <c r="T24" s="220">
        <f>'Machinary PR'!T24*8/'Machinary PR'!$AB24</f>
        <v>0</v>
      </c>
      <c r="U24" s="220">
        <f>'Machinary PR'!U24*8/'Machinary PR'!$AB24</f>
        <v>0</v>
      </c>
      <c r="V24" s="220">
        <f>'Machinary PR'!V24*8/'Machinary PR'!$AB24</f>
        <v>0</v>
      </c>
      <c r="W24" s="220">
        <f>'Machinary PR'!W24*8/'Machinary PR'!$AB24</f>
        <v>0</v>
      </c>
      <c r="X24" s="220">
        <f>'Machinary PR'!X24*8/'Machinary PR'!$AB24</f>
        <v>0</v>
      </c>
      <c r="Y24" s="220">
        <f>'Machinary PR'!Y24*8/'Machinary PR'!$AB24</f>
        <v>0</v>
      </c>
      <c r="Z24" s="220">
        <f>'Machinary PR'!Z24*8/'Machinary PR'!$AB24</f>
        <v>0</v>
      </c>
      <c r="AA24" s="229">
        <f>'Machinary PR'!AA24*8/'Machinary PR'!$AB24</f>
        <v>0</v>
      </c>
    </row>
    <row r="25" spans="2:27" ht="18.75" x14ac:dyDescent="0.3">
      <c r="B25" s="29" t="str">
        <f>VLOOKUP(D25,'Activity List CSI'!$B$4:$D$146,2,0)</f>
        <v>0223</v>
      </c>
      <c r="C25" s="232" t="str">
        <f>VLOOKUP(D25,'Activity List CSI'!$B$4:$D$146,3,0)</f>
        <v>02700-01</v>
      </c>
      <c r="D25" s="1" t="s">
        <v>407</v>
      </c>
      <c r="E25" s="30" t="s">
        <v>513</v>
      </c>
      <c r="F25" s="218">
        <f>'Machinary PR'!F25*8/'Machinary PR'!$AB25</f>
        <v>0</v>
      </c>
      <c r="G25" s="219">
        <f>'Machinary PR'!G25*8/'Machinary PR'!$AB25</f>
        <v>0</v>
      </c>
      <c r="H25" s="220">
        <f>'Machinary PR'!H25*8/'Machinary PR'!$AB25</f>
        <v>0</v>
      </c>
      <c r="I25" s="220">
        <f>'Machinary PR'!I25*8/'Machinary PR'!$AB25</f>
        <v>1.1428571428571429E-2</v>
      </c>
      <c r="J25" s="220">
        <f>'Machinary PR'!J25*8/'Machinary PR'!$AB25</f>
        <v>2.2857142857142857E-2</v>
      </c>
      <c r="K25" s="220">
        <f>'Machinary PR'!K25*8/'Machinary PR'!$AB25</f>
        <v>0</v>
      </c>
      <c r="L25" s="220">
        <f>'Machinary PR'!L25*8/'Machinary PR'!$AB25</f>
        <v>0</v>
      </c>
      <c r="M25" s="220">
        <f>'Machinary PR'!M25*8/'Machinary PR'!$AB25</f>
        <v>0</v>
      </c>
      <c r="N25" s="220">
        <f>'Machinary PR'!N25*8/'Machinary PR'!$AB25</f>
        <v>1.1428571428571429E-2</v>
      </c>
      <c r="O25" s="220">
        <f>'Machinary PR'!O25*8/'Machinary PR'!$AB25</f>
        <v>0</v>
      </c>
      <c r="P25" s="220">
        <f>'Machinary PR'!P25*8/'Machinary PR'!$AB25</f>
        <v>0</v>
      </c>
      <c r="Q25" s="220">
        <f>'Machinary PR'!Q25*8/'Machinary PR'!$AB25</f>
        <v>0</v>
      </c>
      <c r="R25" s="220">
        <f>'Machinary PR'!R25*8/'Machinary PR'!$AB25</f>
        <v>0</v>
      </c>
      <c r="S25" s="220">
        <f>'Machinary PR'!S25*8/'Machinary PR'!$AB25</f>
        <v>0</v>
      </c>
      <c r="T25" s="220">
        <f>'Machinary PR'!T25*8/'Machinary PR'!$AB25</f>
        <v>0</v>
      </c>
      <c r="U25" s="220">
        <f>'Machinary PR'!U25*8/'Machinary PR'!$AB25</f>
        <v>0</v>
      </c>
      <c r="V25" s="220">
        <f>'Machinary PR'!V25*8/'Machinary PR'!$AB25</f>
        <v>0</v>
      </c>
      <c r="W25" s="220">
        <f>'Machinary PR'!W25*8/'Machinary PR'!$AB25</f>
        <v>0</v>
      </c>
      <c r="X25" s="220">
        <f>'Machinary PR'!X25*8/'Machinary PR'!$AB25</f>
        <v>0</v>
      </c>
      <c r="Y25" s="220">
        <f>'Machinary PR'!Y25*8/'Machinary PR'!$AB25</f>
        <v>0</v>
      </c>
      <c r="Z25" s="220">
        <f>'Machinary PR'!Z25*8/'Machinary PR'!$AB25</f>
        <v>0</v>
      </c>
      <c r="AA25" s="229">
        <f>'Machinary PR'!AA25*8/'Machinary PR'!$AB25</f>
        <v>0</v>
      </c>
    </row>
    <row r="26" spans="2:27" ht="18.75" x14ac:dyDescent="0.3">
      <c r="B26" s="29" t="str">
        <f>VLOOKUP(D26,'Activity List CSI'!$B$4:$D$146,2,0)</f>
        <v>0224</v>
      </c>
      <c r="C26" s="232" t="str">
        <f>VLOOKUP(D26,'Activity List CSI'!$B$4:$D$146,3,0)</f>
        <v>02700-02</v>
      </c>
      <c r="D26" s="1" t="s">
        <v>40</v>
      </c>
      <c r="E26" s="30" t="s">
        <v>513</v>
      </c>
      <c r="F26" s="218">
        <f>'Machinary PR'!F26*8/'Machinary PR'!$AB26</f>
        <v>0</v>
      </c>
      <c r="G26" s="219">
        <f>'Machinary PR'!G26*8/'Machinary PR'!$AB26</f>
        <v>0</v>
      </c>
      <c r="H26" s="220">
        <f>'Machinary PR'!H26*8/'Machinary PR'!$AB26</f>
        <v>0</v>
      </c>
      <c r="I26" s="220">
        <f>'Machinary PR'!I26*8/'Machinary PR'!$AB26</f>
        <v>1.1428571428571429E-2</v>
      </c>
      <c r="J26" s="220">
        <f>'Machinary PR'!J26*8/'Machinary PR'!$AB26</f>
        <v>2.2857142857142857E-2</v>
      </c>
      <c r="K26" s="220">
        <f>'Machinary PR'!K26*8/'Machinary PR'!$AB26</f>
        <v>0</v>
      </c>
      <c r="L26" s="220">
        <f>'Machinary PR'!L26*8/'Machinary PR'!$AB26</f>
        <v>0</v>
      </c>
      <c r="M26" s="220">
        <f>'Machinary PR'!M26*8/'Machinary PR'!$AB26</f>
        <v>0</v>
      </c>
      <c r="N26" s="220">
        <f>'Machinary PR'!N26*8/'Machinary PR'!$AB26</f>
        <v>1.1428571428571429E-2</v>
      </c>
      <c r="O26" s="220">
        <f>'Machinary PR'!O26*8/'Machinary PR'!$AB26</f>
        <v>0</v>
      </c>
      <c r="P26" s="220">
        <f>'Machinary PR'!P26*8/'Machinary PR'!$AB26</f>
        <v>0</v>
      </c>
      <c r="Q26" s="220">
        <f>'Machinary PR'!Q26*8/'Machinary PR'!$AB26</f>
        <v>0</v>
      </c>
      <c r="R26" s="220">
        <f>'Machinary PR'!R26*8/'Machinary PR'!$AB26</f>
        <v>0</v>
      </c>
      <c r="S26" s="220">
        <f>'Machinary PR'!S26*8/'Machinary PR'!$AB26</f>
        <v>0</v>
      </c>
      <c r="T26" s="220">
        <f>'Machinary PR'!T26*8/'Machinary PR'!$AB26</f>
        <v>0</v>
      </c>
      <c r="U26" s="220">
        <f>'Machinary PR'!U26*8/'Machinary PR'!$AB26</f>
        <v>0</v>
      </c>
      <c r="V26" s="220">
        <f>'Machinary PR'!V26*8/'Machinary PR'!$AB26</f>
        <v>0</v>
      </c>
      <c r="W26" s="220">
        <f>'Machinary PR'!W26*8/'Machinary PR'!$AB26</f>
        <v>0</v>
      </c>
      <c r="X26" s="220">
        <f>'Machinary PR'!X26*8/'Machinary PR'!$AB26</f>
        <v>0</v>
      </c>
      <c r="Y26" s="220">
        <f>'Machinary PR'!Y26*8/'Machinary PR'!$AB26</f>
        <v>0</v>
      </c>
      <c r="Z26" s="220">
        <f>'Machinary PR'!Z26*8/'Machinary PR'!$AB26</f>
        <v>0</v>
      </c>
      <c r="AA26" s="229">
        <f>'Machinary PR'!AA26*8/'Machinary PR'!$AB26</f>
        <v>0</v>
      </c>
    </row>
    <row r="27" spans="2:27" ht="18.75" x14ac:dyDescent="0.3">
      <c r="B27" s="29" t="str">
        <f>VLOOKUP(D27,'Activity List CSI'!$B$4:$D$146,2,0)</f>
        <v>0225</v>
      </c>
      <c r="C27" s="232" t="str">
        <f>VLOOKUP(D27,'Activity List CSI'!$B$4:$D$146,3,0)</f>
        <v>02700-03</v>
      </c>
      <c r="D27" s="1" t="s">
        <v>41</v>
      </c>
      <c r="E27" s="30" t="s">
        <v>513</v>
      </c>
      <c r="F27" s="218">
        <f>'Machinary PR'!F27*8/'Machinary PR'!$AB27</f>
        <v>0</v>
      </c>
      <c r="G27" s="219">
        <f>'Machinary PR'!G27*8/'Machinary PR'!$AB27</f>
        <v>0</v>
      </c>
      <c r="H27" s="220">
        <f>'Machinary PR'!H27*8/'Machinary PR'!$AB27</f>
        <v>0</v>
      </c>
      <c r="I27" s="220">
        <f>'Machinary PR'!I27*8/'Machinary PR'!$AB27</f>
        <v>1.1428571428571429E-2</v>
      </c>
      <c r="J27" s="220">
        <f>'Machinary PR'!J27*8/'Machinary PR'!$AB27</f>
        <v>2.2857142857142857E-2</v>
      </c>
      <c r="K27" s="220">
        <f>'Machinary PR'!K27*8/'Machinary PR'!$AB27</f>
        <v>0</v>
      </c>
      <c r="L27" s="220">
        <f>'Machinary PR'!L27*8/'Machinary PR'!$AB27</f>
        <v>0</v>
      </c>
      <c r="M27" s="220">
        <f>'Machinary PR'!M27*8/'Machinary PR'!$AB27</f>
        <v>0</v>
      </c>
      <c r="N27" s="220">
        <f>'Machinary PR'!N27*8/'Machinary PR'!$AB27</f>
        <v>1.1428571428571429E-2</v>
      </c>
      <c r="O27" s="220">
        <f>'Machinary PR'!O27*8/'Machinary PR'!$AB27</f>
        <v>0</v>
      </c>
      <c r="P27" s="220">
        <f>'Machinary PR'!P27*8/'Machinary PR'!$AB27</f>
        <v>0</v>
      </c>
      <c r="Q27" s="220">
        <f>'Machinary PR'!Q27*8/'Machinary PR'!$AB27</f>
        <v>0</v>
      </c>
      <c r="R27" s="220">
        <f>'Machinary PR'!R27*8/'Machinary PR'!$AB27</f>
        <v>0</v>
      </c>
      <c r="S27" s="220">
        <f>'Machinary PR'!S27*8/'Machinary PR'!$AB27</f>
        <v>0</v>
      </c>
      <c r="T27" s="220">
        <f>'Machinary PR'!T27*8/'Machinary PR'!$AB27</f>
        <v>0</v>
      </c>
      <c r="U27" s="220">
        <f>'Machinary PR'!U27*8/'Machinary PR'!$AB27</f>
        <v>0</v>
      </c>
      <c r="V27" s="220">
        <f>'Machinary PR'!V27*8/'Machinary PR'!$AB27</f>
        <v>0</v>
      </c>
      <c r="W27" s="220">
        <f>'Machinary PR'!W27*8/'Machinary PR'!$AB27</f>
        <v>0</v>
      </c>
      <c r="X27" s="220">
        <f>'Machinary PR'!X27*8/'Machinary PR'!$AB27</f>
        <v>0</v>
      </c>
      <c r="Y27" s="220">
        <f>'Machinary PR'!Y27*8/'Machinary PR'!$AB27</f>
        <v>0</v>
      </c>
      <c r="Z27" s="220">
        <f>'Machinary PR'!Z27*8/'Machinary PR'!$AB27</f>
        <v>0</v>
      </c>
      <c r="AA27" s="229">
        <f>'Machinary PR'!AA27*8/'Machinary PR'!$AB27</f>
        <v>0</v>
      </c>
    </row>
    <row r="28" spans="2:27" ht="18.75" x14ac:dyDescent="0.3">
      <c r="B28" s="29" t="str">
        <f>VLOOKUP(D28,'Activity List CSI'!$B$4:$D$146,2,0)</f>
        <v>0226</v>
      </c>
      <c r="C28" s="232" t="str">
        <f>VLOOKUP(D28,'Activity List CSI'!$B$4:$D$146,3,0)</f>
        <v>02700-04</v>
      </c>
      <c r="D28" s="1" t="s">
        <v>42</v>
      </c>
      <c r="E28" s="30" t="s">
        <v>513</v>
      </c>
      <c r="F28" s="218">
        <f>'Machinary PR'!F28*8/'Machinary PR'!$AB28</f>
        <v>0</v>
      </c>
      <c r="G28" s="219">
        <f>'Machinary PR'!G28*8/'Machinary PR'!$AB28</f>
        <v>0</v>
      </c>
      <c r="H28" s="220">
        <f>'Machinary PR'!H28*8/'Machinary PR'!$AB28</f>
        <v>0</v>
      </c>
      <c r="I28" s="220">
        <f>'Machinary PR'!I28*8/'Machinary PR'!$AB28</f>
        <v>1.4545454545454545E-2</v>
      </c>
      <c r="J28" s="220">
        <f>'Machinary PR'!J28*8/'Machinary PR'!$AB28</f>
        <v>0</v>
      </c>
      <c r="K28" s="220">
        <f>'Machinary PR'!K28*8/'Machinary PR'!$AB28</f>
        <v>1.4545454545454545E-2</v>
      </c>
      <c r="L28" s="220">
        <f>'Machinary PR'!L28*8/'Machinary PR'!$AB28</f>
        <v>0</v>
      </c>
      <c r="M28" s="220">
        <f>'Machinary PR'!M28*8/'Machinary PR'!$AB28</f>
        <v>1.4545454545454545E-2</v>
      </c>
      <c r="N28" s="220">
        <f>'Machinary PR'!N28*8/'Machinary PR'!$AB28</f>
        <v>1.4545454545454545E-2</v>
      </c>
      <c r="O28" s="220">
        <f>'Machinary PR'!O28*8/'Machinary PR'!$AB28</f>
        <v>0</v>
      </c>
      <c r="P28" s="220">
        <f>'Machinary PR'!P28*8/'Machinary PR'!$AB28</f>
        <v>0</v>
      </c>
      <c r="Q28" s="220">
        <f>'Machinary PR'!Q28*8/'Machinary PR'!$AB28</f>
        <v>0</v>
      </c>
      <c r="R28" s="220">
        <f>'Machinary PR'!R28*8/'Machinary PR'!$AB28</f>
        <v>0</v>
      </c>
      <c r="S28" s="220">
        <f>'Machinary PR'!S28*8/'Machinary PR'!$AB28</f>
        <v>0</v>
      </c>
      <c r="T28" s="220">
        <f>'Machinary PR'!T28*8/'Machinary PR'!$AB28</f>
        <v>0</v>
      </c>
      <c r="U28" s="220">
        <f>'Machinary PR'!U28*8/'Machinary PR'!$AB28</f>
        <v>0</v>
      </c>
      <c r="V28" s="220">
        <f>'Machinary PR'!V28*8/'Machinary PR'!$AB28</f>
        <v>0</v>
      </c>
      <c r="W28" s="220">
        <f>'Machinary PR'!W28*8/'Machinary PR'!$AB28</f>
        <v>0</v>
      </c>
      <c r="X28" s="220">
        <f>'Machinary PR'!X28*8/'Machinary PR'!$AB28</f>
        <v>0</v>
      </c>
      <c r="Y28" s="220">
        <f>'Machinary PR'!Y28*8/'Machinary PR'!$AB28</f>
        <v>0</v>
      </c>
      <c r="Z28" s="220">
        <f>'Machinary PR'!Z28*8/'Machinary PR'!$AB28</f>
        <v>0</v>
      </c>
      <c r="AA28" s="229">
        <f>'Machinary PR'!AA28*8/'Machinary PR'!$AB28</f>
        <v>0</v>
      </c>
    </row>
    <row r="29" spans="2:27" ht="18.75" x14ac:dyDescent="0.3">
      <c r="B29" s="29" t="str">
        <f>VLOOKUP(D29,'Activity List CSI'!$B$4:$D$146,2,0)</f>
        <v>0227</v>
      </c>
      <c r="C29" s="232" t="str">
        <f>VLOOKUP(D29,'Activity List CSI'!$B$4:$D$146,3,0)</f>
        <v>02700-05</v>
      </c>
      <c r="D29" s="1" t="s">
        <v>43</v>
      </c>
      <c r="E29" s="30" t="s">
        <v>513</v>
      </c>
      <c r="F29" s="218">
        <f>'Machinary PR'!F29*8/'Machinary PR'!$AB29</f>
        <v>0</v>
      </c>
      <c r="G29" s="219">
        <f>'Machinary PR'!G29*8/'Machinary PR'!$AB29</f>
        <v>0</v>
      </c>
      <c r="H29" s="220">
        <f>'Machinary PR'!H29*8/'Machinary PR'!$AB29</f>
        <v>0</v>
      </c>
      <c r="I29" s="220">
        <f>'Machinary PR'!I29*8/'Machinary PR'!$AB29</f>
        <v>1.6E-2</v>
      </c>
      <c r="J29" s="220">
        <f>'Machinary PR'!J29*8/'Machinary PR'!$AB29</f>
        <v>0</v>
      </c>
      <c r="K29" s="220">
        <f>'Machinary PR'!K29*8/'Machinary PR'!$AB29</f>
        <v>0</v>
      </c>
      <c r="L29" s="220">
        <f>'Machinary PR'!L29*8/'Machinary PR'!$AB29</f>
        <v>0</v>
      </c>
      <c r="M29" s="220">
        <f>'Machinary PR'!M29*8/'Machinary PR'!$AB29</f>
        <v>1.6E-2</v>
      </c>
      <c r="N29" s="220">
        <f>'Machinary PR'!N29*8/'Machinary PR'!$AB29</f>
        <v>1.6E-2</v>
      </c>
      <c r="O29" s="220">
        <f>'Machinary PR'!O29*8/'Machinary PR'!$AB29</f>
        <v>0</v>
      </c>
      <c r="P29" s="220">
        <f>'Machinary PR'!P29*8/'Machinary PR'!$AB29</f>
        <v>0</v>
      </c>
      <c r="Q29" s="220">
        <f>'Machinary PR'!Q29*8/'Machinary PR'!$AB29</f>
        <v>0</v>
      </c>
      <c r="R29" s="220">
        <f>'Machinary PR'!R29*8/'Machinary PR'!$AB29</f>
        <v>0</v>
      </c>
      <c r="S29" s="220">
        <f>'Machinary PR'!S29*8/'Machinary PR'!$AB29</f>
        <v>0</v>
      </c>
      <c r="T29" s="220">
        <f>'Machinary PR'!T29*8/'Machinary PR'!$AB29</f>
        <v>0</v>
      </c>
      <c r="U29" s="220">
        <f>'Machinary PR'!U29*8/'Machinary PR'!$AB29</f>
        <v>0</v>
      </c>
      <c r="V29" s="220">
        <f>'Machinary PR'!V29*8/'Machinary PR'!$AB29</f>
        <v>0</v>
      </c>
      <c r="W29" s="220">
        <f>'Machinary PR'!W29*8/'Machinary PR'!$AB29</f>
        <v>0</v>
      </c>
      <c r="X29" s="220">
        <f>'Machinary PR'!X29*8/'Machinary PR'!$AB29</f>
        <v>0</v>
      </c>
      <c r="Y29" s="220">
        <f>'Machinary PR'!Y29*8/'Machinary PR'!$AB29</f>
        <v>0</v>
      </c>
      <c r="Z29" s="220">
        <f>'Machinary PR'!Z29*8/'Machinary PR'!$AB29</f>
        <v>0</v>
      </c>
      <c r="AA29" s="229">
        <f>'Machinary PR'!AA29*8/'Machinary PR'!$AB29</f>
        <v>0</v>
      </c>
    </row>
    <row r="30" spans="2:27" ht="18.75" x14ac:dyDescent="0.3">
      <c r="B30" s="29" t="str">
        <f>VLOOKUP(D30,'Activity List CSI'!$B$4:$D$146,2,0)</f>
        <v>0228</v>
      </c>
      <c r="C30" s="232" t="str">
        <f>VLOOKUP(D30,'Activity List CSI'!$B$4:$D$146,3,0)</f>
        <v>02700-06</v>
      </c>
      <c r="D30" s="1" t="s">
        <v>44</v>
      </c>
      <c r="E30" s="30" t="s">
        <v>513</v>
      </c>
      <c r="F30" s="218">
        <f>'Machinary PR'!F30*8/'Machinary PR'!$AB30</f>
        <v>0</v>
      </c>
      <c r="G30" s="219">
        <f>'Machinary PR'!G30*8/'Machinary PR'!$AB30</f>
        <v>0</v>
      </c>
      <c r="H30" s="220">
        <f>'Machinary PR'!H30*8/'Machinary PR'!$AB30</f>
        <v>0</v>
      </c>
      <c r="I30" s="220">
        <f>'Machinary PR'!I30*8/'Machinary PR'!$AB30</f>
        <v>0</v>
      </c>
      <c r="J30" s="220">
        <f>'Machinary PR'!J30*8/'Machinary PR'!$AB30</f>
        <v>0</v>
      </c>
      <c r="K30" s="220">
        <f>'Machinary PR'!K30*8/'Machinary PR'!$AB30</f>
        <v>0</v>
      </c>
      <c r="L30" s="220">
        <f>'Machinary PR'!L30*8/'Machinary PR'!$AB30</f>
        <v>0</v>
      </c>
      <c r="M30" s="220">
        <f>'Machinary PR'!M30*8/'Machinary PR'!$AB30</f>
        <v>0</v>
      </c>
      <c r="N30" s="220">
        <f>'Machinary PR'!N30*8/'Machinary PR'!$AB30</f>
        <v>0</v>
      </c>
      <c r="O30" s="220">
        <f>'Machinary PR'!O30*8/'Machinary PR'!$AB30</f>
        <v>0</v>
      </c>
      <c r="P30" s="220">
        <f>'Machinary PR'!P30*8/'Machinary PR'!$AB30</f>
        <v>0</v>
      </c>
      <c r="Q30" s="220">
        <f>'Machinary PR'!Q30*8/'Machinary PR'!$AB30</f>
        <v>0</v>
      </c>
      <c r="R30" s="220">
        <f>'Machinary PR'!R30*8/'Machinary PR'!$AB30</f>
        <v>0</v>
      </c>
      <c r="S30" s="220">
        <f>'Machinary PR'!S30*8/'Machinary PR'!$AB30</f>
        <v>0</v>
      </c>
      <c r="T30" s="220">
        <f>'Machinary PR'!T30*8/'Machinary PR'!$AB30</f>
        <v>0</v>
      </c>
      <c r="U30" s="220">
        <f>'Machinary PR'!U30*8/'Machinary PR'!$AB30</f>
        <v>0</v>
      </c>
      <c r="V30" s="220">
        <f>'Machinary PR'!V30*8/'Machinary PR'!$AB30</f>
        <v>0</v>
      </c>
      <c r="W30" s="220">
        <f>'Machinary PR'!W30*8/'Machinary PR'!$AB30</f>
        <v>8.0000000000000002E-3</v>
      </c>
      <c r="X30" s="220">
        <f>'Machinary PR'!X30*8/'Machinary PR'!$AB30</f>
        <v>0</v>
      </c>
      <c r="Y30" s="220">
        <f>'Machinary PR'!Y30*8/'Machinary PR'!$AB30</f>
        <v>0</v>
      </c>
      <c r="Z30" s="220">
        <f>'Machinary PR'!Z30*8/'Machinary PR'!$AB30</f>
        <v>0</v>
      </c>
      <c r="AA30" s="229">
        <f>'Machinary PR'!AA30*8/'Machinary PR'!$AB30</f>
        <v>0</v>
      </c>
    </row>
    <row r="31" spans="2:27" ht="18.75" x14ac:dyDescent="0.3">
      <c r="B31" s="29" t="str">
        <f>VLOOKUP(D31,'Activity List CSI'!$B$4:$D$146,2,0)</f>
        <v>0229</v>
      </c>
      <c r="C31" s="232" t="str">
        <f>VLOOKUP(D31,'Activity List CSI'!$B$4:$D$146,3,0)</f>
        <v>02700-07</v>
      </c>
      <c r="D31" s="1" t="s">
        <v>45</v>
      </c>
      <c r="E31" s="30" t="s">
        <v>513</v>
      </c>
      <c r="F31" s="218">
        <f>'Machinary PR'!F31*8/'Machinary PR'!$AB31</f>
        <v>0</v>
      </c>
      <c r="G31" s="219">
        <f>'Machinary PR'!G31*8/'Machinary PR'!$AB31</f>
        <v>0</v>
      </c>
      <c r="H31" s="220">
        <f>'Machinary PR'!H31*8/'Machinary PR'!$AB31</f>
        <v>0</v>
      </c>
      <c r="I31" s="220">
        <f>'Machinary PR'!I31*8/'Machinary PR'!$AB31</f>
        <v>0</v>
      </c>
      <c r="J31" s="220">
        <f>'Machinary PR'!J31*8/'Machinary PR'!$AB31</f>
        <v>3.2000000000000001E-2</v>
      </c>
      <c r="K31" s="220">
        <f>'Machinary PR'!K31*8/'Machinary PR'!$AB31</f>
        <v>0</v>
      </c>
      <c r="L31" s="220">
        <f>'Machinary PR'!L31*8/'Machinary PR'!$AB31</f>
        <v>0</v>
      </c>
      <c r="M31" s="220">
        <f>'Machinary PR'!M31*8/'Machinary PR'!$AB31</f>
        <v>8.0000000000000002E-3</v>
      </c>
      <c r="N31" s="220">
        <f>'Machinary PR'!N31*8/'Machinary PR'!$AB31</f>
        <v>0</v>
      </c>
      <c r="O31" s="220">
        <f>'Machinary PR'!O31*8/'Machinary PR'!$AB31</f>
        <v>0</v>
      </c>
      <c r="P31" s="220">
        <f>'Machinary PR'!P31*8/'Machinary PR'!$AB31</f>
        <v>0</v>
      </c>
      <c r="Q31" s="220">
        <f>'Machinary PR'!Q31*8/'Machinary PR'!$AB31</f>
        <v>0</v>
      </c>
      <c r="R31" s="220">
        <f>'Machinary PR'!R31*8/'Machinary PR'!$AB31</f>
        <v>0</v>
      </c>
      <c r="S31" s="220">
        <f>'Machinary PR'!S31*8/'Machinary PR'!$AB31</f>
        <v>0</v>
      </c>
      <c r="T31" s="220">
        <f>'Machinary PR'!T31*8/'Machinary PR'!$AB31</f>
        <v>0</v>
      </c>
      <c r="U31" s="220">
        <f>'Machinary PR'!U31*8/'Machinary PR'!$AB31</f>
        <v>0</v>
      </c>
      <c r="V31" s="220">
        <f>'Machinary PR'!V31*8/'Machinary PR'!$AB31</f>
        <v>0</v>
      </c>
      <c r="W31" s="220">
        <f>'Machinary PR'!W31*8/'Machinary PR'!$AB31</f>
        <v>0</v>
      </c>
      <c r="X31" s="220">
        <f>'Machinary PR'!X31*8/'Machinary PR'!$AB31</f>
        <v>0</v>
      </c>
      <c r="Y31" s="220">
        <f>'Machinary PR'!Y31*8/'Machinary PR'!$AB31</f>
        <v>8.0000000000000002E-3</v>
      </c>
      <c r="Z31" s="220">
        <f>'Machinary PR'!Z31*8/'Machinary PR'!$AB31</f>
        <v>0</v>
      </c>
      <c r="AA31" s="229">
        <f>'Machinary PR'!AA31*8/'Machinary PR'!$AB31</f>
        <v>0</v>
      </c>
    </row>
    <row r="32" spans="2:27" ht="18.75" x14ac:dyDescent="0.3">
      <c r="B32" s="29" t="str">
        <f>VLOOKUP(D32,'Activity List CSI'!$B$4:$D$146,2,0)</f>
        <v>0230</v>
      </c>
      <c r="C32" s="232" t="str">
        <f>VLOOKUP(D32,'Activity List CSI'!$B$4:$D$146,3,0)</f>
        <v>02700-08</v>
      </c>
      <c r="D32" s="1" t="s">
        <v>46</v>
      </c>
      <c r="E32" s="30" t="s">
        <v>513</v>
      </c>
      <c r="F32" s="218">
        <f>'Machinary PR'!F32*8/'Machinary PR'!$AB32</f>
        <v>0</v>
      </c>
      <c r="G32" s="219">
        <f>'Machinary PR'!G32*8/'Machinary PR'!$AB32</f>
        <v>0</v>
      </c>
      <c r="H32" s="220">
        <f>'Machinary PR'!H32*8/'Machinary PR'!$AB32</f>
        <v>0</v>
      </c>
      <c r="I32" s="220">
        <f>'Machinary PR'!I32*8/'Machinary PR'!$AB32</f>
        <v>0</v>
      </c>
      <c r="J32" s="220">
        <f>'Machinary PR'!J32*8/'Machinary PR'!$AB32</f>
        <v>0</v>
      </c>
      <c r="K32" s="220">
        <f>'Machinary PR'!K32*8/'Machinary PR'!$AB32</f>
        <v>0</v>
      </c>
      <c r="L32" s="220">
        <f>'Machinary PR'!L32*8/'Machinary PR'!$AB32</f>
        <v>0</v>
      </c>
      <c r="M32" s="220">
        <f>'Machinary PR'!M32*8/'Machinary PR'!$AB32</f>
        <v>0</v>
      </c>
      <c r="N32" s="220">
        <f>'Machinary PR'!N32*8/'Machinary PR'!$AB32</f>
        <v>0</v>
      </c>
      <c r="O32" s="220">
        <f>'Machinary PR'!O32*8/'Machinary PR'!$AB32</f>
        <v>0</v>
      </c>
      <c r="P32" s="220">
        <f>'Machinary PR'!P32*8/'Machinary PR'!$AB32</f>
        <v>0</v>
      </c>
      <c r="Q32" s="220">
        <f>'Machinary PR'!Q32*8/'Machinary PR'!$AB32</f>
        <v>0</v>
      </c>
      <c r="R32" s="220">
        <f>'Machinary PR'!R32*8/'Machinary PR'!$AB32</f>
        <v>0</v>
      </c>
      <c r="S32" s="220">
        <f>'Machinary PR'!S32*8/'Machinary PR'!$AB32</f>
        <v>0</v>
      </c>
      <c r="T32" s="220">
        <f>'Machinary PR'!T32*8/'Machinary PR'!$AB32</f>
        <v>0</v>
      </c>
      <c r="U32" s="220">
        <f>'Machinary PR'!U32*8/'Machinary PR'!$AB32</f>
        <v>0</v>
      </c>
      <c r="V32" s="220">
        <f>'Machinary PR'!V32*8/'Machinary PR'!$AB32</f>
        <v>0</v>
      </c>
      <c r="W32" s="220">
        <f>'Machinary PR'!W32*8/'Machinary PR'!$AB32</f>
        <v>0</v>
      </c>
      <c r="X32" s="220">
        <f>'Machinary PR'!X32*8/'Machinary PR'!$AB32</f>
        <v>8.0000000000000002E-3</v>
      </c>
      <c r="Y32" s="220">
        <f>'Machinary PR'!Y32*8/'Machinary PR'!$AB32</f>
        <v>0</v>
      </c>
      <c r="Z32" s="220">
        <f>'Machinary PR'!Z32*8/'Machinary PR'!$AB32</f>
        <v>0</v>
      </c>
      <c r="AA32" s="229">
        <f>'Machinary PR'!AA32*8/'Machinary PR'!$AB32</f>
        <v>0</v>
      </c>
    </row>
    <row r="33" spans="2:27" ht="18.75" x14ac:dyDescent="0.3">
      <c r="B33" s="29" t="str">
        <f>VLOOKUP(D33,'Activity List CSI'!$B$4:$D$146,2,0)</f>
        <v>0231</v>
      </c>
      <c r="C33" s="232" t="str">
        <f>VLOOKUP(D33,'Activity List CSI'!$B$4:$D$146,3,0)</f>
        <v>02700-09</v>
      </c>
      <c r="D33" s="1" t="s">
        <v>47</v>
      </c>
      <c r="E33" s="30" t="s">
        <v>513</v>
      </c>
      <c r="F33" s="218">
        <f>'Machinary PR'!F33*8/'Machinary PR'!$AB33</f>
        <v>0</v>
      </c>
      <c r="G33" s="219">
        <f>'Machinary PR'!G33*8/'Machinary PR'!$AB33</f>
        <v>0</v>
      </c>
      <c r="H33" s="220">
        <f>'Machinary PR'!H33*8/'Machinary PR'!$AB33</f>
        <v>0</v>
      </c>
      <c r="I33" s="220">
        <f>'Machinary PR'!I33*8/'Machinary PR'!$AB33</f>
        <v>0</v>
      </c>
      <c r="J33" s="220">
        <f>'Machinary PR'!J33*8/'Machinary PR'!$AB33</f>
        <v>2.6666666666666668E-2</v>
      </c>
      <c r="K33" s="220">
        <f>'Machinary PR'!K33*8/'Machinary PR'!$AB33</f>
        <v>0</v>
      </c>
      <c r="L33" s="220">
        <f>'Machinary PR'!L33*8/'Machinary PR'!$AB33</f>
        <v>0</v>
      </c>
      <c r="M33" s="220">
        <f>'Machinary PR'!M33*8/'Machinary PR'!$AB33</f>
        <v>1.3333333333333334E-2</v>
      </c>
      <c r="N33" s="220">
        <f>'Machinary PR'!N33*8/'Machinary PR'!$AB33</f>
        <v>0</v>
      </c>
      <c r="O33" s="220">
        <f>'Machinary PR'!O33*8/'Machinary PR'!$AB33</f>
        <v>0</v>
      </c>
      <c r="P33" s="220">
        <f>'Machinary PR'!P33*8/'Machinary PR'!$AB33</f>
        <v>0</v>
      </c>
      <c r="Q33" s="220">
        <f>'Machinary PR'!Q33*8/'Machinary PR'!$AB33</f>
        <v>0</v>
      </c>
      <c r="R33" s="220">
        <f>'Machinary PR'!R33*8/'Machinary PR'!$AB33</f>
        <v>0</v>
      </c>
      <c r="S33" s="220">
        <f>'Machinary PR'!S33*8/'Machinary PR'!$AB33</f>
        <v>0</v>
      </c>
      <c r="T33" s="220">
        <f>'Machinary PR'!T33*8/'Machinary PR'!$AB33</f>
        <v>0</v>
      </c>
      <c r="U33" s="220">
        <f>'Machinary PR'!U33*8/'Machinary PR'!$AB33</f>
        <v>0</v>
      </c>
      <c r="V33" s="220">
        <f>'Machinary PR'!V33*8/'Machinary PR'!$AB33</f>
        <v>0</v>
      </c>
      <c r="W33" s="220">
        <f>'Machinary PR'!W33*8/'Machinary PR'!$AB33</f>
        <v>0</v>
      </c>
      <c r="X33" s="220">
        <f>'Machinary PR'!X33*8/'Machinary PR'!$AB33</f>
        <v>0</v>
      </c>
      <c r="Y33" s="220">
        <f>'Machinary PR'!Y33*8/'Machinary PR'!$AB33</f>
        <v>6.6666666666666671E-3</v>
      </c>
      <c r="Z33" s="220">
        <f>'Machinary PR'!Z33*8/'Machinary PR'!$AB33</f>
        <v>0</v>
      </c>
      <c r="AA33" s="229">
        <f>'Machinary PR'!AA33*8/'Machinary PR'!$AB33</f>
        <v>0</v>
      </c>
    </row>
    <row r="34" spans="2:27" ht="18.75" x14ac:dyDescent="0.3">
      <c r="B34" s="29" t="str">
        <f>VLOOKUP(D34,'Activity List CSI'!$B$4:$D$146,2,0)</f>
        <v>0232</v>
      </c>
      <c r="C34" s="232" t="str">
        <f>VLOOKUP(D34,'Activity List CSI'!$B$4:$D$146,3,0)</f>
        <v>09900-04</v>
      </c>
      <c r="D34" s="1" t="s">
        <v>48</v>
      </c>
      <c r="E34" s="30" t="s">
        <v>519</v>
      </c>
      <c r="F34" s="218">
        <f>'Machinary PR'!F34*8/'Machinary PR'!$AB34</f>
        <v>0</v>
      </c>
      <c r="G34" s="219">
        <f>'Machinary PR'!G34*8/'Machinary PR'!$AB34</f>
        <v>0</v>
      </c>
      <c r="H34" s="220">
        <f>'Machinary PR'!H34*8/'Machinary PR'!$AB34</f>
        <v>0</v>
      </c>
      <c r="I34" s="220">
        <f>'Machinary PR'!I34*8/'Machinary PR'!$AB34</f>
        <v>0</v>
      </c>
      <c r="J34" s="220">
        <f>'Machinary PR'!J34*8/'Machinary PR'!$AB34</f>
        <v>0</v>
      </c>
      <c r="K34" s="220">
        <f>'Machinary PR'!K34*8/'Machinary PR'!$AB34</f>
        <v>0</v>
      </c>
      <c r="L34" s="220">
        <f>'Machinary PR'!L34*8/'Machinary PR'!$AB34</f>
        <v>0</v>
      </c>
      <c r="M34" s="220">
        <f>'Machinary PR'!M34*8/'Machinary PR'!$AB34</f>
        <v>0</v>
      </c>
      <c r="N34" s="220">
        <f>'Machinary PR'!N34*8/'Machinary PR'!$AB34</f>
        <v>0</v>
      </c>
      <c r="O34" s="220">
        <f>'Machinary PR'!O34*8/'Machinary PR'!$AB34</f>
        <v>0</v>
      </c>
      <c r="P34" s="220">
        <f>'Machinary PR'!P34*8/'Machinary PR'!$AB34</f>
        <v>0</v>
      </c>
      <c r="Q34" s="220">
        <f>'Machinary PR'!Q34*8/'Machinary PR'!$AB34</f>
        <v>0</v>
      </c>
      <c r="R34" s="220">
        <f>'Machinary PR'!R34*8/'Machinary PR'!$AB34</f>
        <v>0</v>
      </c>
      <c r="S34" s="220">
        <f>'Machinary PR'!S34*8/'Machinary PR'!$AB34</f>
        <v>0</v>
      </c>
      <c r="T34" s="220">
        <f>'Machinary PR'!T34*8/'Machinary PR'!$AB34</f>
        <v>0</v>
      </c>
      <c r="U34" s="220">
        <f>'Machinary PR'!U34*8/'Machinary PR'!$AB34</f>
        <v>0</v>
      </c>
      <c r="V34" s="220">
        <f>'Machinary PR'!V34*8/'Machinary PR'!$AB34</f>
        <v>0</v>
      </c>
      <c r="W34" s="220">
        <f>'Machinary PR'!W34*8/'Machinary PR'!$AB34</f>
        <v>0</v>
      </c>
      <c r="X34" s="220">
        <f>'Machinary PR'!X34*8/'Machinary PR'!$AB34</f>
        <v>0</v>
      </c>
      <c r="Y34" s="220">
        <f>'Machinary PR'!Y34*8/'Machinary PR'!$AB34</f>
        <v>0</v>
      </c>
      <c r="Z34" s="220">
        <f>'Machinary PR'!Z34*8/'Machinary PR'!$AB34</f>
        <v>4.4444444444444444E-3</v>
      </c>
      <c r="AA34" s="229">
        <f>'Machinary PR'!AA34*8/'Machinary PR'!$AB34</f>
        <v>0</v>
      </c>
    </row>
    <row r="35" spans="2:27" ht="18.75" x14ac:dyDescent="0.3">
      <c r="B35" s="29" t="str">
        <f>VLOOKUP(D35,'Activity List CSI'!$B$4:$D$146,2,0)</f>
        <v>0233</v>
      </c>
      <c r="C35" s="232" t="str">
        <f>VLOOKUP(D35,'Activity List CSI'!$B$4:$D$146,3,0)</f>
        <v>02700-10</v>
      </c>
      <c r="D35" s="1" t="s">
        <v>49</v>
      </c>
      <c r="E35" s="30" t="s">
        <v>519</v>
      </c>
      <c r="F35" s="218">
        <f>'Machinary PR'!F35*8/'Machinary PR'!$AB35</f>
        <v>0</v>
      </c>
      <c r="G35" s="219">
        <f>'Machinary PR'!G35*8/'Machinary PR'!$AB35</f>
        <v>0</v>
      </c>
      <c r="H35" s="220">
        <f>'Machinary PR'!H35*8/'Machinary PR'!$AB35</f>
        <v>0</v>
      </c>
      <c r="I35" s="220">
        <f>'Machinary PR'!I35*8/'Machinary PR'!$AB35</f>
        <v>0</v>
      </c>
      <c r="J35" s="220">
        <f>'Machinary PR'!J35*8/'Machinary PR'!$AB35</f>
        <v>0</v>
      </c>
      <c r="K35" s="220">
        <f>'Machinary PR'!K35*8/'Machinary PR'!$AB35</f>
        <v>0</v>
      </c>
      <c r="L35" s="220">
        <f>'Machinary PR'!L35*8/'Machinary PR'!$AB35</f>
        <v>0</v>
      </c>
      <c r="M35" s="220">
        <f>'Machinary PR'!M35*8/'Machinary PR'!$AB35</f>
        <v>0</v>
      </c>
      <c r="N35" s="220">
        <f>'Machinary PR'!N35*8/'Machinary PR'!$AB35</f>
        <v>0</v>
      </c>
      <c r="O35" s="220">
        <f>'Machinary PR'!O35*8/'Machinary PR'!$AB35</f>
        <v>0</v>
      </c>
      <c r="P35" s="220">
        <f>'Machinary PR'!P35*8/'Machinary PR'!$AB35</f>
        <v>0</v>
      </c>
      <c r="Q35" s="220">
        <f>'Machinary PR'!Q35*8/'Machinary PR'!$AB35</f>
        <v>0</v>
      </c>
      <c r="R35" s="220">
        <f>'Machinary PR'!R35*8/'Machinary PR'!$AB35</f>
        <v>0</v>
      </c>
      <c r="S35" s="220">
        <f>'Machinary PR'!S35*8/'Machinary PR'!$AB35</f>
        <v>0</v>
      </c>
      <c r="T35" s="220">
        <f>'Machinary PR'!T35*8/'Machinary PR'!$AB35</f>
        <v>0</v>
      </c>
      <c r="U35" s="220">
        <f>'Machinary PR'!U35*8/'Machinary PR'!$AB35</f>
        <v>5.3333333333333337E-2</v>
      </c>
      <c r="V35" s="220">
        <f>'Machinary PR'!V35*8/'Machinary PR'!$AB35</f>
        <v>0</v>
      </c>
      <c r="W35" s="220">
        <f>'Machinary PR'!W35*8/'Machinary PR'!$AB35</f>
        <v>0</v>
      </c>
      <c r="X35" s="220">
        <f>'Machinary PR'!X35*8/'Machinary PR'!$AB35</f>
        <v>0</v>
      </c>
      <c r="Y35" s="220">
        <f>'Machinary PR'!Y35*8/'Machinary PR'!$AB35</f>
        <v>0</v>
      </c>
      <c r="Z35" s="220">
        <f>'Machinary PR'!Z35*8/'Machinary PR'!$AB35</f>
        <v>0</v>
      </c>
      <c r="AA35" s="229">
        <f>'Machinary PR'!AA35*8/'Machinary PR'!$AB35</f>
        <v>0</v>
      </c>
    </row>
    <row r="36" spans="2:27" ht="18.75" x14ac:dyDescent="0.3">
      <c r="B36" s="29" t="str">
        <f>VLOOKUP(D36,'Activity List CSI'!$B$4:$D$146,2,0)</f>
        <v>0237</v>
      </c>
      <c r="C36" s="232" t="str">
        <f>VLOOKUP(D36,'Activity List CSI'!$B$4:$D$146,3,0)</f>
        <v>02200-01</v>
      </c>
      <c r="D36" s="1" t="s">
        <v>1</v>
      </c>
      <c r="E36" s="30" t="s">
        <v>513</v>
      </c>
      <c r="F36" s="218">
        <f>'Machinary PR'!F36*8/'Machinary PR'!$AB36</f>
        <v>0</v>
      </c>
      <c r="G36" s="219">
        <f>'Machinary PR'!G36*8/'Machinary PR'!$AB36</f>
        <v>8.0000000000000002E-3</v>
      </c>
      <c r="H36" s="220">
        <f>'Machinary PR'!H36*8/'Machinary PR'!$AB36</f>
        <v>0</v>
      </c>
      <c r="I36" s="220">
        <f>'Machinary PR'!I36*8/'Machinary PR'!$AB36</f>
        <v>8.0000000000000002E-3</v>
      </c>
      <c r="J36" s="220">
        <f>'Machinary PR'!J36*8/'Machinary PR'!$AB36</f>
        <v>1.6E-2</v>
      </c>
      <c r="K36" s="220">
        <f>'Machinary PR'!K36*8/'Machinary PR'!$AB36</f>
        <v>0</v>
      </c>
      <c r="L36" s="220">
        <f>'Machinary PR'!L36*8/'Machinary PR'!$AB36</f>
        <v>0</v>
      </c>
      <c r="M36" s="220">
        <f>'Machinary PR'!M36*8/'Machinary PR'!$AB36</f>
        <v>0</v>
      </c>
      <c r="N36" s="220">
        <f>'Machinary PR'!N36*8/'Machinary PR'!$AB36</f>
        <v>0</v>
      </c>
      <c r="O36" s="220">
        <f>'Machinary PR'!O36*8/'Machinary PR'!$AB36</f>
        <v>0</v>
      </c>
      <c r="P36" s="220">
        <f>'Machinary PR'!P36*8/'Machinary PR'!$AB36</f>
        <v>0</v>
      </c>
      <c r="Q36" s="220">
        <f>'Machinary PR'!Q36*8/'Machinary PR'!$AB36</f>
        <v>0</v>
      </c>
      <c r="R36" s="220">
        <f>'Machinary PR'!R36*8/'Machinary PR'!$AB36</f>
        <v>0</v>
      </c>
      <c r="S36" s="220">
        <f>'Machinary PR'!S36*8/'Machinary PR'!$AB36</f>
        <v>0</v>
      </c>
      <c r="T36" s="220">
        <f>'Machinary PR'!T36*8/'Machinary PR'!$AB36</f>
        <v>0</v>
      </c>
      <c r="U36" s="220">
        <f>'Machinary PR'!U36*8/'Machinary PR'!$AB36</f>
        <v>0</v>
      </c>
      <c r="V36" s="220">
        <f>'Machinary PR'!V36*8/'Machinary PR'!$AB36</f>
        <v>0</v>
      </c>
      <c r="W36" s="220">
        <f>'Machinary PR'!W36*8/'Machinary PR'!$AB36</f>
        <v>0</v>
      </c>
      <c r="X36" s="220">
        <f>'Machinary PR'!X36*8/'Machinary PR'!$AB36</f>
        <v>0</v>
      </c>
      <c r="Y36" s="220">
        <f>'Machinary PR'!Y36*8/'Machinary PR'!$AB36</f>
        <v>0</v>
      </c>
      <c r="Z36" s="220">
        <f>'Machinary PR'!Z36*8/'Machinary PR'!$AB36</f>
        <v>0</v>
      </c>
      <c r="AA36" s="229">
        <f>'Machinary PR'!AA36*8/'Machinary PR'!$AB36</f>
        <v>0</v>
      </c>
    </row>
    <row r="37" spans="2:27" ht="18.75" x14ac:dyDescent="0.3">
      <c r="B37" s="29" t="str">
        <f>VLOOKUP(D37,'Activity List CSI'!$B$4:$D$146,2,0)</f>
        <v>0238</v>
      </c>
      <c r="C37" s="232" t="str">
        <f>VLOOKUP(D37,'Activity List CSI'!$B$4:$D$146,3,0)</f>
        <v>02200-02</v>
      </c>
      <c r="D37" s="1" t="s">
        <v>53</v>
      </c>
      <c r="E37" s="30"/>
      <c r="F37" s="218">
        <f>'Machinary PR'!F37*8/'Machinary PR'!$AB37</f>
        <v>0</v>
      </c>
      <c r="G37" s="219">
        <f>'Machinary PR'!G37*8/'Machinary PR'!$AB37</f>
        <v>8.0000000000000002E-3</v>
      </c>
      <c r="H37" s="220">
        <f>'Machinary PR'!H37*8/'Machinary PR'!$AB37</f>
        <v>0</v>
      </c>
      <c r="I37" s="220">
        <f>'Machinary PR'!I37*8/'Machinary PR'!$AB37</f>
        <v>8.0000000000000002E-3</v>
      </c>
      <c r="J37" s="220">
        <f>'Machinary PR'!J37*8/'Machinary PR'!$AB37</f>
        <v>1.6E-2</v>
      </c>
      <c r="K37" s="220">
        <f>'Machinary PR'!K37*8/'Machinary PR'!$AB37</f>
        <v>0</v>
      </c>
      <c r="L37" s="220">
        <f>'Machinary PR'!L37*8/'Machinary PR'!$AB37</f>
        <v>0</v>
      </c>
      <c r="M37" s="220">
        <f>'Machinary PR'!M37*8/'Machinary PR'!$AB37</f>
        <v>0</v>
      </c>
      <c r="N37" s="220">
        <f>'Machinary PR'!N37*8/'Machinary PR'!$AB37</f>
        <v>0</v>
      </c>
      <c r="O37" s="220">
        <f>'Machinary PR'!O37*8/'Machinary PR'!$AB37</f>
        <v>0</v>
      </c>
      <c r="P37" s="220">
        <f>'Machinary PR'!P37*8/'Machinary PR'!$AB37</f>
        <v>0</v>
      </c>
      <c r="Q37" s="220">
        <f>'Machinary PR'!Q37*8/'Machinary PR'!$AB37</f>
        <v>0</v>
      </c>
      <c r="R37" s="220">
        <f>'Machinary PR'!R37*8/'Machinary PR'!$AB37</f>
        <v>0</v>
      </c>
      <c r="S37" s="220">
        <f>'Machinary PR'!S37*8/'Machinary PR'!$AB37</f>
        <v>0</v>
      </c>
      <c r="T37" s="220">
        <f>'Machinary PR'!T37*8/'Machinary PR'!$AB37</f>
        <v>0</v>
      </c>
      <c r="U37" s="220">
        <f>'Machinary PR'!U37*8/'Machinary PR'!$AB37</f>
        <v>0</v>
      </c>
      <c r="V37" s="220">
        <f>'Machinary PR'!V37*8/'Machinary PR'!$AB37</f>
        <v>0</v>
      </c>
      <c r="W37" s="220">
        <f>'Machinary PR'!W37*8/'Machinary PR'!$AB37</f>
        <v>0</v>
      </c>
      <c r="X37" s="220">
        <f>'Machinary PR'!X37*8/'Machinary PR'!$AB37</f>
        <v>0</v>
      </c>
      <c r="Y37" s="220">
        <f>'Machinary PR'!Y37*8/'Machinary PR'!$AB37</f>
        <v>0</v>
      </c>
      <c r="Z37" s="220">
        <f>'Machinary PR'!Z37*8/'Machinary PR'!$AB37</f>
        <v>0</v>
      </c>
      <c r="AA37" s="229">
        <f>'Machinary PR'!AA37*8/'Machinary PR'!$AB37</f>
        <v>0</v>
      </c>
    </row>
    <row r="38" spans="2:27" ht="18.75" x14ac:dyDescent="0.3">
      <c r="B38" s="29" t="str">
        <f>VLOOKUP(D38,'Activity List CSI'!$B$4:$D$146,2,0)</f>
        <v>0245</v>
      </c>
      <c r="C38" s="232" t="str">
        <f>VLOOKUP(D38,'Activity List CSI'!$B$4:$D$146,3,0)</f>
        <v>02200-03</v>
      </c>
      <c r="D38" s="1" t="s">
        <v>64</v>
      </c>
      <c r="E38" s="30" t="s">
        <v>515</v>
      </c>
      <c r="F38" s="218">
        <f>'Machinary PR'!F38*8/'Machinary PR'!$AB38</f>
        <v>0</v>
      </c>
      <c r="G38" s="219">
        <f>'Machinary PR'!G38*8/'Machinary PR'!$AB38</f>
        <v>0</v>
      </c>
      <c r="H38" s="220">
        <f>'Machinary PR'!H38*8/'Machinary PR'!$AB38</f>
        <v>0</v>
      </c>
      <c r="I38" s="220">
        <f>'Machinary PR'!I38*8/'Machinary PR'!$AB38</f>
        <v>2.2857142857142857E-2</v>
      </c>
      <c r="J38" s="220">
        <f>'Machinary PR'!J38*8/'Machinary PR'!$AB38</f>
        <v>4.5714285714285714E-2</v>
      </c>
      <c r="K38" s="220">
        <f>'Machinary PR'!K38*8/'Machinary PR'!$AB38</f>
        <v>0</v>
      </c>
      <c r="L38" s="220">
        <f>'Machinary PR'!L38*8/'Machinary PR'!$AB38</f>
        <v>0</v>
      </c>
      <c r="M38" s="220">
        <f>'Machinary PR'!M38*8/'Machinary PR'!$AB38</f>
        <v>0</v>
      </c>
      <c r="N38" s="220">
        <f>'Machinary PR'!N38*8/'Machinary PR'!$AB38</f>
        <v>0</v>
      </c>
      <c r="O38" s="220">
        <f>'Machinary PR'!O38*8/'Machinary PR'!$AB38</f>
        <v>0</v>
      </c>
      <c r="P38" s="220">
        <f>'Machinary PR'!P38*8/'Machinary PR'!$AB38</f>
        <v>0</v>
      </c>
      <c r="Q38" s="220">
        <f>'Machinary PR'!Q38*8/'Machinary PR'!$AB38</f>
        <v>0</v>
      </c>
      <c r="R38" s="220">
        <f>'Machinary PR'!R38*8/'Machinary PR'!$AB38</f>
        <v>0</v>
      </c>
      <c r="S38" s="220">
        <f>'Machinary PR'!S38*8/'Machinary PR'!$AB38</f>
        <v>0</v>
      </c>
      <c r="T38" s="220">
        <f>'Machinary PR'!T38*8/'Machinary PR'!$AB38</f>
        <v>0</v>
      </c>
      <c r="U38" s="220">
        <f>'Machinary PR'!U38*8/'Machinary PR'!$AB38</f>
        <v>2.2857142857142857E-2</v>
      </c>
      <c r="V38" s="220">
        <f>'Machinary PR'!V38*8/'Machinary PR'!$AB38</f>
        <v>0</v>
      </c>
      <c r="W38" s="220">
        <f>'Machinary PR'!W38*8/'Machinary PR'!$AB38</f>
        <v>0</v>
      </c>
      <c r="X38" s="220">
        <f>'Machinary PR'!X38*8/'Machinary PR'!$AB38</f>
        <v>0</v>
      </c>
      <c r="Y38" s="220">
        <f>'Machinary PR'!Y38*8/'Machinary PR'!$AB38</f>
        <v>0</v>
      </c>
      <c r="Z38" s="220">
        <f>'Machinary PR'!Z38*8/'Machinary PR'!$AB38</f>
        <v>0</v>
      </c>
      <c r="AA38" s="229">
        <f>'Machinary PR'!AA38*8/'Machinary PR'!$AB38</f>
        <v>0</v>
      </c>
    </row>
    <row r="39" spans="2:27" ht="18.75" x14ac:dyDescent="0.3">
      <c r="B39" s="29" t="str">
        <f>VLOOKUP(D39,'Activity List CSI'!$B$4:$D$146,2,0)</f>
        <v>0247</v>
      </c>
      <c r="C39" s="232" t="str">
        <f>VLOOKUP(D39,'Activity List CSI'!$B$4:$D$146,3,0)</f>
        <v>02200-04</v>
      </c>
      <c r="D39" s="1" t="s">
        <v>67</v>
      </c>
      <c r="E39" s="30" t="s">
        <v>512</v>
      </c>
      <c r="F39" s="218">
        <f>'Machinary PR'!F39*8/'Machinary PR'!$AB39</f>
        <v>0</v>
      </c>
      <c r="G39" s="219">
        <f>'Machinary PR'!G39*8/'Machinary PR'!$AB39</f>
        <v>0</v>
      </c>
      <c r="H39" s="220">
        <f>'Machinary PR'!H39*8/'Machinary PR'!$AB39</f>
        <v>0</v>
      </c>
      <c r="I39" s="220">
        <f>'Machinary PR'!I39*8/'Machinary PR'!$AB39</f>
        <v>2.6666666666666665</v>
      </c>
      <c r="J39" s="220">
        <f>'Machinary PR'!J39*8/'Machinary PR'!$AB39</f>
        <v>0</v>
      </c>
      <c r="K39" s="220">
        <f>'Machinary PR'!K39*8/'Machinary PR'!$AB39</f>
        <v>0</v>
      </c>
      <c r="L39" s="220">
        <f>'Machinary PR'!L39*8/'Machinary PR'!$AB39</f>
        <v>0</v>
      </c>
      <c r="M39" s="220">
        <f>'Machinary PR'!M39*8/'Machinary PR'!$AB39</f>
        <v>0</v>
      </c>
      <c r="N39" s="220">
        <f>'Machinary PR'!N39*8/'Machinary PR'!$AB39</f>
        <v>0</v>
      </c>
      <c r="O39" s="220">
        <f>'Machinary PR'!O39*8/'Machinary PR'!$AB39</f>
        <v>0</v>
      </c>
      <c r="P39" s="220">
        <f>'Machinary PR'!P39*8/'Machinary PR'!$AB39</f>
        <v>0</v>
      </c>
      <c r="Q39" s="220">
        <f>'Machinary PR'!Q39*8/'Machinary PR'!$AB39</f>
        <v>0</v>
      </c>
      <c r="R39" s="220">
        <f>'Machinary PR'!R39*8/'Machinary PR'!$AB39</f>
        <v>0</v>
      </c>
      <c r="S39" s="220">
        <f>'Machinary PR'!S39*8/'Machinary PR'!$AB39</f>
        <v>0</v>
      </c>
      <c r="T39" s="220">
        <f>'Machinary PR'!T39*8/'Machinary PR'!$AB39</f>
        <v>0</v>
      </c>
      <c r="U39" s="220">
        <f>'Machinary PR'!U39*8/'Machinary PR'!$AB39</f>
        <v>0</v>
      </c>
      <c r="V39" s="220">
        <f>'Machinary PR'!V39*8/'Machinary PR'!$AB39</f>
        <v>0</v>
      </c>
      <c r="W39" s="220">
        <f>'Machinary PR'!W39*8/'Machinary PR'!$AB39</f>
        <v>0</v>
      </c>
      <c r="X39" s="220">
        <f>'Machinary PR'!X39*8/'Machinary PR'!$AB39</f>
        <v>0</v>
      </c>
      <c r="Y39" s="220">
        <f>'Machinary PR'!Y39*8/'Machinary PR'!$AB39</f>
        <v>0</v>
      </c>
      <c r="Z39" s="220">
        <f>'Machinary PR'!Z39*8/'Machinary PR'!$AB39</f>
        <v>0</v>
      </c>
      <c r="AA39" s="229">
        <f>'Machinary PR'!AA39*8/'Machinary PR'!$AB39</f>
        <v>0</v>
      </c>
    </row>
    <row r="40" spans="2:27" ht="18.75" x14ac:dyDescent="0.3">
      <c r="B40" s="29" t="str">
        <f>VLOOKUP(D40,'Activity List CSI'!$B$4:$D$146,2,0)</f>
        <v>0248</v>
      </c>
      <c r="C40" s="232" t="str">
        <f>VLOOKUP(D40,'Activity List CSI'!$B$4:$D$146,3,0)</f>
        <v>02200-05</v>
      </c>
      <c r="D40" s="1" t="s">
        <v>69</v>
      </c>
      <c r="E40" s="30"/>
      <c r="F40" s="218">
        <f>'Machinary PR'!F40*8/'Machinary PR'!$AB40</f>
        <v>0.32</v>
      </c>
      <c r="G40" s="219">
        <f>'Machinary PR'!G40*8/'Machinary PR'!$AB40</f>
        <v>0</v>
      </c>
      <c r="H40" s="220">
        <f>'Machinary PR'!H40*8/'Machinary PR'!$AB40</f>
        <v>0.32</v>
      </c>
      <c r="I40" s="220">
        <f>'Machinary PR'!I40*8/'Machinary PR'!$AB40</f>
        <v>0.32</v>
      </c>
      <c r="J40" s="220">
        <f>'Machinary PR'!J40*8/'Machinary PR'!$AB40</f>
        <v>0.64</v>
      </c>
      <c r="K40" s="220">
        <f>'Machinary PR'!K40*8/'Machinary PR'!$AB40</f>
        <v>0</v>
      </c>
      <c r="L40" s="220">
        <f>'Machinary PR'!L40*8/'Machinary PR'!$AB40</f>
        <v>0</v>
      </c>
      <c r="M40" s="220">
        <f>'Machinary PR'!M40*8/'Machinary PR'!$AB40</f>
        <v>0</v>
      </c>
      <c r="N40" s="220">
        <f>'Machinary PR'!N40*8/'Machinary PR'!$AB40</f>
        <v>0</v>
      </c>
      <c r="O40" s="220">
        <f>'Machinary PR'!O40*8/'Machinary PR'!$AB40</f>
        <v>0</v>
      </c>
      <c r="P40" s="220">
        <f>'Machinary PR'!P40*8/'Machinary PR'!$AB40</f>
        <v>0</v>
      </c>
      <c r="Q40" s="220">
        <f>'Machinary PR'!Q40*8/'Machinary PR'!$AB40</f>
        <v>0</v>
      </c>
      <c r="R40" s="220">
        <f>'Machinary PR'!R40*8/'Machinary PR'!$AB40</f>
        <v>0</v>
      </c>
      <c r="S40" s="220">
        <f>'Machinary PR'!S40*8/'Machinary PR'!$AB40</f>
        <v>0</v>
      </c>
      <c r="T40" s="220">
        <f>'Machinary PR'!T40*8/'Machinary PR'!$AB40</f>
        <v>0</v>
      </c>
      <c r="U40" s="220">
        <f>'Machinary PR'!U40*8/'Machinary PR'!$AB40</f>
        <v>0</v>
      </c>
      <c r="V40" s="220">
        <f>'Machinary PR'!V40*8/'Machinary PR'!$AB40</f>
        <v>0</v>
      </c>
      <c r="W40" s="220">
        <f>'Machinary PR'!W40*8/'Machinary PR'!$AB40</f>
        <v>0</v>
      </c>
      <c r="X40" s="220">
        <f>'Machinary PR'!X40*8/'Machinary PR'!$AB40</f>
        <v>0</v>
      </c>
      <c r="Y40" s="220">
        <f>'Machinary PR'!Y40*8/'Machinary PR'!$AB40</f>
        <v>0</v>
      </c>
      <c r="Z40" s="220">
        <f>'Machinary PR'!Z40*8/'Machinary PR'!$AB40</f>
        <v>0</v>
      </c>
      <c r="AA40" s="229">
        <f>'Machinary PR'!AA40*8/'Machinary PR'!$AB40</f>
        <v>0</v>
      </c>
    </row>
    <row r="41" spans="2:27" ht="18.75" x14ac:dyDescent="0.3">
      <c r="B41" s="29" t="str">
        <f>VLOOKUP(D41,'Activity List CSI'!$B$4:$D$146,2,0)</f>
        <v>0301</v>
      </c>
      <c r="C41" s="232" t="str">
        <f>VLOOKUP(D41,'Activity List CSI'!$B$4:$D$146,3,0)</f>
        <v>03300-01</v>
      </c>
      <c r="D41" s="1" t="s">
        <v>76</v>
      </c>
      <c r="E41" s="30" t="s">
        <v>513</v>
      </c>
      <c r="F41" s="218">
        <f>'Machinary PR'!F41*8/'Machinary PR'!$AB41</f>
        <v>0</v>
      </c>
      <c r="G41" s="219">
        <f>'Machinary PR'!G41*8/'Machinary PR'!$AB41</f>
        <v>0</v>
      </c>
      <c r="H41" s="220">
        <f>'Machinary PR'!H41*8/'Machinary PR'!$AB41</f>
        <v>0</v>
      </c>
      <c r="I41" s="220">
        <f>'Machinary PR'!I41*8/'Machinary PR'!$AB41</f>
        <v>0</v>
      </c>
      <c r="J41" s="220">
        <f>'Machinary PR'!J41*8/'Machinary PR'!$AB41</f>
        <v>0</v>
      </c>
      <c r="K41" s="220">
        <f>'Machinary PR'!K41*8/'Machinary PR'!$AB41</f>
        <v>0</v>
      </c>
      <c r="L41" s="220">
        <f>'Machinary PR'!L41*8/'Machinary PR'!$AB41</f>
        <v>0</v>
      </c>
      <c r="M41" s="220">
        <f>'Machinary PR'!M41*8/'Machinary PR'!$AB41</f>
        <v>0</v>
      </c>
      <c r="N41" s="220">
        <f>'Machinary PR'!N41*8/'Machinary PR'!$AB41</f>
        <v>0</v>
      </c>
      <c r="O41" s="220">
        <f>'Machinary PR'!O41*8/'Machinary PR'!$AB41</f>
        <v>0</v>
      </c>
      <c r="P41" s="227">
        <f>'Machinary PR'!P41*8/'Machinary PR'!$AB41</f>
        <v>1.3333333333333334E-2</v>
      </c>
      <c r="Q41" s="227">
        <f>'Machinary PR'!Q41*8/'Machinary PR'!$AB41</f>
        <v>1.3333333333333334E-2</v>
      </c>
      <c r="R41" s="227">
        <f>'Machinary PR'!R41*8/'Machinary PR'!$AB41</f>
        <v>0.04</v>
      </c>
      <c r="S41" s="227">
        <f>'Machinary PR'!S41*8/'Machinary PR'!$AB41</f>
        <v>0</v>
      </c>
      <c r="T41" s="220">
        <f>'Machinary PR'!T41*8/'Machinary PR'!$AB41</f>
        <v>0</v>
      </c>
      <c r="U41" s="220">
        <f>'Machinary PR'!U41*8/'Machinary PR'!$AB41</f>
        <v>0</v>
      </c>
      <c r="V41" s="220">
        <f>'Machinary PR'!V41*8/'Machinary PR'!$AB41</f>
        <v>0</v>
      </c>
      <c r="W41" s="220">
        <f>'Machinary PR'!W41*8/'Machinary PR'!$AB41</f>
        <v>0</v>
      </c>
      <c r="X41" s="220">
        <f>'Machinary PR'!X41*8/'Machinary PR'!$AB41</f>
        <v>0</v>
      </c>
      <c r="Y41" s="220">
        <f>'Machinary PR'!Y41*8/'Machinary PR'!$AB41</f>
        <v>0</v>
      </c>
      <c r="Z41" s="220">
        <f>'Machinary PR'!Z41*8/'Machinary PR'!$AB41</f>
        <v>0</v>
      </c>
      <c r="AA41" s="229">
        <f>'Machinary PR'!AA41*8/'Machinary PR'!$AB41</f>
        <v>0</v>
      </c>
    </row>
    <row r="42" spans="2:27" ht="18.75" x14ac:dyDescent="0.3">
      <c r="B42" s="29" t="str">
        <f>VLOOKUP(D42,'Activity List CSI'!$B$4:$D$146,2,0)</f>
        <v>0302</v>
      </c>
      <c r="C42" s="232" t="str">
        <f>VLOOKUP(D42,'Activity List CSI'!$B$4:$D$146,3,0)</f>
        <v>03300-02</v>
      </c>
      <c r="D42" s="1" t="s">
        <v>78</v>
      </c>
      <c r="E42" s="30" t="s">
        <v>515</v>
      </c>
      <c r="F42" s="218">
        <f>'Machinary PR'!F42*8/'Machinary PR'!$AB42</f>
        <v>0</v>
      </c>
      <c r="G42" s="219">
        <f>'Machinary PR'!G42*8/'Machinary PR'!$AB42</f>
        <v>0</v>
      </c>
      <c r="H42" s="220">
        <f>'Machinary PR'!H42*8/'Machinary PR'!$AB42</f>
        <v>0</v>
      </c>
      <c r="I42" s="220">
        <f>'Machinary PR'!I42*8/'Machinary PR'!$AB42</f>
        <v>0</v>
      </c>
      <c r="J42" s="220">
        <f>'Machinary PR'!J42*8/'Machinary PR'!$AB42</f>
        <v>0</v>
      </c>
      <c r="K42" s="220">
        <f>'Machinary PR'!K42*8/'Machinary PR'!$AB42</f>
        <v>0</v>
      </c>
      <c r="L42" s="220">
        <f>'Machinary PR'!L42*8/'Machinary PR'!$AB42</f>
        <v>0</v>
      </c>
      <c r="M42" s="220">
        <f>'Machinary PR'!M42*8/'Machinary PR'!$AB42</f>
        <v>0</v>
      </c>
      <c r="N42" s="220">
        <f>'Machinary PR'!N42*8/'Machinary PR'!$AB42</f>
        <v>0</v>
      </c>
      <c r="O42" s="220">
        <f>'Machinary PR'!O42*8/'Machinary PR'!$AB42</f>
        <v>0</v>
      </c>
      <c r="P42" s="220">
        <f>'Machinary PR'!P42*8/'Machinary PR'!$AB42</f>
        <v>8.8888888888888892E-2</v>
      </c>
      <c r="Q42" s="220">
        <f>'Machinary PR'!Q42*8/'Machinary PR'!$AB42</f>
        <v>8.8888888888888892E-2</v>
      </c>
      <c r="R42" s="220">
        <f>'Machinary PR'!R42*8/'Machinary PR'!$AB42</f>
        <v>0.26666666666666666</v>
      </c>
      <c r="S42" s="220">
        <f>'Machinary PR'!S42*8/'Machinary PR'!$AB42</f>
        <v>0</v>
      </c>
      <c r="T42" s="220">
        <f>'Machinary PR'!T42*8/'Machinary PR'!$AB42</f>
        <v>0</v>
      </c>
      <c r="U42" s="220">
        <f>'Machinary PR'!U42*8/'Machinary PR'!$AB42</f>
        <v>0</v>
      </c>
      <c r="V42" s="220">
        <f>'Machinary PR'!V42*8/'Machinary PR'!$AB42</f>
        <v>0</v>
      </c>
      <c r="W42" s="220">
        <f>'Machinary PR'!W42*8/'Machinary PR'!$AB42</f>
        <v>0</v>
      </c>
      <c r="X42" s="220">
        <f>'Machinary PR'!X42*8/'Machinary PR'!$AB42</f>
        <v>0</v>
      </c>
      <c r="Y42" s="220">
        <f>'Machinary PR'!Y42*8/'Machinary PR'!$AB42</f>
        <v>0</v>
      </c>
      <c r="Z42" s="220">
        <f>'Machinary PR'!Z42*8/'Machinary PR'!$AB42</f>
        <v>0</v>
      </c>
      <c r="AA42" s="229">
        <f>'Machinary PR'!AA42*8/'Machinary PR'!$AB42</f>
        <v>0</v>
      </c>
    </row>
    <row r="43" spans="2:27" ht="18.75" x14ac:dyDescent="0.3">
      <c r="B43" s="29" t="str">
        <f>VLOOKUP(D43,'Activity List CSI'!$B$4:$D$146,2,0)</f>
        <v>0303</v>
      </c>
      <c r="C43" s="232" t="str">
        <f>VLOOKUP(D43,'Activity List CSI'!$B$4:$D$146,3,0)</f>
        <v>03300-03</v>
      </c>
      <c r="D43" s="1" t="s">
        <v>80</v>
      </c>
      <c r="E43" s="30"/>
      <c r="F43" s="218">
        <f>'Machinary PR'!F43*8/'Machinary PR'!$AB43</f>
        <v>0</v>
      </c>
      <c r="G43" s="219">
        <f>'Machinary PR'!G43*8/'Machinary PR'!$AB43</f>
        <v>0</v>
      </c>
      <c r="H43" s="220">
        <f>'Machinary PR'!H43*8/'Machinary PR'!$AB43</f>
        <v>0</v>
      </c>
      <c r="I43" s="220">
        <f>'Machinary PR'!I43*8/'Machinary PR'!$AB43</f>
        <v>0</v>
      </c>
      <c r="J43" s="220">
        <f>'Machinary PR'!J43*8/'Machinary PR'!$AB43</f>
        <v>0</v>
      </c>
      <c r="K43" s="220">
        <f>'Machinary PR'!K43*8/'Machinary PR'!$AB43</f>
        <v>0</v>
      </c>
      <c r="L43" s="220">
        <f>'Machinary PR'!L43*8/'Machinary PR'!$AB43</f>
        <v>0</v>
      </c>
      <c r="M43" s="220">
        <f>'Machinary PR'!M43*8/'Machinary PR'!$AB43</f>
        <v>0</v>
      </c>
      <c r="N43" s="220">
        <f>'Machinary PR'!N43*8/'Machinary PR'!$AB43</f>
        <v>0</v>
      </c>
      <c r="O43" s="220">
        <f>'Machinary PR'!O43*8/'Machinary PR'!$AB43</f>
        <v>0</v>
      </c>
      <c r="P43" s="220">
        <f>'Machinary PR'!P43*8/'Machinary PR'!$AB43</f>
        <v>8.8888888888888892E-2</v>
      </c>
      <c r="Q43" s="220">
        <f>'Machinary PR'!Q43*8/'Machinary PR'!$AB43</f>
        <v>8.8888888888888892E-2</v>
      </c>
      <c r="R43" s="220">
        <f>'Machinary PR'!R43*8/'Machinary PR'!$AB43</f>
        <v>0.26666666666666666</v>
      </c>
      <c r="S43" s="220">
        <f>'Machinary PR'!S43*8/'Machinary PR'!$AB43</f>
        <v>0</v>
      </c>
      <c r="T43" s="220">
        <f>'Machinary PR'!T43*8/'Machinary PR'!$AB43</f>
        <v>0</v>
      </c>
      <c r="U43" s="220">
        <f>'Machinary PR'!U43*8/'Machinary PR'!$AB43</f>
        <v>0</v>
      </c>
      <c r="V43" s="220">
        <f>'Machinary PR'!V43*8/'Machinary PR'!$AB43</f>
        <v>0</v>
      </c>
      <c r="W43" s="220">
        <f>'Machinary PR'!W43*8/'Machinary PR'!$AB43</f>
        <v>0</v>
      </c>
      <c r="X43" s="220">
        <f>'Machinary PR'!X43*8/'Machinary PR'!$AB43</f>
        <v>0</v>
      </c>
      <c r="Y43" s="220">
        <f>'Machinary PR'!Y43*8/'Machinary PR'!$AB43</f>
        <v>0</v>
      </c>
      <c r="Z43" s="220">
        <f>'Machinary PR'!Z43*8/'Machinary PR'!$AB43</f>
        <v>0</v>
      </c>
      <c r="AA43" s="229">
        <f>'Machinary PR'!AA43*8/'Machinary PR'!$AB43</f>
        <v>0</v>
      </c>
    </row>
    <row r="44" spans="2:27" ht="18.75" x14ac:dyDescent="0.3">
      <c r="B44" s="29" t="str">
        <f>VLOOKUP(D44,'Activity List CSI'!$B$4:$D$146,2,0)</f>
        <v>0304</v>
      </c>
      <c r="C44" s="232" t="str">
        <f>VLOOKUP(D44,'Activity List CSI'!$B$4:$D$146,3,0)</f>
        <v>03300-04</v>
      </c>
      <c r="D44" s="1" t="s">
        <v>82</v>
      </c>
      <c r="E44" s="30"/>
      <c r="F44" s="218">
        <f>'Machinary PR'!F44*8/'Machinary PR'!$AB44</f>
        <v>0</v>
      </c>
      <c r="G44" s="219">
        <f>'Machinary PR'!G44*8/'Machinary PR'!$AB44</f>
        <v>0</v>
      </c>
      <c r="H44" s="220">
        <f>'Machinary PR'!H44*8/'Machinary PR'!$AB44</f>
        <v>0</v>
      </c>
      <c r="I44" s="220">
        <f>'Machinary PR'!I44*8/'Machinary PR'!$AB44</f>
        <v>0</v>
      </c>
      <c r="J44" s="220">
        <f>'Machinary PR'!J44*8/'Machinary PR'!$AB44</f>
        <v>0</v>
      </c>
      <c r="K44" s="220">
        <f>'Machinary PR'!K44*8/'Machinary PR'!$AB44</f>
        <v>0</v>
      </c>
      <c r="L44" s="220">
        <f>'Machinary PR'!L44*8/'Machinary PR'!$AB44</f>
        <v>0</v>
      </c>
      <c r="M44" s="220">
        <f>'Machinary PR'!M44*8/'Machinary PR'!$AB44</f>
        <v>0</v>
      </c>
      <c r="N44" s="220">
        <f>'Machinary PR'!N44*8/'Machinary PR'!$AB44</f>
        <v>0</v>
      </c>
      <c r="O44" s="220">
        <f>'Machinary PR'!O44*8/'Machinary PR'!$AB44</f>
        <v>0</v>
      </c>
      <c r="P44" s="220">
        <f>'Machinary PR'!P44*8/'Machinary PR'!$AB44</f>
        <v>8.8888888888888892E-2</v>
      </c>
      <c r="Q44" s="220">
        <f>'Machinary PR'!Q44*8/'Machinary PR'!$AB44</f>
        <v>8.8888888888888892E-2</v>
      </c>
      <c r="R44" s="220">
        <f>'Machinary PR'!R44*8/'Machinary PR'!$AB44</f>
        <v>0.26666666666666666</v>
      </c>
      <c r="S44" s="220">
        <f>'Machinary PR'!S44*8/'Machinary PR'!$AB44</f>
        <v>0</v>
      </c>
      <c r="T44" s="220">
        <f>'Machinary PR'!T44*8/'Machinary PR'!$AB44</f>
        <v>0</v>
      </c>
      <c r="U44" s="220">
        <f>'Machinary PR'!U44*8/'Machinary PR'!$AB44</f>
        <v>0</v>
      </c>
      <c r="V44" s="220">
        <f>'Machinary PR'!V44*8/'Machinary PR'!$AB44</f>
        <v>0</v>
      </c>
      <c r="W44" s="220">
        <f>'Machinary PR'!W44*8/'Machinary PR'!$AB44</f>
        <v>0</v>
      </c>
      <c r="X44" s="220">
        <f>'Machinary PR'!X44*8/'Machinary PR'!$AB44</f>
        <v>0</v>
      </c>
      <c r="Y44" s="220">
        <f>'Machinary PR'!Y44*8/'Machinary PR'!$AB44</f>
        <v>0</v>
      </c>
      <c r="Z44" s="220">
        <f>'Machinary PR'!Z44*8/'Machinary PR'!$AB44</f>
        <v>0</v>
      </c>
      <c r="AA44" s="229">
        <f>'Machinary PR'!AA44*8/'Machinary PR'!$AB44</f>
        <v>0</v>
      </c>
    </row>
    <row r="45" spans="2:27" ht="18.75" x14ac:dyDescent="0.3">
      <c r="B45" s="29" t="str">
        <f>VLOOKUP(D45,'Activity List CSI'!$B$4:$D$146,2,0)</f>
        <v>0305</v>
      </c>
      <c r="C45" s="232" t="str">
        <f>VLOOKUP(D45,'Activity List CSI'!$B$4:$D$146,3,0)</f>
        <v>03300-05</v>
      </c>
      <c r="D45" s="1" t="s">
        <v>84</v>
      </c>
      <c r="E45" s="30"/>
      <c r="F45" s="218">
        <f>'Machinary PR'!F45*8/'Machinary PR'!$AB45</f>
        <v>0</v>
      </c>
      <c r="G45" s="219">
        <f>'Machinary PR'!G45*8/'Machinary PR'!$AB45</f>
        <v>0</v>
      </c>
      <c r="H45" s="220">
        <f>'Machinary PR'!H45*8/'Machinary PR'!$AB45</f>
        <v>0</v>
      </c>
      <c r="I45" s="220">
        <f>'Machinary PR'!I45*8/'Machinary PR'!$AB45</f>
        <v>0</v>
      </c>
      <c r="J45" s="220">
        <f>'Machinary PR'!J45*8/'Machinary PR'!$AB45</f>
        <v>0</v>
      </c>
      <c r="K45" s="220">
        <f>'Machinary PR'!K45*8/'Machinary PR'!$AB45</f>
        <v>0</v>
      </c>
      <c r="L45" s="220">
        <f>'Machinary PR'!L45*8/'Machinary PR'!$AB45</f>
        <v>0</v>
      </c>
      <c r="M45" s="220">
        <f>'Machinary PR'!M45*8/'Machinary PR'!$AB45</f>
        <v>0</v>
      </c>
      <c r="N45" s="220">
        <f>'Machinary PR'!N45*8/'Machinary PR'!$AB45</f>
        <v>0</v>
      </c>
      <c r="O45" s="220">
        <f>'Machinary PR'!O45*8/'Machinary PR'!$AB45</f>
        <v>0</v>
      </c>
      <c r="P45" s="220">
        <f>'Machinary PR'!P45*8/'Machinary PR'!$AB45</f>
        <v>8.8888888888888892E-2</v>
      </c>
      <c r="Q45" s="220">
        <f>'Machinary PR'!Q45*8/'Machinary PR'!$AB45</f>
        <v>8.8888888888888892E-2</v>
      </c>
      <c r="R45" s="220">
        <f>'Machinary PR'!R45*8/'Machinary PR'!$AB45</f>
        <v>0.26666666666666666</v>
      </c>
      <c r="S45" s="220">
        <f>'Machinary PR'!S45*8/'Machinary PR'!$AB45</f>
        <v>0</v>
      </c>
      <c r="T45" s="220">
        <f>'Machinary PR'!T45*8/'Machinary PR'!$AB45</f>
        <v>0</v>
      </c>
      <c r="U45" s="220">
        <f>'Machinary PR'!U45*8/'Machinary PR'!$AB45</f>
        <v>0</v>
      </c>
      <c r="V45" s="220">
        <f>'Machinary PR'!V45*8/'Machinary PR'!$AB45</f>
        <v>0</v>
      </c>
      <c r="W45" s="220">
        <f>'Machinary PR'!W45*8/'Machinary PR'!$AB45</f>
        <v>0</v>
      </c>
      <c r="X45" s="220">
        <f>'Machinary PR'!X45*8/'Machinary PR'!$AB45</f>
        <v>0</v>
      </c>
      <c r="Y45" s="220">
        <f>'Machinary PR'!Y45*8/'Machinary PR'!$AB45</f>
        <v>0</v>
      </c>
      <c r="Z45" s="220">
        <f>'Machinary PR'!Z45*8/'Machinary PR'!$AB45</f>
        <v>0</v>
      </c>
      <c r="AA45" s="229">
        <f>'Machinary PR'!AA45*8/'Machinary PR'!$AB45</f>
        <v>0</v>
      </c>
    </row>
    <row r="46" spans="2:27" ht="18.75" x14ac:dyDescent="0.3">
      <c r="B46" s="29" t="str">
        <f>VLOOKUP(D46,'Activity List CSI'!$B$4:$D$146,2,0)</f>
        <v>0306</v>
      </c>
      <c r="C46" s="232" t="str">
        <f>VLOOKUP(D46,'Activity List CSI'!$B$4:$D$146,3,0)</f>
        <v>03300-06</v>
      </c>
      <c r="D46" s="1" t="s">
        <v>86</v>
      </c>
      <c r="E46" s="38" t="s">
        <v>515</v>
      </c>
      <c r="F46" s="221">
        <f>'Machinary PR'!F46*8/'Machinary PR'!$AB46</f>
        <v>0</v>
      </c>
      <c r="G46" s="222">
        <f>'Machinary PR'!G46*8/'Machinary PR'!$AB46</f>
        <v>0</v>
      </c>
      <c r="H46" s="223">
        <f>'Machinary PR'!H46*8/'Machinary PR'!$AB46</f>
        <v>0</v>
      </c>
      <c r="I46" s="223">
        <f>'Machinary PR'!I46*8/'Machinary PR'!$AB46</f>
        <v>0</v>
      </c>
      <c r="J46" s="223">
        <f>'Machinary PR'!J46*8/'Machinary PR'!$AB46</f>
        <v>0</v>
      </c>
      <c r="K46" s="223">
        <f>'Machinary PR'!K46*8/'Machinary PR'!$AB46</f>
        <v>0</v>
      </c>
      <c r="L46" s="223">
        <f>'Machinary PR'!L46*8/'Machinary PR'!$AB46</f>
        <v>0</v>
      </c>
      <c r="M46" s="223">
        <f>'Machinary PR'!M46*8/'Machinary PR'!$AB46</f>
        <v>0</v>
      </c>
      <c r="N46" s="223">
        <f>'Machinary PR'!N46*8/'Machinary PR'!$AB46</f>
        <v>0</v>
      </c>
      <c r="O46" s="223">
        <f>'Machinary PR'!O46*8/'Machinary PR'!$AB46</f>
        <v>0</v>
      </c>
      <c r="P46" s="223">
        <f>'Machinary PR'!P46*8/'Machinary PR'!$AB46</f>
        <v>8.8888888888888892E-2</v>
      </c>
      <c r="Q46" s="223">
        <f>'Machinary PR'!Q46*8/'Machinary PR'!$AB46</f>
        <v>8.8888888888888892E-2</v>
      </c>
      <c r="R46" s="223">
        <f>'Machinary PR'!R46*8/'Machinary PR'!$AB46</f>
        <v>0.26666666666666666</v>
      </c>
      <c r="S46" s="223">
        <f>'Machinary PR'!S46*8/'Machinary PR'!$AB46</f>
        <v>0</v>
      </c>
      <c r="T46" s="223">
        <f>'Machinary PR'!T46*8/'Machinary PR'!$AB46</f>
        <v>0</v>
      </c>
      <c r="U46" s="223">
        <f>'Machinary PR'!U46*8/'Machinary PR'!$AB46</f>
        <v>0</v>
      </c>
      <c r="V46" s="223">
        <f>'Machinary PR'!V46*8/'Machinary PR'!$AB46</f>
        <v>0</v>
      </c>
      <c r="W46" s="223">
        <f>'Machinary PR'!W46*8/'Machinary PR'!$AB46</f>
        <v>0</v>
      </c>
      <c r="X46" s="223">
        <f>'Machinary PR'!X46*8/'Machinary PR'!$AB46</f>
        <v>0</v>
      </c>
      <c r="Y46" s="223">
        <f>'Machinary PR'!Y46*8/'Machinary PR'!$AB46</f>
        <v>0</v>
      </c>
      <c r="Z46" s="223">
        <f>'Machinary PR'!Z46*8/'Machinary PR'!$AB46</f>
        <v>0</v>
      </c>
      <c r="AA46" s="230">
        <f>'Machinary PR'!AA46*8/'Machinary PR'!$AB46</f>
        <v>0</v>
      </c>
    </row>
    <row r="47" spans="2:27" ht="18.75" x14ac:dyDescent="0.3">
      <c r="B47" s="29" t="str">
        <f>VLOOKUP(D47,'Activity List CSI'!$B$4:$D$146,2,0)</f>
        <v>0309</v>
      </c>
      <c r="C47" s="232" t="str">
        <f>VLOOKUP(D47,'Activity List CSI'!$B$4:$D$146,3,0)</f>
        <v>03300-09</v>
      </c>
      <c r="D47" s="1" t="s">
        <v>92</v>
      </c>
      <c r="E47" s="38" t="s">
        <v>515</v>
      </c>
      <c r="F47" s="221">
        <f>'Machinary PR'!F47*8/'Machinary PR'!$AB47</f>
        <v>0</v>
      </c>
      <c r="G47" s="222">
        <f>'Machinary PR'!G47*8/'Machinary PR'!$AB47</f>
        <v>0</v>
      </c>
      <c r="H47" s="223">
        <f>'Machinary PR'!H47*8/'Machinary PR'!$AB47</f>
        <v>0</v>
      </c>
      <c r="I47" s="223">
        <f>'Machinary PR'!I47*8/'Machinary PR'!$AB47</f>
        <v>0</v>
      </c>
      <c r="J47" s="223">
        <f>'Machinary PR'!J47*8/'Machinary PR'!$AB47</f>
        <v>0</v>
      </c>
      <c r="K47" s="223">
        <f>'Machinary PR'!K47*8/'Machinary PR'!$AB47</f>
        <v>0</v>
      </c>
      <c r="L47" s="223">
        <f>'Machinary PR'!L47*8/'Machinary PR'!$AB47</f>
        <v>0</v>
      </c>
      <c r="M47" s="223">
        <f>'Machinary PR'!M47*8/'Machinary PR'!$AB47</f>
        <v>0</v>
      </c>
      <c r="N47" s="223">
        <f>'Machinary PR'!N47*8/'Machinary PR'!$AB47</f>
        <v>0</v>
      </c>
      <c r="O47" s="223">
        <f>'Machinary PR'!O47*8/'Machinary PR'!$AB47</f>
        <v>0</v>
      </c>
      <c r="P47" s="223">
        <f>'Machinary PR'!P47*8/'Machinary PR'!$AB47</f>
        <v>8.8888888888888892E-2</v>
      </c>
      <c r="Q47" s="223">
        <f>'Machinary PR'!Q47*8/'Machinary PR'!$AB47</f>
        <v>8.8888888888888892E-2</v>
      </c>
      <c r="R47" s="223">
        <f>'Machinary PR'!R47*8/'Machinary PR'!$AB47</f>
        <v>0.26666666666666666</v>
      </c>
      <c r="S47" s="223">
        <f>'Machinary PR'!S47*8/'Machinary PR'!$AB47</f>
        <v>0</v>
      </c>
      <c r="T47" s="223">
        <f>'Machinary PR'!T47*8/'Machinary PR'!$AB47</f>
        <v>0</v>
      </c>
      <c r="U47" s="223">
        <f>'Machinary PR'!U47*8/'Machinary PR'!$AB47</f>
        <v>0</v>
      </c>
      <c r="V47" s="223">
        <f>'Machinary PR'!V47*8/'Machinary PR'!$AB47</f>
        <v>0</v>
      </c>
      <c r="W47" s="223">
        <f>'Machinary PR'!W47*8/'Machinary PR'!$AB47</f>
        <v>0</v>
      </c>
      <c r="X47" s="223">
        <f>'Machinary PR'!X47*8/'Machinary PR'!$AB47</f>
        <v>0</v>
      </c>
      <c r="Y47" s="223">
        <f>'Machinary PR'!Y47*8/'Machinary PR'!$AB47</f>
        <v>0</v>
      </c>
      <c r="Z47" s="223">
        <f>'Machinary PR'!Z47*8/'Machinary PR'!$AB47</f>
        <v>0</v>
      </c>
      <c r="AA47" s="230">
        <f>'Machinary PR'!AA47*8/'Machinary PR'!$AB47</f>
        <v>0</v>
      </c>
    </row>
    <row r="48" spans="2:27" ht="18.75" x14ac:dyDescent="0.3">
      <c r="B48" s="29" t="str">
        <f>VLOOKUP(D48,'Activity List CSI'!$B$4:$D$146,2,0)</f>
        <v>0310</v>
      </c>
      <c r="C48" s="232" t="str">
        <f>VLOOKUP(D48,'Activity List CSI'!$B$4:$D$146,3,0)</f>
        <v>03300-10</v>
      </c>
      <c r="D48" s="1" t="s">
        <v>94</v>
      </c>
      <c r="E48" s="38"/>
      <c r="F48" s="221">
        <f>'Machinary PR'!F48*8/'Machinary PR'!$AB48</f>
        <v>0</v>
      </c>
      <c r="G48" s="222">
        <f>'Machinary PR'!G48*8/'Machinary PR'!$AB48</f>
        <v>0</v>
      </c>
      <c r="H48" s="223">
        <f>'Machinary PR'!H48*8/'Machinary PR'!$AB48</f>
        <v>0</v>
      </c>
      <c r="I48" s="223">
        <f>'Machinary PR'!I48*8/'Machinary PR'!$AB48</f>
        <v>0</v>
      </c>
      <c r="J48" s="223">
        <f>'Machinary PR'!J48*8/'Machinary PR'!$AB48</f>
        <v>0</v>
      </c>
      <c r="K48" s="223">
        <f>'Machinary PR'!K48*8/'Machinary PR'!$AB48</f>
        <v>0</v>
      </c>
      <c r="L48" s="223">
        <f>'Machinary PR'!L48*8/'Machinary PR'!$AB48</f>
        <v>0</v>
      </c>
      <c r="M48" s="223">
        <f>'Machinary PR'!M48*8/'Machinary PR'!$AB48</f>
        <v>0</v>
      </c>
      <c r="N48" s="223">
        <f>'Machinary PR'!N48*8/'Machinary PR'!$AB48</f>
        <v>0</v>
      </c>
      <c r="O48" s="223">
        <f>'Machinary PR'!O48*8/'Machinary PR'!$AB48</f>
        <v>0</v>
      </c>
      <c r="P48" s="223">
        <f>'Machinary PR'!P48*8/'Machinary PR'!$AB48</f>
        <v>8.8888888888888892E-2</v>
      </c>
      <c r="Q48" s="223">
        <f>'Machinary PR'!Q48*8/'Machinary PR'!$AB48</f>
        <v>8.8888888888888892E-2</v>
      </c>
      <c r="R48" s="223">
        <f>'Machinary PR'!R48*8/'Machinary PR'!$AB48</f>
        <v>0.26666666666666666</v>
      </c>
      <c r="S48" s="223">
        <f>'Machinary PR'!S48*8/'Machinary PR'!$AB48</f>
        <v>0</v>
      </c>
      <c r="T48" s="223">
        <f>'Machinary PR'!T48*8/'Machinary PR'!$AB48</f>
        <v>0</v>
      </c>
      <c r="U48" s="223">
        <f>'Machinary PR'!U48*8/'Machinary PR'!$AB48</f>
        <v>0</v>
      </c>
      <c r="V48" s="223">
        <f>'Machinary PR'!V48*8/'Machinary PR'!$AB48</f>
        <v>0</v>
      </c>
      <c r="W48" s="223">
        <f>'Machinary PR'!W48*8/'Machinary PR'!$AB48</f>
        <v>0</v>
      </c>
      <c r="X48" s="223">
        <f>'Machinary PR'!X48*8/'Machinary PR'!$AB48</f>
        <v>0</v>
      </c>
      <c r="Y48" s="223">
        <f>'Machinary PR'!Y48*8/'Machinary PR'!$AB48</f>
        <v>0</v>
      </c>
      <c r="Z48" s="223">
        <f>'Machinary PR'!Z48*8/'Machinary PR'!$AB48</f>
        <v>0</v>
      </c>
      <c r="AA48" s="230">
        <f>'Machinary PR'!AA48*8/'Machinary PR'!$AB48</f>
        <v>0</v>
      </c>
    </row>
    <row r="49" spans="2:27" ht="18.75" x14ac:dyDescent="0.3">
      <c r="B49" s="29" t="str">
        <f>VLOOKUP(D49,'Activity List CSI'!$B$4:$D$146,2,0)</f>
        <v>0312</v>
      </c>
      <c r="C49" s="232" t="str">
        <f>VLOOKUP(D49,'Activity List CSI'!$B$4:$D$146,3,0)</f>
        <v>03300-12</v>
      </c>
      <c r="D49" s="1" t="s">
        <v>98</v>
      </c>
      <c r="E49" s="38"/>
      <c r="F49" s="221">
        <f>'Machinary PR'!F49*8/'Machinary PR'!$AB49</f>
        <v>0</v>
      </c>
      <c r="G49" s="222">
        <f>'Machinary PR'!G49*8/'Machinary PR'!$AB49</f>
        <v>0</v>
      </c>
      <c r="H49" s="223">
        <f>'Machinary PR'!H49*8/'Machinary PR'!$AB49</f>
        <v>0</v>
      </c>
      <c r="I49" s="223">
        <f>'Machinary PR'!I49*8/'Machinary PR'!$AB49</f>
        <v>0</v>
      </c>
      <c r="J49" s="223">
        <f>'Machinary PR'!J49*8/'Machinary PR'!$AB49</f>
        <v>0</v>
      </c>
      <c r="K49" s="223">
        <f>'Machinary PR'!K49*8/'Machinary PR'!$AB49</f>
        <v>0</v>
      </c>
      <c r="L49" s="223">
        <f>'Machinary PR'!L49*8/'Machinary PR'!$AB49</f>
        <v>0</v>
      </c>
      <c r="M49" s="223">
        <f>'Machinary PR'!M49*8/'Machinary PR'!$AB49</f>
        <v>0</v>
      </c>
      <c r="N49" s="223">
        <f>'Machinary PR'!N49*8/'Machinary PR'!$AB49</f>
        <v>0</v>
      </c>
      <c r="O49" s="223">
        <f>'Machinary PR'!O49*8/'Machinary PR'!$AB49</f>
        <v>0</v>
      </c>
      <c r="P49" s="223">
        <f>'Machinary PR'!P49*8/'Machinary PR'!$AB49</f>
        <v>8.8888888888888892E-2</v>
      </c>
      <c r="Q49" s="223">
        <f>'Machinary PR'!Q49*8/'Machinary PR'!$AB49</f>
        <v>8.8888888888888892E-2</v>
      </c>
      <c r="R49" s="223">
        <f>'Machinary PR'!R49*8/'Machinary PR'!$AB49</f>
        <v>0.26666666666666666</v>
      </c>
      <c r="S49" s="223">
        <f>'Machinary PR'!S49*8/'Machinary PR'!$AB49</f>
        <v>0</v>
      </c>
      <c r="T49" s="223">
        <f>'Machinary PR'!T49*8/'Machinary PR'!$AB49</f>
        <v>0</v>
      </c>
      <c r="U49" s="223">
        <f>'Machinary PR'!U49*8/'Machinary PR'!$AB49</f>
        <v>0</v>
      </c>
      <c r="V49" s="223">
        <f>'Machinary PR'!V49*8/'Machinary PR'!$AB49</f>
        <v>0</v>
      </c>
      <c r="W49" s="223">
        <f>'Machinary PR'!W49*8/'Machinary PR'!$AB49</f>
        <v>0</v>
      </c>
      <c r="X49" s="223">
        <f>'Machinary PR'!X49*8/'Machinary PR'!$AB49</f>
        <v>0</v>
      </c>
      <c r="Y49" s="223">
        <f>'Machinary PR'!Y49*8/'Machinary PR'!$AB49</f>
        <v>0</v>
      </c>
      <c r="Z49" s="223">
        <f>'Machinary PR'!Z49*8/'Machinary PR'!$AB49</f>
        <v>0</v>
      </c>
      <c r="AA49" s="230">
        <f>'Machinary PR'!AA49*8/'Machinary PR'!$AB49</f>
        <v>0</v>
      </c>
    </row>
    <row r="50" spans="2:27" ht="18.75" x14ac:dyDescent="0.3">
      <c r="B50" s="29" t="str">
        <f>VLOOKUP(D50,'Activity List CSI'!$B$4:$D$146,2,0)</f>
        <v>0307</v>
      </c>
      <c r="C50" s="232" t="str">
        <f>VLOOKUP(D50,'Activity List CSI'!$B$4:$D$146,3,0)</f>
        <v>03300-07</v>
      </c>
      <c r="D50" s="1" t="s">
        <v>88</v>
      </c>
      <c r="E50" s="38" t="s">
        <v>515</v>
      </c>
      <c r="F50" s="221">
        <f>'Machinary PR'!F50*8/'Machinary PR'!$AB50</f>
        <v>0</v>
      </c>
      <c r="G50" s="222">
        <f>'Machinary PR'!G50*8/'Machinary PR'!$AB50</f>
        <v>0</v>
      </c>
      <c r="H50" s="223">
        <f>'Machinary PR'!H50*8/'Machinary PR'!$AB50</f>
        <v>0</v>
      </c>
      <c r="I50" s="223">
        <f>'Machinary PR'!I50*8/'Machinary PR'!$AB50</f>
        <v>0</v>
      </c>
      <c r="J50" s="223">
        <f>'Machinary PR'!J50*8/'Machinary PR'!$AB50</f>
        <v>0</v>
      </c>
      <c r="K50" s="223">
        <f>'Machinary PR'!K50*8/'Machinary PR'!$AB50</f>
        <v>0</v>
      </c>
      <c r="L50" s="223">
        <f>'Machinary PR'!L50*8/'Machinary PR'!$AB50</f>
        <v>0</v>
      </c>
      <c r="M50" s="223">
        <f>'Machinary PR'!M50*8/'Machinary PR'!$AB50</f>
        <v>0</v>
      </c>
      <c r="N50" s="223">
        <f>'Machinary PR'!N50*8/'Machinary PR'!$AB50</f>
        <v>0</v>
      </c>
      <c r="O50" s="223">
        <f>'Machinary PR'!O50*8/'Machinary PR'!$AB50</f>
        <v>0</v>
      </c>
      <c r="P50" s="223">
        <f>'Machinary PR'!P50*8/'Machinary PR'!$AB50</f>
        <v>8.8888888888888892E-2</v>
      </c>
      <c r="Q50" s="223">
        <f>'Machinary PR'!Q50*8/'Machinary PR'!$AB50</f>
        <v>8.8888888888888892E-2</v>
      </c>
      <c r="R50" s="223">
        <f>'Machinary PR'!R50*8/'Machinary PR'!$AB50</f>
        <v>0.26666666666666666</v>
      </c>
      <c r="S50" s="223">
        <f>'Machinary PR'!S50*8/'Machinary PR'!$AB50</f>
        <v>0</v>
      </c>
      <c r="T50" s="223">
        <f>'Machinary PR'!T50*8/'Machinary PR'!$AB50</f>
        <v>0</v>
      </c>
      <c r="U50" s="223">
        <f>'Machinary PR'!U50*8/'Machinary PR'!$AB50</f>
        <v>0</v>
      </c>
      <c r="V50" s="223">
        <f>'Machinary PR'!V50*8/'Machinary PR'!$AB50</f>
        <v>0</v>
      </c>
      <c r="W50" s="223">
        <f>'Machinary PR'!W50*8/'Machinary PR'!$AB50</f>
        <v>0</v>
      </c>
      <c r="X50" s="223">
        <f>'Machinary PR'!X50*8/'Machinary PR'!$AB50</f>
        <v>0</v>
      </c>
      <c r="Y50" s="223">
        <f>'Machinary PR'!Y50*8/'Machinary PR'!$AB50</f>
        <v>0</v>
      </c>
      <c r="Z50" s="223">
        <f>'Machinary PR'!Z50*8/'Machinary PR'!$AB50</f>
        <v>0</v>
      </c>
      <c r="AA50" s="230">
        <f>'Machinary PR'!AA50*8/'Machinary PR'!$AB50</f>
        <v>0</v>
      </c>
    </row>
    <row r="51" spans="2:27" ht="18.75" x14ac:dyDescent="0.3">
      <c r="B51" s="29" t="str">
        <f>VLOOKUP(D51,'Activity List CSI'!$B$4:$D$146,2,0)</f>
        <v>0308</v>
      </c>
      <c r="C51" s="232" t="str">
        <f>VLOOKUP(D51,'Activity List CSI'!$B$4:$D$146,3,0)</f>
        <v>03300-08</v>
      </c>
      <c r="D51" s="1" t="s">
        <v>90</v>
      </c>
      <c r="E51" s="38"/>
      <c r="F51" s="221">
        <f>'Machinary PR'!F51*8/'Machinary PR'!$AB51</f>
        <v>0</v>
      </c>
      <c r="G51" s="222">
        <f>'Machinary PR'!G51*8/'Machinary PR'!$AB51</f>
        <v>0</v>
      </c>
      <c r="H51" s="223">
        <f>'Machinary PR'!H51*8/'Machinary PR'!$AB51</f>
        <v>0</v>
      </c>
      <c r="I51" s="223">
        <f>'Machinary PR'!I51*8/'Machinary PR'!$AB51</f>
        <v>0</v>
      </c>
      <c r="J51" s="223">
        <f>'Machinary PR'!J51*8/'Machinary PR'!$AB51</f>
        <v>0</v>
      </c>
      <c r="K51" s="223">
        <f>'Machinary PR'!K51*8/'Machinary PR'!$AB51</f>
        <v>0</v>
      </c>
      <c r="L51" s="223">
        <f>'Machinary PR'!L51*8/'Machinary PR'!$AB51</f>
        <v>0</v>
      </c>
      <c r="M51" s="223">
        <f>'Machinary PR'!M51*8/'Machinary PR'!$AB51</f>
        <v>0</v>
      </c>
      <c r="N51" s="223">
        <f>'Machinary PR'!N51*8/'Machinary PR'!$AB51</f>
        <v>0</v>
      </c>
      <c r="O51" s="223">
        <f>'Machinary PR'!O51*8/'Machinary PR'!$AB51</f>
        <v>0</v>
      </c>
      <c r="P51" s="223">
        <f>'Machinary PR'!P51*8/'Machinary PR'!$AB51</f>
        <v>8.8888888888888892E-2</v>
      </c>
      <c r="Q51" s="223">
        <f>'Machinary PR'!Q51*8/'Machinary PR'!$AB51</f>
        <v>8.8888888888888892E-2</v>
      </c>
      <c r="R51" s="223">
        <f>'Machinary PR'!R51*8/'Machinary PR'!$AB51</f>
        <v>0.26666666666666666</v>
      </c>
      <c r="S51" s="223">
        <f>'Machinary PR'!S51*8/'Machinary PR'!$AB51</f>
        <v>0</v>
      </c>
      <c r="T51" s="223">
        <f>'Machinary PR'!T51*8/'Machinary PR'!$AB51</f>
        <v>0</v>
      </c>
      <c r="U51" s="223">
        <f>'Machinary PR'!U51*8/'Machinary PR'!$AB51</f>
        <v>0</v>
      </c>
      <c r="V51" s="223">
        <f>'Machinary PR'!V51*8/'Machinary PR'!$AB51</f>
        <v>0</v>
      </c>
      <c r="W51" s="223">
        <f>'Machinary PR'!W51*8/'Machinary PR'!$AB51</f>
        <v>0</v>
      </c>
      <c r="X51" s="223">
        <f>'Machinary PR'!X51*8/'Machinary PR'!$AB51</f>
        <v>0</v>
      </c>
      <c r="Y51" s="223">
        <f>'Machinary PR'!Y51*8/'Machinary PR'!$AB51</f>
        <v>0</v>
      </c>
      <c r="Z51" s="223">
        <f>'Machinary PR'!Z51*8/'Machinary PR'!$AB51</f>
        <v>0</v>
      </c>
      <c r="AA51" s="230">
        <f>'Machinary PR'!AA51*8/'Machinary PR'!$AB51</f>
        <v>0</v>
      </c>
    </row>
    <row r="52" spans="2:27" ht="18.75" x14ac:dyDescent="0.3">
      <c r="B52" s="29" t="str">
        <f>VLOOKUP(D52,'Activity List CSI'!$B$4:$D$146,2,0)</f>
        <v>0316</v>
      </c>
      <c r="C52" s="232" t="str">
        <f>VLOOKUP(D52,'Activity List CSI'!$B$4:$D$146,3,0)</f>
        <v>03300-14</v>
      </c>
      <c r="D52" s="1" t="s">
        <v>437</v>
      </c>
      <c r="E52" s="38" t="s">
        <v>513</v>
      </c>
      <c r="F52" s="221">
        <f>'Machinary PR'!F52*8/'Machinary PR'!$AB52</f>
        <v>0</v>
      </c>
      <c r="G52" s="222">
        <f>'Machinary PR'!G52*8/'Machinary PR'!$AB52</f>
        <v>0</v>
      </c>
      <c r="H52" s="223">
        <f>'Machinary PR'!H52*8/'Machinary PR'!$AB52</f>
        <v>0</v>
      </c>
      <c r="I52" s="223">
        <f>'Machinary PR'!I52*8/'Machinary PR'!$AB52</f>
        <v>0</v>
      </c>
      <c r="J52" s="223">
        <f>'Machinary PR'!J52*8/'Machinary PR'!$AB52</f>
        <v>0</v>
      </c>
      <c r="K52" s="223">
        <f>'Machinary PR'!K52*8/'Machinary PR'!$AB52</f>
        <v>0</v>
      </c>
      <c r="L52" s="223">
        <f>'Machinary PR'!L52*8/'Machinary PR'!$AB52</f>
        <v>0</v>
      </c>
      <c r="M52" s="223">
        <f>'Machinary PR'!M52*8/'Machinary PR'!$AB52</f>
        <v>0</v>
      </c>
      <c r="N52" s="223">
        <f>'Machinary PR'!N52*8/'Machinary PR'!$AB52</f>
        <v>0</v>
      </c>
      <c r="O52" s="223">
        <f>'Machinary PR'!O52*8/'Machinary PR'!$AB52</f>
        <v>0</v>
      </c>
      <c r="P52" s="223">
        <f>'Machinary PR'!P52*8/'Machinary PR'!$AB52</f>
        <v>1.3333333333333334E-2</v>
      </c>
      <c r="Q52" s="223">
        <f>'Machinary PR'!Q52*8/'Machinary PR'!$AB52</f>
        <v>1.3333333333333334E-2</v>
      </c>
      <c r="R52" s="223">
        <f>'Machinary PR'!R52*8/'Machinary PR'!$AB52</f>
        <v>0.04</v>
      </c>
      <c r="S52" s="223">
        <f>'Machinary PR'!S52*8/'Machinary PR'!$AB52</f>
        <v>0</v>
      </c>
      <c r="T52" s="223">
        <f>'Machinary PR'!T52*8/'Machinary PR'!$AB52</f>
        <v>0</v>
      </c>
      <c r="U52" s="223">
        <f>'Machinary PR'!U52*8/'Machinary PR'!$AB52</f>
        <v>0</v>
      </c>
      <c r="V52" s="223">
        <f>'Machinary PR'!V52*8/'Machinary PR'!$AB52</f>
        <v>0</v>
      </c>
      <c r="W52" s="223">
        <f>'Machinary PR'!W52*8/'Machinary PR'!$AB52</f>
        <v>0</v>
      </c>
      <c r="X52" s="223">
        <f>'Machinary PR'!X52*8/'Machinary PR'!$AB52</f>
        <v>0</v>
      </c>
      <c r="Y52" s="223">
        <f>'Machinary PR'!Y52*8/'Machinary PR'!$AB52</f>
        <v>0</v>
      </c>
      <c r="Z52" s="223">
        <f>'Machinary PR'!Z52*8/'Machinary PR'!$AB52</f>
        <v>0</v>
      </c>
      <c r="AA52" s="230">
        <f>'Machinary PR'!AA52*8/'Machinary PR'!$AB52</f>
        <v>0</v>
      </c>
    </row>
    <row r="53" spans="2:27" ht="18.75" x14ac:dyDescent="0.3">
      <c r="B53" s="29" t="str">
        <f>VLOOKUP(D53,'Activity List CSI'!$B$4:$D$146,2,0)</f>
        <v>0313</v>
      </c>
      <c r="C53" s="232" t="str">
        <f>VLOOKUP(D53,'Activity List CSI'!$B$4:$D$146,3,0)</f>
        <v>03400-01</v>
      </c>
      <c r="D53" s="1" t="s">
        <v>100</v>
      </c>
      <c r="E53" s="38"/>
      <c r="F53" s="221">
        <f>'Machinary PR'!F53*8/'Machinary PR'!$AB53</f>
        <v>0</v>
      </c>
      <c r="G53" s="222">
        <f>'Machinary PR'!G53*8/'Machinary PR'!$AB53</f>
        <v>0</v>
      </c>
      <c r="H53" s="223">
        <f>'Machinary PR'!H53*8/'Machinary PR'!$AB53</f>
        <v>0</v>
      </c>
      <c r="I53" s="223">
        <f>'Machinary PR'!I53*8/'Machinary PR'!$AB53</f>
        <v>0</v>
      </c>
      <c r="J53" s="223">
        <f>'Machinary PR'!J53*8/'Machinary PR'!$AB53</f>
        <v>0</v>
      </c>
      <c r="K53" s="223">
        <f>'Machinary PR'!K53*8/'Machinary PR'!$AB53</f>
        <v>0</v>
      </c>
      <c r="L53" s="223">
        <f>'Machinary PR'!L53*8/'Machinary PR'!$AB53</f>
        <v>0</v>
      </c>
      <c r="M53" s="223">
        <f>'Machinary PR'!M53*8/'Machinary PR'!$AB53</f>
        <v>0</v>
      </c>
      <c r="N53" s="223">
        <f>'Machinary PR'!N53*8/'Machinary PR'!$AB53</f>
        <v>0</v>
      </c>
      <c r="O53" s="223">
        <f>'Machinary PR'!O53*8/'Machinary PR'!$AB53</f>
        <v>0</v>
      </c>
      <c r="P53" s="223">
        <f>'Machinary PR'!P53*8/'Machinary PR'!$AB53</f>
        <v>0</v>
      </c>
      <c r="Q53" s="223">
        <f>'Machinary PR'!Q53*8/'Machinary PR'!$AB53</f>
        <v>0</v>
      </c>
      <c r="R53" s="223">
        <f>'Machinary PR'!R53*8/'Machinary PR'!$AB53</f>
        <v>0</v>
      </c>
      <c r="S53" s="223">
        <f>'Machinary PR'!S53*8/'Machinary PR'!$AB53</f>
        <v>0</v>
      </c>
      <c r="T53" s="223">
        <f>'Machinary PR'!T53*8/'Machinary PR'!$AB53</f>
        <v>0</v>
      </c>
      <c r="U53" s="223">
        <f>'Machinary PR'!U53*8/'Machinary PR'!$AB53</f>
        <v>0.02</v>
      </c>
      <c r="V53" s="223">
        <f>'Machinary PR'!V53*8/'Machinary PR'!$AB53</f>
        <v>0</v>
      </c>
      <c r="W53" s="223">
        <f>'Machinary PR'!W53*8/'Machinary PR'!$AB53</f>
        <v>0</v>
      </c>
      <c r="X53" s="223">
        <f>'Machinary PR'!X53*8/'Machinary PR'!$AB53</f>
        <v>0</v>
      </c>
      <c r="Y53" s="223">
        <f>'Machinary PR'!Y53*8/'Machinary PR'!$AB53</f>
        <v>0</v>
      </c>
      <c r="Z53" s="223">
        <f>'Machinary PR'!Z53*8/'Machinary PR'!$AB53</f>
        <v>0</v>
      </c>
      <c r="AA53" s="230">
        <f>'Machinary PR'!AA53*8/'Machinary PR'!$AB53</f>
        <v>0</v>
      </c>
    </row>
    <row r="54" spans="2:27" ht="18.75" x14ac:dyDescent="0.3">
      <c r="B54" s="29" t="str">
        <f>VLOOKUP(D54,'Activity List CSI'!$B$4:$D$146,2,0)</f>
        <v>0314</v>
      </c>
      <c r="C54" s="232" t="str">
        <f>VLOOKUP(D54,'Activity List CSI'!$B$4:$D$146,3,0)</f>
        <v>03400-02</v>
      </c>
      <c r="D54" s="1" t="s">
        <v>435</v>
      </c>
      <c r="E54" s="38"/>
      <c r="F54" s="221">
        <f>'Machinary PR'!F54*8/'Machinary PR'!$AB54</f>
        <v>0</v>
      </c>
      <c r="G54" s="222">
        <f>'Machinary PR'!G54*8/'Machinary PR'!$AB54</f>
        <v>0</v>
      </c>
      <c r="H54" s="223">
        <f>'Machinary PR'!H54*8/'Machinary PR'!$AB54</f>
        <v>0</v>
      </c>
      <c r="I54" s="223">
        <f>'Machinary PR'!I54*8/'Machinary PR'!$AB54</f>
        <v>0</v>
      </c>
      <c r="J54" s="223">
        <f>'Machinary PR'!J54*8/'Machinary PR'!$AB54</f>
        <v>0</v>
      </c>
      <c r="K54" s="223">
        <f>'Machinary PR'!K54*8/'Machinary PR'!$AB54</f>
        <v>0</v>
      </c>
      <c r="L54" s="223">
        <f>'Machinary PR'!L54*8/'Machinary PR'!$AB54</f>
        <v>0</v>
      </c>
      <c r="M54" s="223">
        <f>'Machinary PR'!M54*8/'Machinary PR'!$AB54</f>
        <v>0</v>
      </c>
      <c r="N54" s="223">
        <f>'Machinary PR'!N54*8/'Machinary PR'!$AB54</f>
        <v>0</v>
      </c>
      <c r="O54" s="223">
        <f>'Machinary PR'!O54*8/'Machinary PR'!$AB54</f>
        <v>0</v>
      </c>
      <c r="P54" s="223">
        <f>'Machinary PR'!P54*8/'Machinary PR'!$AB54</f>
        <v>0</v>
      </c>
      <c r="Q54" s="223">
        <f>'Machinary PR'!Q54*8/'Machinary PR'!$AB54</f>
        <v>0</v>
      </c>
      <c r="R54" s="223">
        <f>'Machinary PR'!R54*8/'Machinary PR'!$AB54</f>
        <v>0</v>
      </c>
      <c r="S54" s="223">
        <f>'Machinary PR'!S54*8/'Machinary PR'!$AB54</f>
        <v>0</v>
      </c>
      <c r="T54" s="223">
        <f>'Machinary PR'!T54*8/'Machinary PR'!$AB54</f>
        <v>0</v>
      </c>
      <c r="U54" s="223">
        <f>'Machinary PR'!U54*8/'Machinary PR'!$AB54</f>
        <v>0.16</v>
      </c>
      <c r="V54" s="223">
        <f>'Machinary PR'!V54*8/'Machinary PR'!$AB54</f>
        <v>0</v>
      </c>
      <c r="W54" s="223">
        <f>'Machinary PR'!W54*8/'Machinary PR'!$AB54</f>
        <v>0</v>
      </c>
      <c r="X54" s="223">
        <f>'Machinary PR'!X54*8/'Machinary PR'!$AB54</f>
        <v>0</v>
      </c>
      <c r="Y54" s="223">
        <f>'Machinary PR'!Y54*8/'Machinary PR'!$AB54</f>
        <v>0</v>
      </c>
      <c r="Z54" s="223">
        <f>'Machinary PR'!Z54*8/'Machinary PR'!$AB54</f>
        <v>0</v>
      </c>
      <c r="AA54" s="230">
        <f>'Machinary PR'!AA54*8/'Machinary PR'!$AB54</f>
        <v>0</v>
      </c>
    </row>
    <row r="55" spans="2:27" ht="18.75" x14ac:dyDescent="0.3">
      <c r="B55" s="29" t="str">
        <f>VLOOKUP(D55,'Activity List CSI'!$B$4:$D$146,2,0)</f>
        <v>0315</v>
      </c>
      <c r="C55" s="232" t="str">
        <f>VLOOKUP(D55,'Activity List CSI'!$B$4:$D$146,3,0)</f>
        <v>03300-13</v>
      </c>
      <c r="D55" s="1" t="s">
        <v>103</v>
      </c>
      <c r="E55" s="38"/>
      <c r="F55" s="221">
        <f>'Machinary PR'!F55*8/'Machinary PR'!$AB55</f>
        <v>0</v>
      </c>
      <c r="G55" s="222">
        <f>'Machinary PR'!G55*8/'Machinary PR'!$AB55</f>
        <v>0</v>
      </c>
      <c r="H55" s="223">
        <f>'Machinary PR'!H55*8/'Machinary PR'!$AB55</f>
        <v>0</v>
      </c>
      <c r="I55" s="223">
        <f>'Machinary PR'!I55*8/'Machinary PR'!$AB55</f>
        <v>0</v>
      </c>
      <c r="J55" s="223">
        <f>'Machinary PR'!J55*8/'Machinary PR'!$AB55</f>
        <v>0</v>
      </c>
      <c r="K55" s="223">
        <f>'Machinary PR'!K55*8/'Machinary PR'!$AB55</f>
        <v>0</v>
      </c>
      <c r="L55" s="223">
        <f>'Machinary PR'!L55*8/'Machinary PR'!$AB55</f>
        <v>0</v>
      </c>
      <c r="M55" s="223">
        <f>'Machinary PR'!M55*8/'Machinary PR'!$AB55</f>
        <v>0</v>
      </c>
      <c r="N55" s="223">
        <f>'Machinary PR'!N55*8/'Machinary PR'!$AB55</f>
        <v>0</v>
      </c>
      <c r="O55" s="223">
        <f>'Machinary PR'!O55*8/'Machinary PR'!$AB55</f>
        <v>0</v>
      </c>
      <c r="P55" s="223">
        <f>'Machinary PR'!P55*8/'Machinary PR'!$AB55</f>
        <v>8.8888888888888892E-2</v>
      </c>
      <c r="Q55" s="223">
        <f>'Machinary PR'!Q55*8/'Machinary PR'!$AB55</f>
        <v>8.8888888888888892E-2</v>
      </c>
      <c r="R55" s="223">
        <f>'Machinary PR'!R55*8/'Machinary PR'!$AB55</f>
        <v>0.26666666666666666</v>
      </c>
      <c r="S55" s="223">
        <f>'Machinary PR'!S55*8/'Machinary PR'!$AB55</f>
        <v>0</v>
      </c>
      <c r="T55" s="223">
        <f>'Machinary PR'!T55*8/'Machinary PR'!$AB55</f>
        <v>0</v>
      </c>
      <c r="U55" s="223">
        <f>'Machinary PR'!U55*8/'Machinary PR'!$AB55</f>
        <v>0</v>
      </c>
      <c r="V55" s="223">
        <f>'Machinary PR'!V55*8/'Machinary PR'!$AB55</f>
        <v>0</v>
      </c>
      <c r="W55" s="223">
        <f>'Machinary PR'!W55*8/'Machinary PR'!$AB55</f>
        <v>0</v>
      </c>
      <c r="X55" s="223">
        <f>'Machinary PR'!X55*8/'Machinary PR'!$AB55</f>
        <v>0</v>
      </c>
      <c r="Y55" s="223">
        <f>'Machinary PR'!Y55*8/'Machinary PR'!$AB55</f>
        <v>0</v>
      </c>
      <c r="Z55" s="223">
        <f>'Machinary PR'!Z55*8/'Machinary PR'!$AB55</f>
        <v>0</v>
      </c>
      <c r="AA55" s="230">
        <f>'Machinary PR'!AA55*8/'Machinary PR'!$AB55</f>
        <v>0</v>
      </c>
    </row>
    <row r="56" spans="2:27" ht="18.75" x14ac:dyDescent="0.3">
      <c r="B56" s="29" t="str">
        <f>VLOOKUP(D56,'Activity List CSI'!$B$4:$D$146,2,0)</f>
        <v>0709</v>
      </c>
      <c r="C56" s="232" t="str">
        <f>VLOOKUP(D56,'Activity List CSI'!$B$4:$D$146,3,0)</f>
        <v>07200-03</v>
      </c>
      <c r="D56" s="1" t="s">
        <v>135</v>
      </c>
      <c r="E56" s="38"/>
      <c r="F56" s="221">
        <f>'Machinary PR'!F56*8/'Machinary PR'!$AB56</f>
        <v>0</v>
      </c>
      <c r="G56" s="222">
        <f>'Machinary PR'!G56*8/'Machinary PR'!$AB56</f>
        <v>0</v>
      </c>
      <c r="H56" s="223">
        <f>'Machinary PR'!H56*8/'Machinary PR'!$AB56</f>
        <v>0</v>
      </c>
      <c r="I56" s="223">
        <f>'Machinary PR'!I56*8/'Machinary PR'!$AB56</f>
        <v>0</v>
      </c>
      <c r="J56" s="223">
        <f>'Machinary PR'!J56*8/'Machinary PR'!$AB56</f>
        <v>0</v>
      </c>
      <c r="K56" s="223">
        <f>'Machinary PR'!K56*8/'Machinary PR'!$AB56</f>
        <v>0</v>
      </c>
      <c r="L56" s="223">
        <f>'Machinary PR'!L56*8/'Machinary PR'!$AB56</f>
        <v>0</v>
      </c>
      <c r="M56" s="223">
        <f>'Machinary PR'!M56*8/'Machinary PR'!$AB56</f>
        <v>0</v>
      </c>
      <c r="N56" s="223">
        <f>'Machinary PR'!N56*8/'Machinary PR'!$AB56</f>
        <v>0</v>
      </c>
      <c r="O56" s="223">
        <f>'Machinary PR'!O56*8/'Machinary PR'!$AB56</f>
        <v>0</v>
      </c>
      <c r="P56" s="223">
        <f>'Machinary PR'!P56*8/'Machinary PR'!$AB56</f>
        <v>0</v>
      </c>
      <c r="Q56" s="223">
        <f>'Machinary PR'!Q56*8/'Machinary PR'!$AB56</f>
        <v>0</v>
      </c>
      <c r="R56" s="223">
        <f>'Machinary PR'!R56*8/'Machinary PR'!$AB56</f>
        <v>0</v>
      </c>
      <c r="S56" s="223">
        <f>'Machinary PR'!S56*8/'Machinary PR'!$AB56</f>
        <v>0.10666666666666667</v>
      </c>
      <c r="T56" s="223">
        <f>'Machinary PR'!T56*8/'Machinary PR'!$AB56</f>
        <v>0</v>
      </c>
      <c r="U56" s="223">
        <f>'Machinary PR'!U56*8/'Machinary PR'!$AB56</f>
        <v>0</v>
      </c>
      <c r="V56" s="223">
        <f>'Machinary PR'!V56*8/'Machinary PR'!$AB56</f>
        <v>0</v>
      </c>
      <c r="W56" s="223">
        <f>'Machinary PR'!W56*8/'Machinary PR'!$AB56</f>
        <v>0</v>
      </c>
      <c r="X56" s="223">
        <f>'Machinary PR'!X56*8/'Machinary PR'!$AB56</f>
        <v>0</v>
      </c>
      <c r="Y56" s="223">
        <f>'Machinary PR'!Y56*8/'Machinary PR'!$AB56</f>
        <v>0</v>
      </c>
      <c r="Z56" s="223">
        <f>'Machinary PR'!Z56*8/'Machinary PR'!$AB56</f>
        <v>0</v>
      </c>
      <c r="AA56" s="230">
        <f>'Machinary PR'!AA56*8/'Machinary PR'!$AB56</f>
        <v>0</v>
      </c>
    </row>
    <row r="57" spans="2:27" ht="18.75" x14ac:dyDescent="0.3">
      <c r="B57" s="29" t="str">
        <f>VLOOKUP(D57,'Activity List CSI'!$B$4:$D$146,2,0)</f>
        <v>0403</v>
      </c>
      <c r="C57" s="232" t="str">
        <f>VLOOKUP(D57,'Activity List CSI'!$B$4:$D$146,3,0)</f>
        <v>04400-01</v>
      </c>
      <c r="D57" s="1" t="s">
        <v>108</v>
      </c>
      <c r="E57" s="38" t="s">
        <v>515</v>
      </c>
      <c r="F57" s="221">
        <f>'Machinary PR'!F57*8/'Machinary PR'!$AB57</f>
        <v>0.14545454545454545</v>
      </c>
      <c r="G57" s="222">
        <f>'Machinary PR'!G57*8/'Machinary PR'!$AB57</f>
        <v>0</v>
      </c>
      <c r="H57" s="223">
        <f>'Machinary PR'!H57*8/'Machinary PR'!$AB57</f>
        <v>0</v>
      </c>
      <c r="I57" s="223">
        <f>'Machinary PR'!I57*8/'Machinary PR'!$AB57</f>
        <v>0.14545454545454545</v>
      </c>
      <c r="J57" s="223">
        <f>'Machinary PR'!J57*8/'Machinary PR'!$AB57</f>
        <v>0</v>
      </c>
      <c r="K57" s="223">
        <f>'Machinary PR'!K57*8/'Machinary PR'!$AB57</f>
        <v>0</v>
      </c>
      <c r="L57" s="223">
        <f>'Machinary PR'!L57*8/'Machinary PR'!$AB57</f>
        <v>0</v>
      </c>
      <c r="M57" s="223">
        <f>'Machinary PR'!M57*8/'Machinary PR'!$AB57</f>
        <v>0</v>
      </c>
      <c r="N57" s="223">
        <f>'Machinary PR'!N57*8/'Machinary PR'!$AB57</f>
        <v>0</v>
      </c>
      <c r="O57" s="223">
        <f>'Machinary PR'!O57*8/'Machinary PR'!$AB57</f>
        <v>0</v>
      </c>
      <c r="P57" s="223">
        <f>'Machinary PR'!P57*8/'Machinary PR'!$AB57</f>
        <v>0</v>
      </c>
      <c r="Q57" s="223">
        <f>'Machinary PR'!Q57*8/'Machinary PR'!$AB57</f>
        <v>0</v>
      </c>
      <c r="R57" s="223">
        <f>'Machinary PR'!R57*8/'Machinary PR'!$AB57</f>
        <v>0</v>
      </c>
      <c r="S57" s="223">
        <f>'Machinary PR'!S57*8/'Machinary PR'!$AB57</f>
        <v>0</v>
      </c>
      <c r="T57" s="223">
        <f>'Machinary PR'!T57*8/'Machinary PR'!$AB57</f>
        <v>0</v>
      </c>
      <c r="U57" s="223">
        <f>'Machinary PR'!U57*8/'Machinary PR'!$AB57</f>
        <v>0</v>
      </c>
      <c r="V57" s="223">
        <f>'Machinary PR'!V57*8/'Machinary PR'!$AB57</f>
        <v>0</v>
      </c>
      <c r="W57" s="223">
        <f>'Machinary PR'!W57*8/'Machinary PR'!$AB57</f>
        <v>0</v>
      </c>
      <c r="X57" s="223">
        <f>'Machinary PR'!X57*8/'Machinary PR'!$AB57</f>
        <v>0</v>
      </c>
      <c r="Y57" s="223">
        <f>'Machinary PR'!Y57*8/'Machinary PR'!$AB57</f>
        <v>0</v>
      </c>
      <c r="Z57" s="223">
        <f>'Machinary PR'!Z57*8/'Machinary PR'!$AB57</f>
        <v>0</v>
      </c>
      <c r="AA57" s="230">
        <f>'Machinary PR'!AA57*8/'Machinary PR'!$AB57</f>
        <v>0</v>
      </c>
    </row>
    <row r="58" spans="2:27" ht="18.75" x14ac:dyDescent="0.3">
      <c r="B58" s="29" t="str">
        <f>VLOOKUP(D58,'Activity List CSI'!$B$4:$D$146,2,0)</f>
        <v>1505</v>
      </c>
      <c r="C58" s="232" t="str">
        <f>VLOOKUP(D58,'Activity List CSI'!$B$4:$D$146,3,0)</f>
        <v>15200-01</v>
      </c>
      <c r="D58" s="1" t="s">
        <v>295</v>
      </c>
      <c r="E58" s="38" t="s">
        <v>519</v>
      </c>
      <c r="F58" s="221">
        <f>'Machinary PR'!F58*8/'Machinary PR'!$AB58</f>
        <v>0</v>
      </c>
      <c r="G58" s="222">
        <f>'Machinary PR'!G58*8/'Machinary PR'!$AB58</f>
        <v>0</v>
      </c>
      <c r="H58" s="223">
        <f>'Machinary PR'!H58*8/'Machinary PR'!$AB58</f>
        <v>0</v>
      </c>
      <c r="I58" s="223">
        <f>'Machinary PR'!I58*8/'Machinary PR'!$AB58</f>
        <v>0</v>
      </c>
      <c r="J58" s="223">
        <f>'Machinary PR'!J58*8/'Machinary PR'!$AB58</f>
        <v>0</v>
      </c>
      <c r="K58" s="223">
        <f>'Machinary PR'!K58*8/'Machinary PR'!$AB58</f>
        <v>0</v>
      </c>
      <c r="L58" s="223">
        <f>'Machinary PR'!L58*8/'Machinary PR'!$AB58</f>
        <v>0</v>
      </c>
      <c r="M58" s="223">
        <f>'Machinary PR'!M58*8/'Machinary PR'!$AB58</f>
        <v>0</v>
      </c>
      <c r="N58" s="223">
        <f>'Machinary PR'!N58*8/'Machinary PR'!$AB58</f>
        <v>0</v>
      </c>
      <c r="O58" s="223">
        <f>'Machinary PR'!O58*8/'Machinary PR'!$AB58</f>
        <v>0</v>
      </c>
      <c r="P58" s="223">
        <f>'Machinary PR'!P58*8/'Machinary PR'!$AB58</f>
        <v>0</v>
      </c>
      <c r="Q58" s="223">
        <f>'Machinary PR'!Q58*8/'Machinary PR'!$AB58</f>
        <v>0</v>
      </c>
      <c r="R58" s="223">
        <f>'Machinary PR'!R58*8/'Machinary PR'!$AB58</f>
        <v>0</v>
      </c>
      <c r="S58" s="223">
        <f>'Machinary PR'!S58*8/'Machinary PR'!$AB58</f>
        <v>0</v>
      </c>
      <c r="T58" s="223">
        <f>'Machinary PR'!T58*8/'Machinary PR'!$AB58</f>
        <v>0</v>
      </c>
      <c r="U58" s="223">
        <f>'Machinary PR'!U58*8/'Machinary PR'!$AB58</f>
        <v>0.59259259259259256</v>
      </c>
      <c r="V58" s="223">
        <f>'Machinary PR'!V58*8/'Machinary PR'!$AB58</f>
        <v>0</v>
      </c>
      <c r="W58" s="223">
        <f>'Machinary PR'!W58*8/'Machinary PR'!$AB58</f>
        <v>0</v>
      </c>
      <c r="X58" s="223">
        <f>'Machinary PR'!X58*8/'Machinary PR'!$AB58</f>
        <v>0</v>
      </c>
      <c r="Y58" s="223">
        <f>'Machinary PR'!Y58*8/'Machinary PR'!$AB58</f>
        <v>0</v>
      </c>
      <c r="Z58" s="223">
        <f>'Machinary PR'!Z58*8/'Machinary PR'!$AB58</f>
        <v>0</v>
      </c>
      <c r="AA58" s="230">
        <f>'Machinary PR'!AA58*8/'Machinary PR'!$AB58</f>
        <v>0</v>
      </c>
    </row>
    <row r="59" spans="2:27" ht="18.75" x14ac:dyDescent="0.3">
      <c r="B59" s="29" t="str">
        <f>VLOOKUP(D59,'Activity List CSI'!$B$4:$D$146,2,0)</f>
        <v>1506</v>
      </c>
      <c r="C59" s="232" t="str">
        <f>VLOOKUP(D59,'Activity List CSI'!$B$4:$D$146,3,0)</f>
        <v>15200-02</v>
      </c>
      <c r="D59" s="1" t="s">
        <v>296</v>
      </c>
      <c r="E59" s="38" t="s">
        <v>519</v>
      </c>
      <c r="F59" s="221">
        <f>'Machinary PR'!F59*8/'Machinary PR'!$AB59</f>
        <v>0</v>
      </c>
      <c r="G59" s="222">
        <f>'Machinary PR'!G59*8/'Machinary PR'!$AB59</f>
        <v>0</v>
      </c>
      <c r="H59" s="223">
        <f>'Machinary PR'!H59*8/'Machinary PR'!$AB59</f>
        <v>0</v>
      </c>
      <c r="I59" s="223">
        <f>'Machinary PR'!I59*8/'Machinary PR'!$AB59</f>
        <v>0</v>
      </c>
      <c r="J59" s="223">
        <f>'Machinary PR'!J59*8/'Machinary PR'!$AB59</f>
        <v>0</v>
      </c>
      <c r="K59" s="223">
        <f>'Machinary PR'!K59*8/'Machinary PR'!$AB59</f>
        <v>0</v>
      </c>
      <c r="L59" s="223">
        <f>'Machinary PR'!L59*8/'Machinary PR'!$AB59</f>
        <v>0</v>
      </c>
      <c r="M59" s="223">
        <f>'Machinary PR'!M59*8/'Machinary PR'!$AB59</f>
        <v>0</v>
      </c>
      <c r="N59" s="223">
        <f>'Machinary PR'!N59*8/'Machinary PR'!$AB59</f>
        <v>0</v>
      </c>
      <c r="O59" s="223">
        <f>'Machinary PR'!O59*8/'Machinary PR'!$AB59</f>
        <v>0</v>
      </c>
      <c r="P59" s="223">
        <f>'Machinary PR'!P59*8/'Machinary PR'!$AB59</f>
        <v>0</v>
      </c>
      <c r="Q59" s="223">
        <f>'Machinary PR'!Q59*8/'Machinary PR'!$AB59</f>
        <v>0</v>
      </c>
      <c r="R59" s="223">
        <f>'Machinary PR'!R59*8/'Machinary PR'!$AB59</f>
        <v>0</v>
      </c>
      <c r="S59" s="223">
        <f>'Machinary PR'!S59*8/'Machinary PR'!$AB59</f>
        <v>0</v>
      </c>
      <c r="T59" s="223">
        <f>'Machinary PR'!T59*8/'Machinary PR'!$AB59</f>
        <v>0</v>
      </c>
      <c r="U59" s="223">
        <f>'Machinary PR'!U59*8/'Machinary PR'!$AB59</f>
        <v>0.88888888888888884</v>
      </c>
      <c r="V59" s="223">
        <f>'Machinary PR'!V59*8/'Machinary PR'!$AB59</f>
        <v>0</v>
      </c>
      <c r="W59" s="223">
        <f>'Machinary PR'!W59*8/'Machinary PR'!$AB59</f>
        <v>0</v>
      </c>
      <c r="X59" s="223">
        <f>'Machinary PR'!X59*8/'Machinary PR'!$AB59</f>
        <v>0</v>
      </c>
      <c r="Y59" s="223">
        <f>'Machinary PR'!Y59*8/'Machinary PR'!$AB59</f>
        <v>0</v>
      </c>
      <c r="Z59" s="223">
        <f>'Machinary PR'!Z59*8/'Machinary PR'!$AB59</f>
        <v>0</v>
      </c>
      <c r="AA59" s="230">
        <f>'Machinary PR'!AA59*8/'Machinary PR'!$AB59</f>
        <v>0</v>
      </c>
    </row>
    <row r="60" spans="2:27" ht="18.75" x14ac:dyDescent="0.3">
      <c r="B60" s="29" t="str">
        <f>VLOOKUP(D60,'Activity List CSI'!$B$4:$D$146,2,0)</f>
        <v>1507</v>
      </c>
      <c r="C60" s="232" t="str">
        <f>VLOOKUP(D60,'Activity List CSI'!$B$4:$D$146,3,0)</f>
        <v>15200-03</v>
      </c>
      <c r="D60" s="1" t="s">
        <v>297</v>
      </c>
      <c r="E60" s="38" t="s">
        <v>519</v>
      </c>
      <c r="F60" s="221">
        <f>'Machinary PR'!F60*8/'Machinary PR'!$AB60</f>
        <v>0</v>
      </c>
      <c r="G60" s="222">
        <f>'Machinary PR'!G60*8/'Machinary PR'!$AB60</f>
        <v>0</v>
      </c>
      <c r="H60" s="223">
        <f>'Machinary PR'!H60*8/'Machinary PR'!$AB60</f>
        <v>0</v>
      </c>
      <c r="I60" s="223">
        <f>'Machinary PR'!I60*8/'Machinary PR'!$AB60</f>
        <v>0</v>
      </c>
      <c r="J60" s="223">
        <f>'Machinary PR'!J60*8/'Machinary PR'!$AB60</f>
        <v>0</v>
      </c>
      <c r="K60" s="223">
        <f>'Machinary PR'!K60*8/'Machinary PR'!$AB60</f>
        <v>0</v>
      </c>
      <c r="L60" s="223">
        <f>'Machinary PR'!L60*8/'Machinary PR'!$AB60</f>
        <v>0</v>
      </c>
      <c r="M60" s="223">
        <f>'Machinary PR'!M60*8/'Machinary PR'!$AB60</f>
        <v>0</v>
      </c>
      <c r="N60" s="223">
        <f>'Machinary PR'!N60*8/'Machinary PR'!$AB60</f>
        <v>0</v>
      </c>
      <c r="O60" s="223">
        <f>'Machinary PR'!O60*8/'Machinary PR'!$AB60</f>
        <v>0</v>
      </c>
      <c r="P60" s="223">
        <f>'Machinary PR'!P60*8/'Machinary PR'!$AB60</f>
        <v>0</v>
      </c>
      <c r="Q60" s="223">
        <f>'Machinary PR'!Q60*8/'Machinary PR'!$AB60</f>
        <v>0</v>
      </c>
      <c r="R60" s="223">
        <f>'Machinary PR'!R60*8/'Machinary PR'!$AB60</f>
        <v>0</v>
      </c>
      <c r="S60" s="223">
        <f>'Machinary PR'!S60*8/'Machinary PR'!$AB60</f>
        <v>0</v>
      </c>
      <c r="T60" s="223">
        <f>'Machinary PR'!T60*8/'Machinary PR'!$AB60</f>
        <v>0</v>
      </c>
      <c r="U60" s="223">
        <f>'Machinary PR'!U60*8/'Machinary PR'!$AB60</f>
        <v>0.11851851851851852</v>
      </c>
      <c r="V60" s="223">
        <f>'Machinary PR'!V60*8/'Machinary PR'!$AB60</f>
        <v>0</v>
      </c>
      <c r="W60" s="223">
        <f>'Machinary PR'!W60*8/'Machinary PR'!$AB60</f>
        <v>0</v>
      </c>
      <c r="X60" s="223">
        <f>'Machinary PR'!X60*8/'Machinary PR'!$AB60</f>
        <v>0</v>
      </c>
      <c r="Y60" s="223">
        <f>'Machinary PR'!Y60*8/'Machinary PR'!$AB60</f>
        <v>0</v>
      </c>
      <c r="Z60" s="223">
        <f>'Machinary PR'!Z60*8/'Machinary PR'!$AB60</f>
        <v>0</v>
      </c>
      <c r="AA60" s="230">
        <f>'Machinary PR'!AA60*8/'Machinary PR'!$AB60</f>
        <v>0</v>
      </c>
    </row>
    <row r="61" spans="2:27" ht="18.75" x14ac:dyDescent="0.3">
      <c r="B61" s="29" t="str">
        <f>VLOOKUP(D61,'Activity List CSI'!$B$4:$D$146,2,0)</f>
        <v>1509</v>
      </c>
      <c r="C61" s="232" t="str">
        <f>VLOOKUP(D61,'Activity List CSI'!$B$4:$D$146,3,0)</f>
        <v>15200-05</v>
      </c>
      <c r="D61" s="1" t="s">
        <v>299</v>
      </c>
      <c r="E61" s="38" t="s">
        <v>519</v>
      </c>
      <c r="F61" s="221">
        <f>'Machinary PR'!F61*8/'Machinary PR'!$AB61</f>
        <v>0</v>
      </c>
      <c r="G61" s="222">
        <f>'Machinary PR'!G61*8/'Machinary PR'!$AB61</f>
        <v>0</v>
      </c>
      <c r="H61" s="223">
        <f>'Machinary PR'!H61*8/'Machinary PR'!$AB61</f>
        <v>0</v>
      </c>
      <c r="I61" s="223">
        <f>'Machinary PR'!I61*8/'Machinary PR'!$AB61</f>
        <v>0</v>
      </c>
      <c r="J61" s="223">
        <f>'Machinary PR'!J61*8/'Machinary PR'!$AB61</f>
        <v>0</v>
      </c>
      <c r="K61" s="223">
        <f>'Machinary PR'!K61*8/'Machinary PR'!$AB61</f>
        <v>0</v>
      </c>
      <c r="L61" s="223">
        <f>'Machinary PR'!L61*8/'Machinary PR'!$AB61</f>
        <v>0</v>
      </c>
      <c r="M61" s="223">
        <f>'Machinary PR'!M61*8/'Machinary PR'!$AB61</f>
        <v>0</v>
      </c>
      <c r="N61" s="223">
        <f>'Machinary PR'!N61*8/'Machinary PR'!$AB61</f>
        <v>0</v>
      </c>
      <c r="O61" s="223">
        <f>'Machinary PR'!O61*8/'Machinary PR'!$AB61</f>
        <v>0</v>
      </c>
      <c r="P61" s="223">
        <f>'Machinary PR'!P61*8/'Machinary PR'!$AB61</f>
        <v>0</v>
      </c>
      <c r="Q61" s="223">
        <f>'Machinary PR'!Q61*8/'Machinary PR'!$AB61</f>
        <v>0</v>
      </c>
      <c r="R61" s="223">
        <f>'Machinary PR'!R61*8/'Machinary PR'!$AB61</f>
        <v>0</v>
      </c>
      <c r="S61" s="223">
        <f>'Machinary PR'!S61*8/'Machinary PR'!$AB61</f>
        <v>0</v>
      </c>
      <c r="T61" s="223">
        <f>'Machinary PR'!T61*8/'Machinary PR'!$AB61</f>
        <v>0</v>
      </c>
      <c r="U61" s="223">
        <f>'Machinary PR'!U61*8/'Machinary PR'!$AB61</f>
        <v>0.19753086419753085</v>
      </c>
      <c r="V61" s="223">
        <f>'Machinary PR'!V61*8/'Machinary PR'!$AB61</f>
        <v>0</v>
      </c>
      <c r="W61" s="223">
        <f>'Machinary PR'!W61*8/'Machinary PR'!$AB61</f>
        <v>0</v>
      </c>
      <c r="X61" s="223">
        <f>'Machinary PR'!X61*8/'Machinary PR'!$AB61</f>
        <v>0</v>
      </c>
      <c r="Y61" s="223">
        <f>'Machinary PR'!Y61*8/'Machinary PR'!$AB61</f>
        <v>0</v>
      </c>
      <c r="Z61" s="223">
        <f>'Machinary PR'!Z61*8/'Machinary PR'!$AB61</f>
        <v>0</v>
      </c>
      <c r="AA61" s="230">
        <f>'Machinary PR'!AA61*8/'Machinary PR'!$AB61</f>
        <v>0</v>
      </c>
    </row>
    <row r="62" spans="2:27" ht="19.5" thickBot="1" x14ac:dyDescent="0.35">
      <c r="B62" s="211" t="str">
        <f>VLOOKUP(D62,'Activity List CSI'!$B$4:$D$146,2,0)</f>
        <v>1510</v>
      </c>
      <c r="C62" s="236" t="str">
        <f>VLOOKUP(D62,'Activity List CSI'!$B$4:$D$146,3,0)</f>
        <v>15200-06</v>
      </c>
      <c r="D62" s="234" t="s">
        <v>410</v>
      </c>
      <c r="E62" s="210" t="s">
        <v>512</v>
      </c>
      <c r="F62" s="224">
        <f>'Machinary PR'!F62*8/'Machinary PR'!$AB62</f>
        <v>0</v>
      </c>
      <c r="G62" s="225">
        <f>'Machinary PR'!G62*8/'Machinary PR'!$AB62</f>
        <v>0</v>
      </c>
      <c r="H62" s="226">
        <f>'Machinary PR'!H62*8/'Machinary PR'!$AB62</f>
        <v>0</v>
      </c>
      <c r="I62" s="226">
        <f>'Machinary PR'!I62*8/'Machinary PR'!$AB62</f>
        <v>0</v>
      </c>
      <c r="J62" s="226">
        <f>'Machinary PR'!J62*8/'Machinary PR'!$AB62</f>
        <v>0</v>
      </c>
      <c r="K62" s="226">
        <f>'Machinary PR'!K62*8/'Machinary PR'!$AB62</f>
        <v>0</v>
      </c>
      <c r="L62" s="226">
        <f>'Machinary PR'!L62*8/'Machinary PR'!$AB62</f>
        <v>0</v>
      </c>
      <c r="M62" s="226">
        <f>'Machinary PR'!M62*8/'Machinary PR'!$AB62</f>
        <v>0</v>
      </c>
      <c r="N62" s="226">
        <f>'Machinary PR'!N62*8/'Machinary PR'!$AB62</f>
        <v>0</v>
      </c>
      <c r="O62" s="226">
        <f>'Machinary PR'!O62*8/'Machinary PR'!$AB62</f>
        <v>0</v>
      </c>
      <c r="P62" s="226">
        <f>'Machinary PR'!P62*8/'Machinary PR'!$AB62</f>
        <v>0</v>
      </c>
      <c r="Q62" s="226">
        <f>'Machinary PR'!Q62*8/'Machinary PR'!$AB62</f>
        <v>0</v>
      </c>
      <c r="R62" s="226">
        <f>'Machinary PR'!R62*8/'Machinary PR'!$AB62</f>
        <v>0</v>
      </c>
      <c r="S62" s="226">
        <f>'Machinary PR'!S62*8/'Machinary PR'!$AB62</f>
        <v>0</v>
      </c>
      <c r="T62" s="226">
        <f>'Machinary PR'!T62*8/'Machinary PR'!$AB62</f>
        <v>0</v>
      </c>
      <c r="U62" s="226">
        <f>'Machinary PR'!U62*8/'Machinary PR'!$AB62</f>
        <v>2.4242424242424248</v>
      </c>
      <c r="V62" s="226">
        <f>'Machinary PR'!V62*8/'Machinary PR'!$AB62</f>
        <v>0</v>
      </c>
      <c r="W62" s="226">
        <f>'Machinary PR'!W62*8/'Machinary PR'!$AB62</f>
        <v>0</v>
      </c>
      <c r="X62" s="226">
        <f>'Machinary PR'!X62*8/'Machinary PR'!$AB62</f>
        <v>0</v>
      </c>
      <c r="Y62" s="226">
        <f>'Machinary PR'!Y62*8/'Machinary PR'!$AB62</f>
        <v>0</v>
      </c>
      <c r="Z62" s="226">
        <f>'Machinary PR'!Z62*8/'Machinary PR'!$AB62</f>
        <v>0</v>
      </c>
      <c r="AA62" s="231">
        <f>'Machinary PR'!AA62*8/'Machinary PR'!$AB62</f>
        <v>0</v>
      </c>
    </row>
    <row r="63" spans="2:27" ht="15.75" thickTop="1" x14ac:dyDescent="0.25"/>
  </sheetData>
  <pageMargins left="0.7" right="0.7" top="0.75" bottom="0.75" header="0.3" footer="0.3"/>
  <pageSetup scale="2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N159"/>
  <sheetViews>
    <sheetView topLeftCell="G1" zoomScale="90" zoomScaleNormal="90" workbookViewId="0">
      <selection activeCell="F39" sqref="F39"/>
    </sheetView>
  </sheetViews>
  <sheetFormatPr defaultRowHeight="15" x14ac:dyDescent="0.25"/>
  <cols>
    <col min="1" max="1" width="6.140625" customWidth="1"/>
    <col min="2" max="3" width="9.140625" hidden="1" customWidth="1"/>
    <col min="4" max="4" width="11.5703125" customWidth="1"/>
    <col min="5" max="5" width="15.42578125" customWidth="1"/>
    <col min="6" max="6" width="73.85546875" customWidth="1"/>
    <col min="7" max="7" width="8" customWidth="1"/>
    <col min="8" max="8" width="18" customWidth="1"/>
    <col min="9" max="9" width="14" customWidth="1"/>
    <col min="10" max="10" width="39.140625" bestFit="1" customWidth="1"/>
    <col min="11" max="11" width="22.5703125" customWidth="1"/>
    <col min="12" max="12" width="9.85546875" customWidth="1"/>
    <col min="13" max="14" width="25.5703125" customWidth="1"/>
  </cols>
  <sheetData>
    <row r="1" spans="4:14" s="141" customFormat="1" x14ac:dyDescent="0.25">
      <c r="G1" s="141">
        <v>3</v>
      </c>
      <c r="H1" s="141">
        <v>4</v>
      </c>
      <c r="J1" s="141">
        <v>7</v>
      </c>
    </row>
    <row r="2" spans="4:14" s="141" customFormat="1" ht="27" thickBot="1" x14ac:dyDescent="0.45">
      <c r="D2" s="207" t="s">
        <v>1141</v>
      </c>
    </row>
    <row r="3" spans="4:14" s="140" customFormat="1" ht="30" customHeight="1" thickBot="1" x14ac:dyDescent="0.3">
      <c r="D3" s="143" t="s">
        <v>905</v>
      </c>
      <c r="E3" s="146" t="s">
        <v>15</v>
      </c>
      <c r="F3" s="144" t="s">
        <v>16</v>
      </c>
      <c r="G3" s="144" t="s">
        <v>1126</v>
      </c>
      <c r="H3" s="146" t="s">
        <v>909</v>
      </c>
      <c r="I3" s="144" t="s">
        <v>308</v>
      </c>
      <c r="J3" s="146" t="s">
        <v>309</v>
      </c>
      <c r="K3" s="144" t="s">
        <v>1127</v>
      </c>
      <c r="L3" s="146" t="s">
        <v>911</v>
      </c>
      <c r="M3" s="146" t="s">
        <v>912</v>
      </c>
      <c r="N3" s="145" t="s">
        <v>913</v>
      </c>
    </row>
    <row r="4" spans="4:14" x14ac:dyDescent="0.25">
      <c r="D4" s="49" t="s">
        <v>54</v>
      </c>
      <c r="E4" s="50" t="str">
        <f>VLOOKUP(F4,'Activity List CSI'!$B$4:$D$146,3,0)</f>
        <v>02300-01</v>
      </c>
      <c r="F4" s="50" t="s">
        <v>18</v>
      </c>
      <c r="G4" s="50" t="str">
        <f>VLOOKUP($E4,'Activity List CSI'!$D$4:$J$146,G$1,0)</f>
        <v>02</v>
      </c>
      <c r="H4" s="50" t="str">
        <f>VLOOKUP($E4,'Activity List CSI'!$D$4:$J$146,H$1,0)</f>
        <v>EarthWork</v>
      </c>
      <c r="I4" s="50" t="str">
        <f>VLOOKUP(D4,'Activity List CSI'!$C$4:$H$146,6,0)</f>
        <v>02300</v>
      </c>
      <c r="J4" s="50" t="str">
        <f>VLOOKUP($E4,'Activity List CSI'!$D$4:$J$146,J$1,0)</f>
        <v>Earthwork</v>
      </c>
      <c r="K4" s="50" t="s">
        <v>688</v>
      </c>
      <c r="L4" s="50">
        <v>405</v>
      </c>
      <c r="M4" s="50" t="str">
        <f>I4&amp;L4</f>
        <v>02300405</v>
      </c>
      <c r="N4" s="45" t="str">
        <f>M4</f>
        <v>02300405</v>
      </c>
    </row>
    <row r="5" spans="4:14" x14ac:dyDescent="0.25">
      <c r="D5" s="11" t="s">
        <v>52</v>
      </c>
      <c r="E5" s="1" t="str">
        <f>VLOOKUP(F5,'Activity List CSI'!$B$4:$D$146,3,0)</f>
        <v>02300-02</v>
      </c>
      <c r="F5" s="1" t="s">
        <v>19</v>
      </c>
      <c r="G5" s="1" t="str">
        <f>VLOOKUP($E5,'Activity List CSI'!$D$4:$J$146,G$1,0)</f>
        <v>02</v>
      </c>
      <c r="H5" s="1" t="str">
        <f>VLOOKUP($E5,'Activity List CSI'!$D$4:$J$146,H$1,0)</f>
        <v>EarthWork</v>
      </c>
      <c r="I5" s="1" t="str">
        <f>VLOOKUP(D5,'Activity List CSI'!$C$4:$H$146,6,0)</f>
        <v>02300</v>
      </c>
      <c r="J5" s="1" t="str">
        <f>VLOOKUP($E5,'Activity List CSI'!$D$4:$J$146,J$1,0)</f>
        <v>Earthwork</v>
      </c>
      <c r="K5" s="1" t="s">
        <v>688</v>
      </c>
      <c r="L5" s="1">
        <v>405</v>
      </c>
      <c r="M5" s="1" t="str">
        <f t="shared" ref="M5:M68" si="0">I5&amp;L5</f>
        <v>02300405</v>
      </c>
      <c r="N5" s="12" t="str">
        <f t="shared" ref="N5:N17" si="1">M5</f>
        <v>02300405</v>
      </c>
    </row>
    <row r="6" spans="4:14" x14ac:dyDescent="0.25">
      <c r="D6" s="11" t="s">
        <v>55</v>
      </c>
      <c r="E6" s="1" t="str">
        <f>VLOOKUP(F6,'Activity List CSI'!$B$4:$D$146,3,0)</f>
        <v>02300-03</v>
      </c>
      <c r="F6" s="1" t="s">
        <v>20</v>
      </c>
      <c r="G6" s="1" t="str">
        <f>VLOOKUP($E6,'Activity List CSI'!$D$4:$J$146,G$1,0)</f>
        <v>02</v>
      </c>
      <c r="H6" s="1" t="str">
        <f>VLOOKUP($E6,'Activity List CSI'!$D$4:$J$146,H$1,0)</f>
        <v>EarthWork</v>
      </c>
      <c r="I6" s="1" t="str">
        <f>VLOOKUP(D6,'Activity List CSI'!$C$4:$H$146,6,0)</f>
        <v>02300</v>
      </c>
      <c r="J6" s="1" t="str">
        <f>VLOOKUP($E6,'Activity List CSI'!$D$4:$J$146,J$1,0)</f>
        <v>Earthwork</v>
      </c>
      <c r="K6" s="1" t="s">
        <v>688</v>
      </c>
      <c r="L6" s="1">
        <v>405</v>
      </c>
      <c r="M6" s="1" t="str">
        <f t="shared" si="0"/>
        <v>02300405</v>
      </c>
      <c r="N6" s="12" t="str">
        <f t="shared" si="1"/>
        <v>02300405</v>
      </c>
    </row>
    <row r="7" spans="4:14" x14ac:dyDescent="0.25">
      <c r="D7" s="11" t="s">
        <v>55</v>
      </c>
      <c r="E7" s="1" t="str">
        <f>VLOOKUP(F7,'Activity List CSI'!$B$4:$D$146,3,0)</f>
        <v>02300-03</v>
      </c>
      <c r="F7" s="1" t="s">
        <v>20</v>
      </c>
      <c r="G7" s="1" t="str">
        <f>VLOOKUP($E7,'Activity List CSI'!$D$4:$J$146,G$1,0)</f>
        <v>02</v>
      </c>
      <c r="H7" s="1" t="str">
        <f>VLOOKUP($E7,'Activity List CSI'!$D$4:$J$146,H$1,0)</f>
        <v>EarthWork</v>
      </c>
      <c r="I7" s="1" t="str">
        <f>VLOOKUP(D7,'Activity List CSI'!$C$4:$H$146,6,0)</f>
        <v>02300</v>
      </c>
      <c r="J7" s="1" t="str">
        <f>VLOOKUP($E7,'Activity List CSI'!$D$4:$J$146,J$1,0)</f>
        <v>Earthwork</v>
      </c>
      <c r="K7" s="1" t="s">
        <v>689</v>
      </c>
      <c r="L7" s="1">
        <v>410</v>
      </c>
      <c r="M7" s="1" t="str">
        <f t="shared" si="0"/>
        <v>02300410</v>
      </c>
      <c r="N7" s="12" t="str">
        <f t="shared" si="1"/>
        <v>02300410</v>
      </c>
    </row>
    <row r="8" spans="4:14" x14ac:dyDescent="0.25">
      <c r="D8" s="11" t="s">
        <v>55</v>
      </c>
      <c r="E8" s="1" t="str">
        <f>VLOOKUP(F8,'Activity List CSI'!$B$4:$D$146,3,0)</f>
        <v>02300-03</v>
      </c>
      <c r="F8" s="1" t="s">
        <v>20</v>
      </c>
      <c r="G8" s="1" t="str">
        <f>VLOOKUP($E8,'Activity List CSI'!$D$4:$J$146,G$1,0)</f>
        <v>02</v>
      </c>
      <c r="H8" s="1" t="str">
        <f>VLOOKUP($E8,'Activity List CSI'!$D$4:$J$146,H$1,0)</f>
        <v>EarthWork</v>
      </c>
      <c r="I8" s="1" t="str">
        <f>VLOOKUP(D8,'Activity List CSI'!$C$4:$H$146,6,0)</f>
        <v>02300</v>
      </c>
      <c r="J8" s="1" t="str">
        <f>VLOOKUP($E8,'Activity List CSI'!$D$4:$J$146,J$1,0)</f>
        <v>Earthwork</v>
      </c>
      <c r="K8" s="1" t="s">
        <v>690</v>
      </c>
      <c r="L8" s="1">
        <v>415</v>
      </c>
      <c r="M8" s="1" t="str">
        <f t="shared" si="0"/>
        <v>02300415</v>
      </c>
      <c r="N8" s="12" t="str">
        <f t="shared" si="1"/>
        <v>02300415</v>
      </c>
    </row>
    <row r="9" spans="4:14" x14ac:dyDescent="0.25">
      <c r="D9" s="11" t="s">
        <v>55</v>
      </c>
      <c r="E9" s="1" t="str">
        <f>VLOOKUP(F9,'Activity List CSI'!$B$4:$D$146,3,0)</f>
        <v>02300-03</v>
      </c>
      <c r="F9" s="1" t="s">
        <v>20</v>
      </c>
      <c r="G9" s="1" t="str">
        <f>VLOOKUP($E9,'Activity List CSI'!$D$4:$J$146,G$1,0)</f>
        <v>02</v>
      </c>
      <c r="H9" s="1" t="str">
        <f>VLOOKUP($E9,'Activity List CSI'!$D$4:$J$146,H$1,0)</f>
        <v>EarthWork</v>
      </c>
      <c r="I9" s="1" t="str">
        <f>VLOOKUP(D9,'Activity List CSI'!$C$4:$H$146,6,0)</f>
        <v>02300</v>
      </c>
      <c r="J9" s="1" t="str">
        <f>VLOOKUP($E9,'Activity List CSI'!$D$4:$J$146,J$1,0)</f>
        <v>Earthwork</v>
      </c>
      <c r="K9" s="1" t="s">
        <v>691</v>
      </c>
      <c r="L9" s="1">
        <v>420</v>
      </c>
      <c r="M9" s="1" t="str">
        <f t="shared" si="0"/>
        <v>02300420</v>
      </c>
      <c r="N9" s="12" t="str">
        <f t="shared" si="1"/>
        <v>02300420</v>
      </c>
    </row>
    <row r="10" spans="4:14" x14ac:dyDescent="0.25">
      <c r="D10" s="11" t="s">
        <v>57</v>
      </c>
      <c r="E10" s="1" t="str">
        <f>VLOOKUP(F10,'Activity List CSI'!$B$4:$D$146,3,0)</f>
        <v>02300-04</v>
      </c>
      <c r="F10" s="1" t="s">
        <v>21</v>
      </c>
      <c r="G10" s="1" t="str">
        <f>VLOOKUP($E10,'Activity List CSI'!$D$4:$J$146,G$1,0)</f>
        <v>02</v>
      </c>
      <c r="H10" s="1" t="str">
        <f>VLOOKUP($E10,'Activity List CSI'!$D$4:$J$146,H$1,0)</f>
        <v>EarthWork</v>
      </c>
      <c r="I10" s="1" t="str">
        <f>VLOOKUP(D10,'Activity List CSI'!$C$4:$H$146,6,0)</f>
        <v>02300</v>
      </c>
      <c r="J10" s="1" t="str">
        <f>VLOOKUP($E10,'Activity List CSI'!$D$4:$J$146,J$1,0)</f>
        <v>Earthwork</v>
      </c>
      <c r="K10" s="1" t="s">
        <v>688</v>
      </c>
      <c r="L10" s="1">
        <v>405</v>
      </c>
      <c r="M10" s="1" t="str">
        <f t="shared" si="0"/>
        <v>02300405</v>
      </c>
      <c r="N10" s="12" t="str">
        <f t="shared" si="1"/>
        <v>02300405</v>
      </c>
    </row>
    <row r="11" spans="4:14" x14ac:dyDescent="0.25">
      <c r="D11" s="11" t="s">
        <v>57</v>
      </c>
      <c r="E11" s="1" t="str">
        <f>VLOOKUP(F11,'Activity List CSI'!$B$4:$D$146,3,0)</f>
        <v>02300-04</v>
      </c>
      <c r="F11" s="1" t="s">
        <v>21</v>
      </c>
      <c r="G11" s="1" t="str">
        <f>VLOOKUP($E11,'Activity List CSI'!$D$4:$J$146,G$1,0)</f>
        <v>02</v>
      </c>
      <c r="H11" s="1" t="str">
        <f>VLOOKUP($E11,'Activity List CSI'!$D$4:$J$146,H$1,0)</f>
        <v>EarthWork</v>
      </c>
      <c r="I11" s="1" t="str">
        <f>VLOOKUP(D11,'Activity List CSI'!$C$4:$H$146,6,0)</f>
        <v>02300</v>
      </c>
      <c r="J11" s="1" t="str">
        <f>VLOOKUP($E11,'Activity List CSI'!$D$4:$J$146,J$1,0)</f>
        <v>Earthwork</v>
      </c>
      <c r="K11" s="1" t="s">
        <v>690</v>
      </c>
      <c r="L11" s="1">
        <v>415</v>
      </c>
      <c r="M11" s="1" t="str">
        <f t="shared" si="0"/>
        <v>02300415</v>
      </c>
      <c r="N11" s="12" t="str">
        <f t="shared" si="1"/>
        <v>02300415</v>
      </c>
    </row>
    <row r="12" spans="4:14" x14ac:dyDescent="0.25">
      <c r="D12" s="11" t="s">
        <v>57</v>
      </c>
      <c r="E12" s="1" t="str">
        <f>VLOOKUP(F12,'Activity List CSI'!$B$4:$D$146,3,0)</f>
        <v>02300-04</v>
      </c>
      <c r="F12" s="1" t="s">
        <v>21</v>
      </c>
      <c r="G12" s="1" t="str">
        <f>VLOOKUP($E12,'Activity List CSI'!$D$4:$J$146,G$1,0)</f>
        <v>02</v>
      </c>
      <c r="H12" s="1" t="str">
        <f>VLOOKUP($E12,'Activity List CSI'!$D$4:$J$146,H$1,0)</f>
        <v>EarthWork</v>
      </c>
      <c r="I12" s="1" t="str">
        <f>VLOOKUP(D12,'Activity List CSI'!$C$4:$H$146,6,0)</f>
        <v>02300</v>
      </c>
      <c r="J12" s="1" t="str">
        <f>VLOOKUP($E12,'Activity List CSI'!$D$4:$J$146,J$1,0)</f>
        <v>Earthwork</v>
      </c>
      <c r="K12" s="1" t="s">
        <v>691</v>
      </c>
      <c r="L12" s="1">
        <v>420</v>
      </c>
      <c r="M12" s="1" t="str">
        <f t="shared" si="0"/>
        <v>02300420</v>
      </c>
      <c r="N12" s="12" t="str">
        <f t="shared" si="1"/>
        <v>02300420</v>
      </c>
    </row>
    <row r="13" spans="4:14" x14ac:dyDescent="0.25">
      <c r="D13" s="11" t="s">
        <v>59</v>
      </c>
      <c r="E13" s="1" t="str">
        <f>VLOOKUP(F13,'Activity List CSI'!$B$4:$D$146,3,0)</f>
        <v>02300-05</v>
      </c>
      <c r="F13" s="1" t="s">
        <v>22</v>
      </c>
      <c r="G13" s="1" t="str">
        <f>VLOOKUP($E13,'Activity List CSI'!$D$4:$J$146,G$1,0)</f>
        <v>02</v>
      </c>
      <c r="H13" s="1" t="str">
        <f>VLOOKUP($E13,'Activity List CSI'!$D$4:$J$146,H$1,0)</f>
        <v>EarthWork</v>
      </c>
      <c r="I13" s="1" t="str">
        <f>VLOOKUP(D13,'Activity List CSI'!$C$4:$H$146,6,0)</f>
        <v>02300</v>
      </c>
      <c r="J13" s="1" t="str">
        <f>VLOOKUP($E13,'Activity List CSI'!$D$4:$J$146,J$1,0)</f>
        <v>Earthwork</v>
      </c>
      <c r="K13" s="1" t="s">
        <v>688</v>
      </c>
      <c r="L13" s="1">
        <v>405</v>
      </c>
      <c r="M13" s="1" t="str">
        <f t="shared" si="0"/>
        <v>02300405</v>
      </c>
      <c r="N13" s="12" t="str">
        <f t="shared" si="1"/>
        <v>02300405</v>
      </c>
    </row>
    <row r="14" spans="4:14" x14ac:dyDescent="0.25">
      <c r="D14" s="11" t="s">
        <v>61</v>
      </c>
      <c r="E14" s="1" t="str">
        <f>VLOOKUP(F14,'Activity List CSI'!$B$4:$D$146,3,0)</f>
        <v>02300-06</v>
      </c>
      <c r="F14" s="1" t="s">
        <v>23</v>
      </c>
      <c r="G14" s="1" t="str">
        <f>VLOOKUP($E14,'Activity List CSI'!$D$4:$J$146,G$1,0)</f>
        <v>02</v>
      </c>
      <c r="H14" s="1" t="str">
        <f>VLOOKUP($E14,'Activity List CSI'!$D$4:$J$146,H$1,0)</f>
        <v>EarthWork</v>
      </c>
      <c r="I14" s="1" t="str">
        <f>VLOOKUP(D14,'Activity List CSI'!$C$4:$H$146,6,0)</f>
        <v>02300</v>
      </c>
      <c r="J14" s="1" t="str">
        <f>VLOOKUP($E14,'Activity List CSI'!$D$4:$J$146,J$1,0)</f>
        <v>Earthwork</v>
      </c>
      <c r="K14" s="1" t="s">
        <v>688</v>
      </c>
      <c r="L14" s="1">
        <v>405</v>
      </c>
      <c r="M14" s="1" t="str">
        <f t="shared" si="0"/>
        <v>02300405</v>
      </c>
      <c r="N14" s="12" t="str">
        <f t="shared" si="1"/>
        <v>02300405</v>
      </c>
    </row>
    <row r="15" spans="4:14" x14ac:dyDescent="0.25">
      <c r="D15" s="11" t="s">
        <v>61</v>
      </c>
      <c r="E15" s="1" t="str">
        <f>VLOOKUP(F15,'Activity List CSI'!$B$4:$D$146,3,0)</f>
        <v>02300-06</v>
      </c>
      <c r="F15" s="1" t="s">
        <v>23</v>
      </c>
      <c r="G15" s="1" t="str">
        <f>VLOOKUP($E15,'Activity List CSI'!$D$4:$J$146,G$1,0)</f>
        <v>02</v>
      </c>
      <c r="H15" s="1" t="str">
        <f>VLOOKUP($E15,'Activity List CSI'!$D$4:$J$146,H$1,0)</f>
        <v>EarthWork</v>
      </c>
      <c r="I15" s="1" t="str">
        <f>VLOOKUP(D15,'Activity List CSI'!$C$4:$H$146,6,0)</f>
        <v>02300</v>
      </c>
      <c r="J15" s="1" t="str">
        <f>VLOOKUP($E15,'Activity List CSI'!$D$4:$J$146,J$1,0)</f>
        <v>Earthwork</v>
      </c>
      <c r="K15" s="1" t="s">
        <v>689</v>
      </c>
      <c r="L15" s="1">
        <v>410</v>
      </c>
      <c r="M15" s="1" t="str">
        <f t="shared" si="0"/>
        <v>02300410</v>
      </c>
      <c r="N15" s="12" t="str">
        <f t="shared" si="1"/>
        <v>02300410</v>
      </c>
    </row>
    <row r="16" spans="4:14" x14ac:dyDescent="0.25">
      <c r="D16" s="11" t="s">
        <v>71</v>
      </c>
      <c r="E16" s="1" t="str">
        <f>VLOOKUP(F16,'Activity List CSI'!$B$4:$D$146,3,0)</f>
        <v>02100-01</v>
      </c>
      <c r="F16" s="1" t="s">
        <v>24</v>
      </c>
      <c r="G16" s="1" t="str">
        <f>VLOOKUP($E16,'Activity List CSI'!$D$4:$J$146,G$1,0)</f>
        <v>02</v>
      </c>
      <c r="H16" s="1" t="str">
        <f>VLOOKUP($E16,'Activity List CSI'!$D$4:$J$146,H$1,0)</f>
        <v>EarthWork</v>
      </c>
      <c r="I16" s="1" t="str">
        <f>VLOOKUP(D16,'Activity List CSI'!$C$4:$H$146,6,0)</f>
        <v>02100</v>
      </c>
      <c r="J16" s="1" t="str">
        <f>VLOOKUP($E16,'Activity List CSI'!$D$4:$J$146,J$1,0)</f>
        <v>Site Remediation</v>
      </c>
      <c r="K16" s="1" t="s">
        <v>713</v>
      </c>
      <c r="L16" s="1">
        <v>405</v>
      </c>
      <c r="M16" s="1" t="str">
        <f t="shared" si="0"/>
        <v>02100405</v>
      </c>
      <c r="N16" s="12" t="str">
        <f t="shared" si="1"/>
        <v>02100405</v>
      </c>
    </row>
    <row r="17" spans="4:14" x14ac:dyDescent="0.25">
      <c r="D17" s="11" t="s">
        <v>73</v>
      </c>
      <c r="E17" s="1" t="str">
        <f>VLOOKUP(F17,'Activity List CSI'!$B$4:$D$146,3,0)</f>
        <v>02300-07</v>
      </c>
      <c r="F17" s="1" t="s">
        <v>25</v>
      </c>
      <c r="G17" s="1" t="str">
        <f>VLOOKUP($E17,'Activity List CSI'!$D$4:$J$146,G$1,0)</f>
        <v>02</v>
      </c>
      <c r="H17" s="1" t="str">
        <f>VLOOKUP($E17,'Activity List CSI'!$D$4:$J$146,H$1,0)</f>
        <v>EarthWork</v>
      </c>
      <c r="I17" s="1" t="str">
        <f>VLOOKUP(D17,'Activity List CSI'!$C$4:$H$146,6,0)</f>
        <v>02300</v>
      </c>
      <c r="J17" s="1" t="str">
        <f>VLOOKUP($E17,'Activity List CSI'!$D$4:$J$146,J$1,0)</f>
        <v>Earthwork</v>
      </c>
      <c r="K17" s="1" t="s">
        <v>692</v>
      </c>
      <c r="L17" s="1">
        <v>445</v>
      </c>
      <c r="M17" s="1" t="str">
        <f t="shared" si="0"/>
        <v>02300445</v>
      </c>
      <c r="N17" s="12" t="str">
        <f t="shared" si="1"/>
        <v>02300445</v>
      </c>
    </row>
    <row r="18" spans="4:14" x14ac:dyDescent="0.25">
      <c r="D18" s="11" t="s">
        <v>73</v>
      </c>
      <c r="E18" s="1" t="str">
        <f>VLOOKUP(F18,'Activity List CSI'!$B$4:$D$146,3,0)</f>
        <v>02300-07</v>
      </c>
      <c r="F18" s="1" t="s">
        <v>25</v>
      </c>
      <c r="G18" s="1" t="str">
        <f>VLOOKUP($E18,'Activity List CSI'!$D$4:$J$146,G$1,0)</f>
        <v>02</v>
      </c>
      <c r="H18" s="1" t="str">
        <f>VLOOKUP($E18,'Activity List CSI'!$D$4:$J$146,H$1,0)</f>
        <v>EarthWork</v>
      </c>
      <c r="I18" s="1" t="str">
        <f>VLOOKUP(D18,'Activity List CSI'!$C$4:$H$146,6,0)</f>
        <v>02300</v>
      </c>
      <c r="J18" s="1" t="str">
        <f>VLOOKUP($E18,'Activity List CSI'!$D$4:$J$146,J$1,0)</f>
        <v>Earthwork</v>
      </c>
      <c r="K18" s="1" t="s">
        <v>708</v>
      </c>
      <c r="L18" s="1">
        <v>405</v>
      </c>
      <c r="M18" s="13" t="str">
        <f t="shared" si="0"/>
        <v>02300405</v>
      </c>
      <c r="N18" s="12" t="s">
        <v>714</v>
      </c>
    </row>
    <row r="19" spans="4:14" x14ac:dyDescent="0.25">
      <c r="D19" s="11" t="s">
        <v>63</v>
      </c>
      <c r="E19" s="1" t="str">
        <f>VLOOKUP(F19,'Activity List CSI'!$B$4:$D$146,3,0)</f>
        <v>02300-08</v>
      </c>
      <c r="F19" s="1" t="s">
        <v>26</v>
      </c>
      <c r="G19" s="1" t="str">
        <f>VLOOKUP($E19,'Activity List CSI'!$D$4:$J$146,G$1,0)</f>
        <v>02</v>
      </c>
      <c r="H19" s="1" t="str">
        <f>VLOOKUP($E19,'Activity List CSI'!$D$4:$J$146,H$1,0)</f>
        <v>EarthWork</v>
      </c>
      <c r="I19" s="1" t="str">
        <f>VLOOKUP(D19,'Activity List CSI'!$C$4:$H$146,6,0)</f>
        <v>02300</v>
      </c>
      <c r="J19" s="1" t="str">
        <f>VLOOKUP($E19,'Activity List CSI'!$D$4:$J$146,J$1,0)</f>
        <v>Earthwork</v>
      </c>
      <c r="K19" s="1" t="s">
        <v>690</v>
      </c>
      <c r="L19" s="1">
        <v>415</v>
      </c>
      <c r="M19" s="1" t="str">
        <f t="shared" si="0"/>
        <v>02300415</v>
      </c>
      <c r="N19" s="12" t="str">
        <f t="shared" ref="N19:N62" si="2">M19</f>
        <v>02300415</v>
      </c>
    </row>
    <row r="20" spans="4:14" x14ac:dyDescent="0.25">
      <c r="D20" s="11" t="s">
        <v>63</v>
      </c>
      <c r="E20" s="1" t="str">
        <f>VLOOKUP(F20,'Activity List CSI'!$B$4:$D$146,3,0)</f>
        <v>02300-08</v>
      </c>
      <c r="F20" s="1" t="s">
        <v>26</v>
      </c>
      <c r="G20" s="1" t="str">
        <f>VLOOKUP($E20,'Activity List CSI'!$D$4:$J$146,G$1,0)</f>
        <v>02</v>
      </c>
      <c r="H20" s="1" t="str">
        <f>VLOOKUP($E20,'Activity List CSI'!$D$4:$J$146,H$1,0)</f>
        <v>EarthWork</v>
      </c>
      <c r="I20" s="1" t="str">
        <f>VLOOKUP(D20,'Activity List CSI'!$C$4:$H$146,6,0)</f>
        <v>02300</v>
      </c>
      <c r="J20" s="1" t="str">
        <f>VLOOKUP($E20,'Activity List CSI'!$D$4:$J$146,J$1,0)</f>
        <v>Earthwork</v>
      </c>
      <c r="K20" s="1" t="s">
        <v>691</v>
      </c>
      <c r="L20" s="1">
        <v>420</v>
      </c>
      <c r="M20" s="1" t="str">
        <f t="shared" si="0"/>
        <v>02300420</v>
      </c>
      <c r="N20" s="12" t="str">
        <f t="shared" si="2"/>
        <v>02300420</v>
      </c>
    </row>
    <row r="21" spans="4:14" x14ac:dyDescent="0.25">
      <c r="D21" s="11" t="s">
        <v>63</v>
      </c>
      <c r="E21" s="1" t="str">
        <f>VLOOKUP(F21,'Activity List CSI'!$B$4:$D$146,3,0)</f>
        <v>02300-08</v>
      </c>
      <c r="F21" s="1" t="s">
        <v>26</v>
      </c>
      <c r="G21" s="1" t="str">
        <f>VLOOKUP($E21,'Activity List CSI'!$D$4:$J$146,G$1,0)</f>
        <v>02</v>
      </c>
      <c r="H21" s="1" t="str">
        <f>VLOOKUP($E21,'Activity List CSI'!$D$4:$J$146,H$1,0)</f>
        <v>EarthWork</v>
      </c>
      <c r="I21" s="1" t="str">
        <f>VLOOKUP(D21,'Activity List CSI'!$C$4:$H$146,6,0)</f>
        <v>02300</v>
      </c>
      <c r="J21" s="1" t="str">
        <f>VLOOKUP($E21,'Activity List CSI'!$D$4:$J$146,J$1,0)</f>
        <v>Earthwork</v>
      </c>
      <c r="K21" s="1" t="s">
        <v>693</v>
      </c>
      <c r="L21" s="1">
        <v>425</v>
      </c>
      <c r="M21" s="1" t="str">
        <f t="shared" si="0"/>
        <v>02300425</v>
      </c>
      <c r="N21" s="12" t="str">
        <f t="shared" si="2"/>
        <v>02300425</v>
      </c>
    </row>
    <row r="22" spans="4:14" x14ac:dyDescent="0.25">
      <c r="D22" s="11" t="s">
        <v>63</v>
      </c>
      <c r="E22" s="1" t="str">
        <f>VLOOKUP(F22,'Activity List CSI'!$B$4:$D$146,3,0)</f>
        <v>02300-08</v>
      </c>
      <c r="F22" s="1" t="s">
        <v>26</v>
      </c>
      <c r="G22" s="1" t="str">
        <f>VLOOKUP($E22,'Activity List CSI'!$D$4:$J$146,G$1,0)</f>
        <v>02</v>
      </c>
      <c r="H22" s="1" t="str">
        <f>VLOOKUP($E22,'Activity List CSI'!$D$4:$J$146,H$1,0)</f>
        <v>EarthWork</v>
      </c>
      <c r="I22" s="1" t="str">
        <f>VLOOKUP(D22,'Activity List CSI'!$C$4:$H$146,6,0)</f>
        <v>02300</v>
      </c>
      <c r="J22" s="1" t="str">
        <f>VLOOKUP($E22,'Activity List CSI'!$D$4:$J$146,J$1,0)</f>
        <v>Earthwork</v>
      </c>
      <c r="K22" s="1" t="s">
        <v>694</v>
      </c>
      <c r="L22" s="1">
        <v>430</v>
      </c>
      <c r="M22" s="1" t="str">
        <f t="shared" si="0"/>
        <v>02300430</v>
      </c>
      <c r="N22" s="12" t="str">
        <f t="shared" si="2"/>
        <v>02300430</v>
      </c>
    </row>
    <row r="23" spans="4:14" x14ac:dyDescent="0.25">
      <c r="D23" s="11" t="s">
        <v>63</v>
      </c>
      <c r="E23" s="1" t="str">
        <f>VLOOKUP(F23,'Activity List CSI'!$B$4:$D$146,3,0)</f>
        <v>02300-08</v>
      </c>
      <c r="F23" s="1" t="s">
        <v>26</v>
      </c>
      <c r="G23" s="1" t="str">
        <f>VLOOKUP($E23,'Activity List CSI'!$D$4:$J$146,G$1,0)</f>
        <v>02</v>
      </c>
      <c r="H23" s="1" t="str">
        <f>VLOOKUP($E23,'Activity List CSI'!$D$4:$J$146,H$1,0)</f>
        <v>EarthWork</v>
      </c>
      <c r="I23" s="1" t="str">
        <f>VLOOKUP(D23,'Activity List CSI'!$C$4:$H$146,6,0)</f>
        <v>02300</v>
      </c>
      <c r="J23" s="1" t="str">
        <f>VLOOKUP($E23,'Activity List CSI'!$D$4:$J$146,J$1,0)</f>
        <v>Earthwork</v>
      </c>
      <c r="K23" s="1" t="s">
        <v>695</v>
      </c>
      <c r="L23" s="1">
        <v>435</v>
      </c>
      <c r="M23" s="13" t="str">
        <f t="shared" si="0"/>
        <v>02300435</v>
      </c>
      <c r="N23" s="12" t="s">
        <v>794</v>
      </c>
    </row>
    <row r="24" spans="4:14" x14ac:dyDescent="0.25">
      <c r="D24" s="11" t="s">
        <v>65</v>
      </c>
      <c r="E24" s="1" t="str">
        <f>VLOOKUP(F24,'Activity List CSI'!$B$4:$D$146,3,0)</f>
        <v>02300-09</v>
      </c>
      <c r="F24" s="1" t="s">
        <v>27</v>
      </c>
      <c r="G24" s="1" t="str">
        <f>VLOOKUP($E24,'Activity List CSI'!$D$4:$J$146,G$1,0)</f>
        <v>02</v>
      </c>
      <c r="H24" s="1" t="str">
        <f>VLOOKUP($E24,'Activity List CSI'!$D$4:$J$146,H$1,0)</f>
        <v>EarthWork</v>
      </c>
      <c r="I24" s="1" t="str">
        <f>VLOOKUP(D24,'Activity List CSI'!$C$4:$H$146,6,0)</f>
        <v>02300</v>
      </c>
      <c r="J24" s="1" t="str">
        <f>VLOOKUP($E24,'Activity List CSI'!$D$4:$J$146,J$1,0)</f>
        <v>Earthwork</v>
      </c>
      <c r="K24" s="1" t="s">
        <v>690</v>
      </c>
      <c r="L24" s="1">
        <v>415</v>
      </c>
      <c r="M24" s="1" t="str">
        <f t="shared" si="0"/>
        <v>02300415</v>
      </c>
      <c r="N24" s="12" t="str">
        <f t="shared" si="2"/>
        <v>02300415</v>
      </c>
    </row>
    <row r="25" spans="4:14" x14ac:dyDescent="0.25">
      <c r="D25" s="11" t="s">
        <v>65</v>
      </c>
      <c r="E25" s="1" t="str">
        <f>VLOOKUP(F25,'Activity List CSI'!$B$4:$D$146,3,0)</f>
        <v>02300-09</v>
      </c>
      <c r="F25" s="1" t="s">
        <v>27</v>
      </c>
      <c r="G25" s="1" t="str">
        <f>VLOOKUP($E25,'Activity List CSI'!$D$4:$J$146,G$1,0)</f>
        <v>02</v>
      </c>
      <c r="H25" s="1" t="str">
        <f>VLOOKUP($E25,'Activity List CSI'!$D$4:$J$146,H$1,0)</f>
        <v>EarthWork</v>
      </c>
      <c r="I25" s="1" t="str">
        <f>VLOOKUP(D25,'Activity List CSI'!$C$4:$H$146,6,0)</f>
        <v>02300</v>
      </c>
      <c r="J25" s="1" t="str">
        <f>VLOOKUP($E25,'Activity List CSI'!$D$4:$J$146,J$1,0)</f>
        <v>Earthwork</v>
      </c>
      <c r="K25" s="1" t="s">
        <v>691</v>
      </c>
      <c r="L25" s="1">
        <v>420</v>
      </c>
      <c r="M25" s="1" t="str">
        <f t="shared" si="0"/>
        <v>02300420</v>
      </c>
      <c r="N25" s="12" t="str">
        <f t="shared" si="2"/>
        <v>02300420</v>
      </c>
    </row>
    <row r="26" spans="4:14" x14ac:dyDescent="0.25">
      <c r="D26" s="11" t="s">
        <v>65</v>
      </c>
      <c r="E26" s="1" t="str">
        <f>VLOOKUP(F26,'Activity List CSI'!$B$4:$D$146,3,0)</f>
        <v>02300-09</v>
      </c>
      <c r="F26" s="1" t="s">
        <v>27</v>
      </c>
      <c r="G26" s="1" t="str">
        <f>VLOOKUP($E26,'Activity List CSI'!$D$4:$J$146,G$1,0)</f>
        <v>02</v>
      </c>
      <c r="H26" s="1" t="str">
        <f>VLOOKUP($E26,'Activity List CSI'!$D$4:$J$146,H$1,0)</f>
        <v>EarthWork</v>
      </c>
      <c r="I26" s="1" t="str">
        <f>VLOOKUP(D26,'Activity List CSI'!$C$4:$H$146,6,0)</f>
        <v>02300</v>
      </c>
      <c r="J26" s="1" t="str">
        <f>VLOOKUP($E26,'Activity List CSI'!$D$4:$J$146,J$1,0)</f>
        <v>Earthwork</v>
      </c>
      <c r="K26" s="1" t="s">
        <v>693</v>
      </c>
      <c r="L26" s="1">
        <v>425</v>
      </c>
      <c r="M26" s="1" t="str">
        <f t="shared" si="0"/>
        <v>02300425</v>
      </c>
      <c r="N26" s="12" t="str">
        <f t="shared" si="2"/>
        <v>02300425</v>
      </c>
    </row>
    <row r="27" spans="4:14" x14ac:dyDescent="0.25">
      <c r="D27" s="11" t="s">
        <v>65</v>
      </c>
      <c r="E27" s="1" t="str">
        <f>VLOOKUP(F27,'Activity List CSI'!$B$4:$D$146,3,0)</f>
        <v>02300-09</v>
      </c>
      <c r="F27" s="1" t="s">
        <v>27</v>
      </c>
      <c r="G27" s="1" t="str">
        <f>VLOOKUP($E27,'Activity List CSI'!$D$4:$J$146,G$1,0)</f>
        <v>02</v>
      </c>
      <c r="H27" s="1" t="str">
        <f>VLOOKUP($E27,'Activity List CSI'!$D$4:$J$146,H$1,0)</f>
        <v>EarthWork</v>
      </c>
      <c r="I27" s="1" t="str">
        <f>VLOOKUP(D27,'Activity List CSI'!$C$4:$H$146,6,0)</f>
        <v>02300</v>
      </c>
      <c r="J27" s="1" t="str">
        <f>VLOOKUP($E27,'Activity List CSI'!$D$4:$J$146,J$1,0)</f>
        <v>Earthwork</v>
      </c>
      <c r="K27" s="1" t="s">
        <v>694</v>
      </c>
      <c r="L27" s="1">
        <v>430</v>
      </c>
      <c r="M27" s="1" t="str">
        <f t="shared" si="0"/>
        <v>02300430</v>
      </c>
      <c r="N27" s="12" t="str">
        <f t="shared" si="2"/>
        <v>02300430</v>
      </c>
    </row>
    <row r="28" spans="4:14" x14ac:dyDescent="0.25">
      <c r="D28" s="11" t="s">
        <v>65</v>
      </c>
      <c r="E28" s="1" t="str">
        <f>VLOOKUP(F28,'Activity List CSI'!$B$4:$D$146,3,0)</f>
        <v>02300-09</v>
      </c>
      <c r="F28" s="1" t="s">
        <v>27</v>
      </c>
      <c r="G28" s="1" t="str">
        <f>VLOOKUP($E28,'Activity List CSI'!$D$4:$J$146,G$1,0)</f>
        <v>02</v>
      </c>
      <c r="H28" s="1" t="str">
        <f>VLOOKUP($E28,'Activity List CSI'!$D$4:$J$146,H$1,0)</f>
        <v>EarthWork</v>
      </c>
      <c r="I28" s="1" t="str">
        <f>VLOOKUP(D28,'Activity List CSI'!$C$4:$H$146,6,0)</f>
        <v>02300</v>
      </c>
      <c r="J28" s="1" t="str">
        <f>VLOOKUP($E28,'Activity List CSI'!$D$4:$J$146,J$1,0)</f>
        <v>Earthwork</v>
      </c>
      <c r="K28" s="1" t="s">
        <v>695</v>
      </c>
      <c r="L28" s="1">
        <v>435</v>
      </c>
      <c r="M28" s="13" t="str">
        <f t="shared" si="0"/>
        <v>02300435</v>
      </c>
      <c r="N28" s="12" t="s">
        <v>794</v>
      </c>
    </row>
    <row r="29" spans="4:14" x14ac:dyDescent="0.25">
      <c r="D29" s="11" t="s">
        <v>66</v>
      </c>
      <c r="E29" s="1" t="str">
        <f>VLOOKUP(F29,'Activity List CSI'!$B$4:$D$146,3,0)</f>
        <v>02300-10</v>
      </c>
      <c r="F29" s="1" t="s">
        <v>28</v>
      </c>
      <c r="G29" s="1" t="str">
        <f>VLOOKUP($E29,'Activity List CSI'!$D$4:$J$146,G$1,0)</f>
        <v>02</v>
      </c>
      <c r="H29" s="1" t="str">
        <f>VLOOKUP($E29,'Activity List CSI'!$D$4:$J$146,H$1,0)</f>
        <v>EarthWork</v>
      </c>
      <c r="I29" s="1" t="str">
        <f>VLOOKUP(D29,'Activity List CSI'!$C$4:$H$146,6,0)</f>
        <v>02300</v>
      </c>
      <c r="J29" s="1" t="str">
        <f>VLOOKUP($E29,'Activity List CSI'!$D$4:$J$146,J$1,0)</f>
        <v>Earthwork</v>
      </c>
      <c r="K29" s="1" t="s">
        <v>690</v>
      </c>
      <c r="L29" s="1">
        <v>415</v>
      </c>
      <c r="M29" s="1" t="str">
        <f t="shared" si="0"/>
        <v>02300415</v>
      </c>
      <c r="N29" s="12" t="str">
        <f t="shared" si="2"/>
        <v>02300415</v>
      </c>
    </row>
    <row r="30" spans="4:14" x14ac:dyDescent="0.25">
      <c r="D30" s="11" t="s">
        <v>66</v>
      </c>
      <c r="E30" s="1" t="str">
        <f>VLOOKUP(F30,'Activity List CSI'!$B$4:$D$146,3,0)</f>
        <v>02300-10</v>
      </c>
      <c r="F30" s="1" t="s">
        <v>28</v>
      </c>
      <c r="G30" s="1" t="str">
        <f>VLOOKUP($E30,'Activity List CSI'!$D$4:$J$146,G$1,0)</f>
        <v>02</v>
      </c>
      <c r="H30" s="1" t="str">
        <f>VLOOKUP($E30,'Activity List CSI'!$D$4:$J$146,H$1,0)</f>
        <v>EarthWork</v>
      </c>
      <c r="I30" s="1" t="str">
        <f>VLOOKUP(D30,'Activity List CSI'!$C$4:$H$146,6,0)</f>
        <v>02300</v>
      </c>
      <c r="J30" s="1" t="str">
        <f>VLOOKUP($E30,'Activity List CSI'!$D$4:$J$146,J$1,0)</f>
        <v>Earthwork</v>
      </c>
      <c r="K30" s="1" t="s">
        <v>693</v>
      </c>
      <c r="L30" s="1">
        <v>425</v>
      </c>
      <c r="M30" s="1" t="str">
        <f t="shared" si="0"/>
        <v>02300425</v>
      </c>
      <c r="N30" s="12" t="str">
        <f t="shared" si="2"/>
        <v>02300425</v>
      </c>
    </row>
    <row r="31" spans="4:14" x14ac:dyDescent="0.25">
      <c r="D31" s="11" t="s">
        <v>66</v>
      </c>
      <c r="E31" s="1" t="str">
        <f>VLOOKUP(F31,'Activity List CSI'!$B$4:$D$146,3,0)</f>
        <v>02300-10</v>
      </c>
      <c r="F31" s="1" t="s">
        <v>28</v>
      </c>
      <c r="G31" s="1" t="str">
        <f>VLOOKUP($E31,'Activity List CSI'!$D$4:$J$146,G$1,0)</f>
        <v>02</v>
      </c>
      <c r="H31" s="1" t="str">
        <f>VLOOKUP($E31,'Activity List CSI'!$D$4:$J$146,H$1,0)</f>
        <v>EarthWork</v>
      </c>
      <c r="I31" s="1" t="str">
        <f>VLOOKUP(D31,'Activity List CSI'!$C$4:$H$146,6,0)</f>
        <v>02300</v>
      </c>
      <c r="J31" s="1" t="str">
        <f>VLOOKUP($E31,'Activity List CSI'!$D$4:$J$146,J$1,0)</f>
        <v>Earthwork</v>
      </c>
      <c r="K31" s="1" t="s">
        <v>695</v>
      </c>
      <c r="L31" s="1">
        <v>435</v>
      </c>
      <c r="M31" s="13" t="str">
        <f t="shared" si="0"/>
        <v>02300435</v>
      </c>
      <c r="N31" s="12" t="s">
        <v>794</v>
      </c>
    </row>
    <row r="32" spans="4:14" x14ac:dyDescent="0.25">
      <c r="D32" s="11" t="s">
        <v>66</v>
      </c>
      <c r="E32" s="1" t="str">
        <f>VLOOKUP(F32,'Activity List CSI'!$B$4:$D$146,3,0)</f>
        <v>02300-10</v>
      </c>
      <c r="F32" s="1" t="s">
        <v>28</v>
      </c>
      <c r="G32" s="1" t="str">
        <f>VLOOKUP($E32,'Activity List CSI'!$D$4:$J$146,G$1,0)</f>
        <v>02</v>
      </c>
      <c r="H32" s="1" t="str">
        <f>VLOOKUP($E32,'Activity List CSI'!$D$4:$J$146,H$1,0)</f>
        <v>EarthWork</v>
      </c>
      <c r="I32" s="1" t="str">
        <f>VLOOKUP(D32,'Activity List CSI'!$C$4:$H$146,6,0)</f>
        <v>02300</v>
      </c>
      <c r="J32" s="1" t="str">
        <f>VLOOKUP($E32,'Activity List CSI'!$D$4:$J$146,J$1,0)</f>
        <v>Earthwork</v>
      </c>
      <c r="K32" s="1" t="s">
        <v>696</v>
      </c>
      <c r="L32" s="1">
        <v>440</v>
      </c>
      <c r="M32" s="1" t="str">
        <f t="shared" si="0"/>
        <v>02300440</v>
      </c>
      <c r="N32" s="12" t="str">
        <f t="shared" si="2"/>
        <v>02300440</v>
      </c>
    </row>
    <row r="33" spans="4:14" x14ac:dyDescent="0.25">
      <c r="D33" s="11" t="s">
        <v>68</v>
      </c>
      <c r="E33" s="1" t="str">
        <f>VLOOKUP(F33,'Activity List CSI'!$B$4:$D$146,3,0)</f>
        <v>02300-11</v>
      </c>
      <c r="F33" s="1" t="s">
        <v>29</v>
      </c>
      <c r="G33" s="1" t="str">
        <f>VLOOKUP($E33,'Activity List CSI'!$D$4:$J$146,G$1,0)</f>
        <v>02</v>
      </c>
      <c r="H33" s="1" t="str">
        <f>VLOOKUP($E33,'Activity List CSI'!$D$4:$J$146,H$1,0)</f>
        <v>EarthWork</v>
      </c>
      <c r="I33" s="1" t="str">
        <f>VLOOKUP(D33,'Activity List CSI'!$C$4:$H$146,6,0)</f>
        <v>02300</v>
      </c>
      <c r="J33" s="1" t="str">
        <f>VLOOKUP($E33,'Activity List CSI'!$D$4:$J$146,J$1,0)</f>
        <v>Earthwork</v>
      </c>
      <c r="K33" s="1" t="s">
        <v>690</v>
      </c>
      <c r="L33" s="1">
        <v>415</v>
      </c>
      <c r="M33" s="1" t="str">
        <f t="shared" si="0"/>
        <v>02300415</v>
      </c>
      <c r="N33" s="12" t="str">
        <f t="shared" si="2"/>
        <v>02300415</v>
      </c>
    </row>
    <row r="34" spans="4:14" x14ac:dyDescent="0.25">
      <c r="D34" s="11" t="s">
        <v>68</v>
      </c>
      <c r="E34" s="1" t="str">
        <f>VLOOKUP(F34,'Activity List CSI'!$B$4:$D$146,3,0)</f>
        <v>02300-11</v>
      </c>
      <c r="F34" s="1" t="s">
        <v>29</v>
      </c>
      <c r="G34" s="1" t="str">
        <f>VLOOKUP($E34,'Activity List CSI'!$D$4:$J$146,G$1,0)</f>
        <v>02</v>
      </c>
      <c r="H34" s="1" t="str">
        <f>VLOOKUP($E34,'Activity List CSI'!$D$4:$J$146,H$1,0)</f>
        <v>EarthWork</v>
      </c>
      <c r="I34" s="1" t="str">
        <f>VLOOKUP(D34,'Activity List CSI'!$C$4:$H$146,6,0)</f>
        <v>02300</v>
      </c>
      <c r="J34" s="1" t="str">
        <f>VLOOKUP($E34,'Activity List CSI'!$D$4:$J$146,J$1,0)</f>
        <v>Earthwork</v>
      </c>
      <c r="K34" s="1" t="s">
        <v>693</v>
      </c>
      <c r="L34" s="1">
        <v>425</v>
      </c>
      <c r="M34" s="1" t="str">
        <f t="shared" si="0"/>
        <v>02300425</v>
      </c>
      <c r="N34" s="12" t="str">
        <f t="shared" si="2"/>
        <v>02300425</v>
      </c>
    </row>
    <row r="35" spans="4:14" x14ac:dyDescent="0.25">
      <c r="D35" s="11" t="s">
        <v>68</v>
      </c>
      <c r="E35" s="1" t="str">
        <f>VLOOKUP(F35,'Activity List CSI'!$B$4:$D$146,3,0)</f>
        <v>02300-11</v>
      </c>
      <c r="F35" s="1" t="s">
        <v>29</v>
      </c>
      <c r="G35" s="1" t="str">
        <f>VLOOKUP($E35,'Activity List CSI'!$D$4:$J$146,G$1,0)</f>
        <v>02</v>
      </c>
      <c r="H35" s="1" t="str">
        <f>VLOOKUP($E35,'Activity List CSI'!$D$4:$J$146,H$1,0)</f>
        <v>EarthWork</v>
      </c>
      <c r="I35" s="1" t="str">
        <f>VLOOKUP(D35,'Activity List CSI'!$C$4:$H$146,6,0)</f>
        <v>02300</v>
      </c>
      <c r="J35" s="1" t="str">
        <f>VLOOKUP($E35,'Activity List CSI'!$D$4:$J$146,J$1,0)</f>
        <v>Earthwork</v>
      </c>
      <c r="K35" s="1" t="s">
        <v>695</v>
      </c>
      <c r="L35" s="1">
        <v>435</v>
      </c>
      <c r="M35" s="13" t="str">
        <f t="shared" si="0"/>
        <v>02300435</v>
      </c>
      <c r="N35" s="12" t="s">
        <v>794</v>
      </c>
    </row>
    <row r="36" spans="4:14" x14ac:dyDescent="0.25">
      <c r="D36" s="11" t="s">
        <v>68</v>
      </c>
      <c r="E36" s="1" t="str">
        <f>VLOOKUP(F36,'Activity List CSI'!$B$4:$D$146,3,0)</f>
        <v>02300-11</v>
      </c>
      <c r="F36" s="1" t="s">
        <v>29</v>
      </c>
      <c r="G36" s="1" t="str">
        <f>VLOOKUP($E36,'Activity List CSI'!$D$4:$J$146,G$1,0)</f>
        <v>02</v>
      </c>
      <c r="H36" s="1" t="str">
        <f>VLOOKUP($E36,'Activity List CSI'!$D$4:$J$146,H$1,0)</f>
        <v>EarthWork</v>
      </c>
      <c r="I36" s="1" t="str">
        <f>VLOOKUP(D36,'Activity List CSI'!$C$4:$H$146,6,0)</f>
        <v>02300</v>
      </c>
      <c r="J36" s="1" t="str">
        <f>VLOOKUP($E36,'Activity List CSI'!$D$4:$J$146,J$1,0)</f>
        <v>Earthwork</v>
      </c>
      <c r="K36" s="1" t="s">
        <v>696</v>
      </c>
      <c r="L36" s="1">
        <v>440</v>
      </c>
      <c r="M36" s="1" t="str">
        <f t="shared" si="0"/>
        <v>02300440</v>
      </c>
      <c r="N36" s="12" t="str">
        <f t="shared" si="2"/>
        <v>02300440</v>
      </c>
    </row>
    <row r="37" spans="4:14" x14ac:dyDescent="0.25">
      <c r="D37" s="11" t="s">
        <v>70</v>
      </c>
      <c r="E37" s="1" t="str">
        <f>VLOOKUP(F37,'Activity List CSI'!$B$4:$D$146,3,0)</f>
        <v>02300-12</v>
      </c>
      <c r="F37" s="1" t="s">
        <v>30</v>
      </c>
      <c r="G37" s="1" t="str">
        <f>VLOOKUP($E37,'Activity List CSI'!$D$4:$J$146,G$1,0)</f>
        <v>02</v>
      </c>
      <c r="H37" s="1" t="str">
        <f>VLOOKUP($E37,'Activity List CSI'!$D$4:$J$146,H$1,0)</f>
        <v>EarthWork</v>
      </c>
      <c r="I37" s="1" t="str">
        <f>VLOOKUP(D37,'Activity List CSI'!$C$4:$H$146,6,0)</f>
        <v>02300</v>
      </c>
      <c r="J37" s="1" t="str">
        <f>VLOOKUP($E37,'Activity List CSI'!$D$4:$J$146,J$1,0)</f>
        <v>Earthwork</v>
      </c>
      <c r="K37" s="1" t="s">
        <v>690</v>
      </c>
      <c r="L37" s="1">
        <v>415</v>
      </c>
      <c r="M37" s="1" t="str">
        <f t="shared" si="0"/>
        <v>02300415</v>
      </c>
      <c r="N37" s="12" t="str">
        <f t="shared" si="2"/>
        <v>02300415</v>
      </c>
    </row>
    <row r="38" spans="4:14" x14ac:dyDescent="0.25">
      <c r="D38" s="11" t="s">
        <v>70</v>
      </c>
      <c r="E38" s="1" t="str">
        <f>VLOOKUP(F38,'Activity List CSI'!$B$4:$D$146,3,0)</f>
        <v>02300-12</v>
      </c>
      <c r="F38" s="1" t="s">
        <v>30</v>
      </c>
      <c r="G38" s="1" t="str">
        <f>VLOOKUP($E38,'Activity List CSI'!$D$4:$J$146,G$1,0)</f>
        <v>02</v>
      </c>
      <c r="H38" s="1" t="str">
        <f>VLOOKUP($E38,'Activity List CSI'!$D$4:$J$146,H$1,0)</f>
        <v>EarthWork</v>
      </c>
      <c r="I38" s="1" t="str">
        <f>VLOOKUP(D38,'Activity List CSI'!$C$4:$H$146,6,0)</f>
        <v>02300</v>
      </c>
      <c r="J38" s="1" t="str">
        <f>VLOOKUP($E38,'Activity List CSI'!$D$4:$J$146,J$1,0)</f>
        <v>Earthwork</v>
      </c>
      <c r="K38" s="1" t="s">
        <v>691</v>
      </c>
      <c r="L38" s="1">
        <v>420</v>
      </c>
      <c r="M38" s="1" t="str">
        <f t="shared" si="0"/>
        <v>02300420</v>
      </c>
      <c r="N38" s="12" t="str">
        <f t="shared" si="2"/>
        <v>02300420</v>
      </c>
    </row>
    <row r="39" spans="4:14" x14ac:dyDescent="0.25">
      <c r="D39" s="11" t="s">
        <v>70</v>
      </c>
      <c r="E39" s="1" t="str">
        <f>VLOOKUP(F39,'Activity List CSI'!$B$4:$D$146,3,0)</f>
        <v>02300-12</v>
      </c>
      <c r="F39" s="1" t="s">
        <v>30</v>
      </c>
      <c r="G39" s="1" t="str">
        <f>VLOOKUP($E39,'Activity List CSI'!$D$4:$J$146,G$1,0)</f>
        <v>02</v>
      </c>
      <c r="H39" s="1" t="str">
        <f>VLOOKUP($E39,'Activity List CSI'!$D$4:$J$146,H$1,0)</f>
        <v>EarthWork</v>
      </c>
      <c r="I39" s="1" t="str">
        <f>VLOOKUP(D39,'Activity List CSI'!$C$4:$H$146,6,0)</f>
        <v>02300</v>
      </c>
      <c r="J39" s="1" t="str">
        <f>VLOOKUP($E39,'Activity List CSI'!$D$4:$J$146,J$1,0)</f>
        <v>Earthwork</v>
      </c>
      <c r="K39" s="1" t="s">
        <v>693</v>
      </c>
      <c r="L39" s="1">
        <v>425</v>
      </c>
      <c r="M39" s="1" t="str">
        <f t="shared" si="0"/>
        <v>02300425</v>
      </c>
      <c r="N39" s="12" t="str">
        <f t="shared" si="2"/>
        <v>02300425</v>
      </c>
    </row>
    <row r="40" spans="4:14" x14ac:dyDescent="0.25">
      <c r="D40" s="11" t="s">
        <v>70</v>
      </c>
      <c r="E40" s="1" t="str">
        <f>VLOOKUP(F40,'Activity List CSI'!$B$4:$D$146,3,0)</f>
        <v>02300-12</v>
      </c>
      <c r="F40" s="1" t="s">
        <v>30</v>
      </c>
      <c r="G40" s="1" t="str">
        <f>VLOOKUP($E40,'Activity List CSI'!$D$4:$J$146,G$1,0)</f>
        <v>02</v>
      </c>
      <c r="H40" s="1" t="str">
        <f>VLOOKUP($E40,'Activity List CSI'!$D$4:$J$146,H$1,0)</f>
        <v>EarthWork</v>
      </c>
      <c r="I40" s="1" t="str">
        <f>VLOOKUP(D40,'Activity List CSI'!$C$4:$H$146,6,0)</f>
        <v>02300</v>
      </c>
      <c r="J40" s="1" t="str">
        <f>VLOOKUP($E40,'Activity List CSI'!$D$4:$J$146,J$1,0)</f>
        <v>Earthwork</v>
      </c>
      <c r="K40" s="1" t="s">
        <v>695</v>
      </c>
      <c r="L40" s="1">
        <v>435</v>
      </c>
      <c r="M40" s="13" t="str">
        <f t="shared" si="0"/>
        <v>02300435</v>
      </c>
      <c r="N40" s="12" t="s">
        <v>794</v>
      </c>
    </row>
    <row r="41" spans="4:14" x14ac:dyDescent="0.25">
      <c r="D41" s="11" t="s">
        <v>70</v>
      </c>
      <c r="E41" s="1" t="str">
        <f>VLOOKUP(F41,'Activity List CSI'!$B$4:$D$146,3,0)</f>
        <v>02300-12</v>
      </c>
      <c r="F41" s="1" t="s">
        <v>30</v>
      </c>
      <c r="G41" s="1" t="str">
        <f>VLOOKUP($E41,'Activity List CSI'!$D$4:$J$146,G$1,0)</f>
        <v>02</v>
      </c>
      <c r="H41" s="1" t="str">
        <f>VLOOKUP($E41,'Activity List CSI'!$D$4:$J$146,H$1,0)</f>
        <v>EarthWork</v>
      </c>
      <c r="I41" s="1" t="str">
        <f>VLOOKUP(D41,'Activity List CSI'!$C$4:$H$146,6,0)</f>
        <v>02300</v>
      </c>
      <c r="J41" s="1" t="str">
        <f>VLOOKUP($E41,'Activity List CSI'!$D$4:$J$146,J$1,0)</f>
        <v>Earthwork</v>
      </c>
      <c r="K41" s="1" t="s">
        <v>696</v>
      </c>
      <c r="L41" s="1">
        <v>440</v>
      </c>
      <c r="M41" s="1" t="str">
        <f t="shared" si="0"/>
        <v>02300440</v>
      </c>
      <c r="N41" s="12" t="str">
        <f t="shared" si="2"/>
        <v>02300440</v>
      </c>
    </row>
    <row r="42" spans="4:14" x14ac:dyDescent="0.25">
      <c r="D42" s="11" t="s">
        <v>229</v>
      </c>
      <c r="E42" s="1" t="str">
        <f>VLOOKUP(F42,'Activity List CSI'!$B$4:$D$146,3,0)</f>
        <v>02300-13</v>
      </c>
      <c r="F42" s="1" t="s">
        <v>31</v>
      </c>
      <c r="G42" s="1" t="str">
        <f>VLOOKUP($E42,'Activity List CSI'!$D$4:$J$146,G$1,0)</f>
        <v>02</v>
      </c>
      <c r="H42" s="1" t="str">
        <f>VLOOKUP($E42,'Activity List CSI'!$D$4:$J$146,H$1,0)</f>
        <v>EarthWork</v>
      </c>
      <c r="I42" s="1" t="str">
        <f>VLOOKUP(D42,'Activity List CSI'!$C$4:$H$146,6,0)</f>
        <v>02300</v>
      </c>
      <c r="J42" s="1" t="str">
        <f>VLOOKUP($E42,'Activity List CSI'!$D$4:$J$146,J$1,0)</f>
        <v>Earthwork</v>
      </c>
      <c r="K42" s="1" t="s">
        <v>690</v>
      </c>
      <c r="L42" s="1">
        <v>415</v>
      </c>
      <c r="M42" s="1" t="str">
        <f t="shared" si="0"/>
        <v>02300415</v>
      </c>
      <c r="N42" s="12" t="str">
        <f t="shared" si="2"/>
        <v>02300415</v>
      </c>
    </row>
    <row r="43" spans="4:14" x14ac:dyDescent="0.25">
      <c r="D43" s="11" t="s">
        <v>229</v>
      </c>
      <c r="E43" s="1" t="str">
        <f>VLOOKUP(F43,'Activity List CSI'!$B$4:$D$146,3,0)</f>
        <v>02300-13</v>
      </c>
      <c r="F43" s="1" t="s">
        <v>31</v>
      </c>
      <c r="G43" s="1" t="str">
        <f>VLOOKUP($E43,'Activity List CSI'!$D$4:$J$146,G$1,0)</f>
        <v>02</v>
      </c>
      <c r="H43" s="1" t="str">
        <f>VLOOKUP($E43,'Activity List CSI'!$D$4:$J$146,H$1,0)</f>
        <v>EarthWork</v>
      </c>
      <c r="I43" s="1" t="str">
        <f>VLOOKUP(D43,'Activity List CSI'!$C$4:$H$146,6,0)</f>
        <v>02300</v>
      </c>
      <c r="J43" s="1" t="str">
        <f>VLOOKUP($E43,'Activity List CSI'!$D$4:$J$146,J$1,0)</f>
        <v>Earthwork</v>
      </c>
      <c r="K43" s="1" t="s">
        <v>691</v>
      </c>
      <c r="L43" s="1">
        <v>420</v>
      </c>
      <c r="M43" s="1" t="str">
        <f t="shared" si="0"/>
        <v>02300420</v>
      </c>
      <c r="N43" s="12" t="str">
        <f t="shared" si="2"/>
        <v>02300420</v>
      </c>
    </row>
    <row r="44" spans="4:14" x14ac:dyDescent="0.25">
      <c r="D44" s="11" t="s">
        <v>229</v>
      </c>
      <c r="E44" s="1" t="str">
        <f>VLOOKUP(F44,'Activity List CSI'!$B$4:$D$146,3,0)</f>
        <v>02300-13</v>
      </c>
      <c r="F44" s="1" t="s">
        <v>31</v>
      </c>
      <c r="G44" s="1" t="str">
        <f>VLOOKUP($E44,'Activity List CSI'!$D$4:$J$146,G$1,0)</f>
        <v>02</v>
      </c>
      <c r="H44" s="1" t="str">
        <f>VLOOKUP($E44,'Activity List CSI'!$D$4:$J$146,H$1,0)</f>
        <v>EarthWork</v>
      </c>
      <c r="I44" s="1" t="str">
        <f>VLOOKUP(D44,'Activity List CSI'!$C$4:$H$146,6,0)</f>
        <v>02300</v>
      </c>
      <c r="J44" s="1" t="str">
        <f>VLOOKUP($E44,'Activity List CSI'!$D$4:$J$146,J$1,0)</f>
        <v>Earthwork</v>
      </c>
      <c r="K44" s="1" t="s">
        <v>693</v>
      </c>
      <c r="L44" s="1">
        <v>425</v>
      </c>
      <c r="M44" s="1" t="str">
        <f t="shared" si="0"/>
        <v>02300425</v>
      </c>
      <c r="N44" s="12" t="str">
        <f t="shared" si="2"/>
        <v>02300425</v>
      </c>
    </row>
    <row r="45" spans="4:14" x14ac:dyDescent="0.25">
      <c r="D45" s="11" t="s">
        <v>229</v>
      </c>
      <c r="E45" s="1" t="str">
        <f>VLOOKUP(F45,'Activity List CSI'!$B$4:$D$146,3,0)</f>
        <v>02300-13</v>
      </c>
      <c r="F45" s="1" t="s">
        <v>31</v>
      </c>
      <c r="G45" s="1" t="str">
        <f>VLOOKUP($E45,'Activity List CSI'!$D$4:$J$146,G$1,0)</f>
        <v>02</v>
      </c>
      <c r="H45" s="1" t="str">
        <f>VLOOKUP($E45,'Activity List CSI'!$D$4:$J$146,H$1,0)</f>
        <v>EarthWork</v>
      </c>
      <c r="I45" s="1" t="str">
        <f>VLOOKUP(D45,'Activity List CSI'!$C$4:$H$146,6,0)</f>
        <v>02300</v>
      </c>
      <c r="J45" s="1" t="str">
        <f>VLOOKUP($E45,'Activity List CSI'!$D$4:$J$146,J$1,0)</f>
        <v>Earthwork</v>
      </c>
      <c r="K45" s="1" t="s">
        <v>695</v>
      </c>
      <c r="L45" s="1">
        <v>435</v>
      </c>
      <c r="M45" s="13" t="str">
        <f t="shared" si="0"/>
        <v>02300435</v>
      </c>
      <c r="N45" s="12" t="s">
        <v>794</v>
      </c>
    </row>
    <row r="46" spans="4:14" x14ac:dyDescent="0.25">
      <c r="D46" s="11" t="s">
        <v>229</v>
      </c>
      <c r="E46" s="1" t="str">
        <f>VLOOKUP(F46,'Activity List CSI'!$B$4:$D$146,3,0)</f>
        <v>02300-13</v>
      </c>
      <c r="F46" s="1" t="s">
        <v>31</v>
      </c>
      <c r="G46" s="1" t="str">
        <f>VLOOKUP($E46,'Activity List CSI'!$D$4:$J$146,G$1,0)</f>
        <v>02</v>
      </c>
      <c r="H46" s="1" t="str">
        <f>VLOOKUP($E46,'Activity List CSI'!$D$4:$J$146,H$1,0)</f>
        <v>EarthWork</v>
      </c>
      <c r="I46" s="1" t="str">
        <f>VLOOKUP(D46,'Activity List CSI'!$C$4:$H$146,6,0)</f>
        <v>02300</v>
      </c>
      <c r="J46" s="1" t="str">
        <f>VLOOKUP($E46,'Activity List CSI'!$D$4:$J$146,J$1,0)</f>
        <v>Earthwork</v>
      </c>
      <c r="K46" s="1" t="s">
        <v>696</v>
      </c>
      <c r="L46" s="1">
        <v>440</v>
      </c>
      <c r="M46" s="1" t="str">
        <f t="shared" si="0"/>
        <v>02300440</v>
      </c>
      <c r="N46" s="12" t="str">
        <f t="shared" si="2"/>
        <v>02300440</v>
      </c>
    </row>
    <row r="47" spans="4:14" x14ac:dyDescent="0.25">
      <c r="D47" s="11" t="s">
        <v>230</v>
      </c>
      <c r="E47" s="1" t="str">
        <f>VLOOKUP(F47,'Activity List CSI'!$B$4:$D$146,3,0)</f>
        <v>02300-14</v>
      </c>
      <c r="F47" s="1" t="s">
        <v>32</v>
      </c>
      <c r="G47" s="1" t="str">
        <f>VLOOKUP($E47,'Activity List CSI'!$D$4:$J$146,G$1,0)</f>
        <v>02</v>
      </c>
      <c r="H47" s="1" t="str">
        <f>VLOOKUP($E47,'Activity List CSI'!$D$4:$J$146,H$1,0)</f>
        <v>EarthWork</v>
      </c>
      <c r="I47" s="1" t="str">
        <f>VLOOKUP(D47,'Activity List CSI'!$C$4:$H$146,6,0)</f>
        <v>02300</v>
      </c>
      <c r="J47" s="1" t="str">
        <f>VLOOKUP($E47,'Activity List CSI'!$D$4:$J$146,J$1,0)</f>
        <v>Earthwork</v>
      </c>
      <c r="K47" s="1" t="s">
        <v>690</v>
      </c>
      <c r="L47" s="1">
        <v>415</v>
      </c>
      <c r="M47" s="1" t="str">
        <f t="shared" si="0"/>
        <v>02300415</v>
      </c>
      <c r="N47" s="12" t="str">
        <f t="shared" si="2"/>
        <v>02300415</v>
      </c>
    </row>
    <row r="48" spans="4:14" x14ac:dyDescent="0.25">
      <c r="D48" s="11" t="s">
        <v>230</v>
      </c>
      <c r="E48" s="1" t="str">
        <f>VLOOKUP(F48,'Activity List CSI'!$B$4:$D$146,3,0)</f>
        <v>02300-14</v>
      </c>
      <c r="F48" s="1" t="s">
        <v>32</v>
      </c>
      <c r="G48" s="1" t="str">
        <f>VLOOKUP($E48,'Activity List CSI'!$D$4:$J$146,G$1,0)</f>
        <v>02</v>
      </c>
      <c r="H48" s="1" t="str">
        <f>VLOOKUP($E48,'Activity List CSI'!$D$4:$J$146,H$1,0)</f>
        <v>EarthWork</v>
      </c>
      <c r="I48" s="1" t="str">
        <f>VLOOKUP(D48,'Activity List CSI'!$C$4:$H$146,6,0)</f>
        <v>02300</v>
      </c>
      <c r="J48" s="1" t="str">
        <f>VLOOKUP($E48,'Activity List CSI'!$D$4:$J$146,J$1,0)</f>
        <v>Earthwork</v>
      </c>
      <c r="K48" s="1" t="s">
        <v>691</v>
      </c>
      <c r="L48" s="1">
        <v>420</v>
      </c>
      <c r="M48" s="1" t="str">
        <f t="shared" si="0"/>
        <v>02300420</v>
      </c>
      <c r="N48" s="12" t="str">
        <f t="shared" si="2"/>
        <v>02300420</v>
      </c>
    </row>
    <row r="49" spans="4:14" x14ac:dyDescent="0.25">
      <c r="D49" s="11" t="s">
        <v>230</v>
      </c>
      <c r="E49" s="1" t="str">
        <f>VLOOKUP(F49,'Activity List CSI'!$B$4:$D$146,3,0)</f>
        <v>02300-14</v>
      </c>
      <c r="F49" s="1" t="s">
        <v>32</v>
      </c>
      <c r="G49" s="1" t="str">
        <f>VLOOKUP($E49,'Activity List CSI'!$D$4:$J$146,G$1,0)</f>
        <v>02</v>
      </c>
      <c r="H49" s="1" t="str">
        <f>VLOOKUP($E49,'Activity List CSI'!$D$4:$J$146,H$1,0)</f>
        <v>EarthWork</v>
      </c>
      <c r="I49" s="1" t="str">
        <f>VLOOKUP(D49,'Activity List CSI'!$C$4:$H$146,6,0)</f>
        <v>02300</v>
      </c>
      <c r="J49" s="1" t="str">
        <f>VLOOKUP($E49,'Activity List CSI'!$D$4:$J$146,J$1,0)</f>
        <v>Earthwork</v>
      </c>
      <c r="K49" s="1" t="s">
        <v>693</v>
      </c>
      <c r="L49" s="1">
        <v>425</v>
      </c>
      <c r="M49" s="1" t="str">
        <f t="shared" si="0"/>
        <v>02300425</v>
      </c>
      <c r="N49" s="12" t="str">
        <f t="shared" si="2"/>
        <v>02300425</v>
      </c>
    </row>
    <row r="50" spans="4:14" x14ac:dyDescent="0.25">
      <c r="D50" s="11" t="s">
        <v>230</v>
      </c>
      <c r="E50" s="1" t="str">
        <f>VLOOKUP(F50,'Activity List CSI'!$B$4:$D$146,3,0)</f>
        <v>02300-14</v>
      </c>
      <c r="F50" s="1" t="s">
        <v>32</v>
      </c>
      <c r="G50" s="1" t="str">
        <f>VLOOKUP($E50,'Activity List CSI'!$D$4:$J$146,G$1,0)</f>
        <v>02</v>
      </c>
      <c r="H50" s="1" t="str">
        <f>VLOOKUP($E50,'Activity List CSI'!$D$4:$J$146,H$1,0)</f>
        <v>EarthWork</v>
      </c>
      <c r="I50" s="1" t="str">
        <f>VLOOKUP(D50,'Activity List CSI'!$C$4:$H$146,6,0)</f>
        <v>02300</v>
      </c>
      <c r="J50" s="1" t="str">
        <f>VLOOKUP($E50,'Activity List CSI'!$D$4:$J$146,J$1,0)</f>
        <v>Earthwork</v>
      </c>
      <c r="K50" s="1" t="s">
        <v>695</v>
      </c>
      <c r="L50" s="1">
        <v>435</v>
      </c>
      <c r="M50" s="13" t="str">
        <f t="shared" si="0"/>
        <v>02300435</v>
      </c>
      <c r="N50" s="12" t="s">
        <v>794</v>
      </c>
    </row>
    <row r="51" spans="4:14" x14ac:dyDescent="0.25">
      <c r="D51" s="11" t="s">
        <v>230</v>
      </c>
      <c r="E51" s="1" t="str">
        <f>VLOOKUP(F51,'Activity List CSI'!$B$4:$D$146,3,0)</f>
        <v>02300-14</v>
      </c>
      <c r="F51" s="1" t="s">
        <v>32</v>
      </c>
      <c r="G51" s="1" t="str">
        <f>VLOOKUP($E51,'Activity List CSI'!$D$4:$J$146,G$1,0)</f>
        <v>02</v>
      </c>
      <c r="H51" s="1" t="str">
        <f>VLOOKUP($E51,'Activity List CSI'!$D$4:$J$146,H$1,0)</f>
        <v>EarthWork</v>
      </c>
      <c r="I51" s="1" t="str">
        <f>VLOOKUP(D51,'Activity List CSI'!$C$4:$H$146,6,0)</f>
        <v>02300</v>
      </c>
      <c r="J51" s="1" t="str">
        <f>VLOOKUP($E51,'Activity List CSI'!$D$4:$J$146,J$1,0)</f>
        <v>Earthwork</v>
      </c>
      <c r="K51" s="1" t="s">
        <v>696</v>
      </c>
      <c r="L51" s="1">
        <v>440</v>
      </c>
      <c r="M51" s="1" t="str">
        <f t="shared" si="0"/>
        <v>02300440</v>
      </c>
      <c r="N51" s="12" t="str">
        <f t="shared" si="2"/>
        <v>02300440</v>
      </c>
    </row>
    <row r="52" spans="4:14" x14ac:dyDescent="0.25">
      <c r="D52" s="11" t="s">
        <v>231</v>
      </c>
      <c r="E52" s="1" t="str">
        <f>VLOOKUP(F52,'Activity List CSI'!$B$4:$D$146,3,0)</f>
        <v>02300-15</v>
      </c>
      <c r="F52" s="1" t="s">
        <v>33</v>
      </c>
      <c r="G52" s="1" t="str">
        <f>VLOOKUP($E52,'Activity List CSI'!$D$4:$J$146,G$1,0)</f>
        <v>02</v>
      </c>
      <c r="H52" s="1" t="str">
        <f>VLOOKUP($E52,'Activity List CSI'!$D$4:$J$146,H$1,0)</f>
        <v>EarthWork</v>
      </c>
      <c r="I52" s="1" t="str">
        <f>VLOOKUP(D52,'Activity List CSI'!$C$4:$H$146,6,0)</f>
        <v>02300</v>
      </c>
      <c r="J52" s="1" t="str">
        <f>VLOOKUP($E52,'Activity List CSI'!$D$4:$J$146,J$1,0)</f>
        <v>Earthwork</v>
      </c>
      <c r="K52" s="1" t="s">
        <v>693</v>
      </c>
      <c r="L52" s="1">
        <v>425</v>
      </c>
      <c r="M52" s="1" t="str">
        <f t="shared" si="0"/>
        <v>02300425</v>
      </c>
      <c r="N52" s="12" t="str">
        <f t="shared" si="2"/>
        <v>02300425</v>
      </c>
    </row>
    <row r="53" spans="4:14" x14ac:dyDescent="0.25">
      <c r="D53" s="11" t="s">
        <v>231</v>
      </c>
      <c r="E53" s="1" t="str">
        <f>VLOOKUP(F53,'Activity List CSI'!$B$4:$D$146,3,0)</f>
        <v>02300-15</v>
      </c>
      <c r="F53" s="1" t="s">
        <v>33</v>
      </c>
      <c r="G53" s="1" t="str">
        <f>VLOOKUP($E53,'Activity List CSI'!$D$4:$J$146,G$1,0)</f>
        <v>02</v>
      </c>
      <c r="H53" s="1" t="str">
        <f>VLOOKUP($E53,'Activity List CSI'!$D$4:$J$146,H$1,0)</f>
        <v>EarthWork</v>
      </c>
      <c r="I53" s="1" t="str">
        <f>VLOOKUP(D53,'Activity List CSI'!$C$4:$H$146,6,0)</f>
        <v>02300</v>
      </c>
      <c r="J53" s="1" t="str">
        <f>VLOOKUP($E53,'Activity List CSI'!$D$4:$J$146,J$1,0)</f>
        <v>Earthwork</v>
      </c>
      <c r="K53" s="1" t="s">
        <v>694</v>
      </c>
      <c r="L53" s="1">
        <v>430</v>
      </c>
      <c r="M53" s="1" t="str">
        <f t="shared" si="0"/>
        <v>02300430</v>
      </c>
      <c r="N53" s="12" t="str">
        <f t="shared" si="2"/>
        <v>02300430</v>
      </c>
    </row>
    <row r="54" spans="4:14" x14ac:dyDescent="0.25">
      <c r="D54" s="11" t="s">
        <v>231</v>
      </c>
      <c r="E54" s="1" t="str">
        <f>VLOOKUP(F54,'Activity List CSI'!$B$4:$D$146,3,0)</f>
        <v>02300-15</v>
      </c>
      <c r="F54" s="1" t="s">
        <v>33</v>
      </c>
      <c r="G54" s="1" t="str">
        <f>VLOOKUP($E54,'Activity List CSI'!$D$4:$J$146,G$1,0)</f>
        <v>02</v>
      </c>
      <c r="H54" s="1" t="str">
        <f>VLOOKUP($E54,'Activity List CSI'!$D$4:$J$146,H$1,0)</f>
        <v>EarthWork</v>
      </c>
      <c r="I54" s="1" t="str">
        <f>VLOOKUP(D54,'Activity List CSI'!$C$4:$H$146,6,0)</f>
        <v>02300</v>
      </c>
      <c r="J54" s="1" t="str">
        <f>VLOOKUP($E54,'Activity List CSI'!$D$4:$J$146,J$1,0)</f>
        <v>Earthwork</v>
      </c>
      <c r="K54" s="1" t="s">
        <v>695</v>
      </c>
      <c r="L54" s="1">
        <v>435</v>
      </c>
      <c r="M54" s="13" t="str">
        <f t="shared" si="0"/>
        <v>02300435</v>
      </c>
      <c r="N54" s="12" t="s">
        <v>794</v>
      </c>
    </row>
    <row r="55" spans="4:14" x14ac:dyDescent="0.25">
      <c r="D55" s="11" t="s">
        <v>232</v>
      </c>
      <c r="E55" s="1" t="str">
        <f>VLOOKUP(F55,'Activity List CSI'!$B$4:$D$146,3,0)</f>
        <v>02300-16</v>
      </c>
      <c r="F55" s="1" t="s">
        <v>34</v>
      </c>
      <c r="G55" s="1" t="str">
        <f>VLOOKUP($E55,'Activity List CSI'!$D$4:$J$146,G$1,0)</f>
        <v>02</v>
      </c>
      <c r="H55" s="1" t="str">
        <f>VLOOKUP($E55,'Activity List CSI'!$D$4:$J$146,H$1,0)</f>
        <v>EarthWork</v>
      </c>
      <c r="I55" s="1" t="str">
        <f>VLOOKUP(D55,'Activity List CSI'!$C$4:$H$146,6,0)</f>
        <v>02300</v>
      </c>
      <c r="J55" s="1" t="str">
        <f>VLOOKUP($E55,'Activity List CSI'!$D$4:$J$146,J$1,0)</f>
        <v>Earthwork</v>
      </c>
      <c r="K55" s="1" t="s">
        <v>690</v>
      </c>
      <c r="L55" s="1">
        <v>415</v>
      </c>
      <c r="M55" s="1" t="str">
        <f t="shared" si="0"/>
        <v>02300415</v>
      </c>
      <c r="N55" s="12" t="str">
        <f t="shared" si="2"/>
        <v>02300415</v>
      </c>
    </row>
    <row r="56" spans="4:14" x14ac:dyDescent="0.25">
      <c r="D56" s="11" t="s">
        <v>232</v>
      </c>
      <c r="E56" s="1" t="str">
        <f>VLOOKUP(F56,'Activity List CSI'!$B$4:$D$146,3,0)</f>
        <v>02300-16</v>
      </c>
      <c r="F56" s="1" t="s">
        <v>34</v>
      </c>
      <c r="G56" s="1" t="str">
        <f>VLOOKUP($E56,'Activity List CSI'!$D$4:$J$146,G$1,0)</f>
        <v>02</v>
      </c>
      <c r="H56" s="1" t="str">
        <f>VLOOKUP($E56,'Activity List CSI'!$D$4:$J$146,H$1,0)</f>
        <v>EarthWork</v>
      </c>
      <c r="I56" s="1" t="str">
        <f>VLOOKUP(D56,'Activity List CSI'!$C$4:$H$146,6,0)</f>
        <v>02300</v>
      </c>
      <c r="J56" s="1" t="str">
        <f>VLOOKUP($E56,'Activity List CSI'!$D$4:$J$146,J$1,0)</f>
        <v>Earthwork</v>
      </c>
      <c r="K56" s="1" t="s">
        <v>695</v>
      </c>
      <c r="L56" s="1">
        <v>435</v>
      </c>
      <c r="M56" s="13" t="str">
        <f t="shared" si="0"/>
        <v>02300435</v>
      </c>
      <c r="N56" s="12" t="s">
        <v>794</v>
      </c>
    </row>
    <row r="57" spans="4:14" x14ac:dyDescent="0.25">
      <c r="D57" s="11" t="s">
        <v>233</v>
      </c>
      <c r="E57" s="1" t="str">
        <f>VLOOKUP(F57,'Activity List CSI'!$B$4:$D$146,3,0)</f>
        <v>02300-17</v>
      </c>
      <c r="F57" s="1" t="s">
        <v>35</v>
      </c>
      <c r="G57" s="1" t="str">
        <f>VLOOKUP($E57,'Activity List CSI'!$D$4:$J$146,G$1,0)</f>
        <v>02</v>
      </c>
      <c r="H57" s="1" t="str">
        <f>VLOOKUP($E57,'Activity List CSI'!$D$4:$J$146,H$1,0)</f>
        <v>EarthWork</v>
      </c>
      <c r="I57" s="1" t="str">
        <f>VLOOKUP(D57,'Activity List CSI'!$C$4:$H$146,6,0)</f>
        <v>02300</v>
      </c>
      <c r="J57" s="1" t="str">
        <f>VLOOKUP($E57,'Activity List CSI'!$D$4:$J$146,J$1,0)</f>
        <v>Earthwork</v>
      </c>
      <c r="K57" s="1" t="s">
        <v>690</v>
      </c>
      <c r="L57" s="1">
        <v>415</v>
      </c>
      <c r="M57" s="1" t="str">
        <f t="shared" si="0"/>
        <v>02300415</v>
      </c>
      <c r="N57" s="12" t="str">
        <f t="shared" si="2"/>
        <v>02300415</v>
      </c>
    </row>
    <row r="58" spans="4:14" x14ac:dyDescent="0.25">
      <c r="D58" s="11" t="s">
        <v>233</v>
      </c>
      <c r="E58" s="1" t="str">
        <f>VLOOKUP(F58,'Activity List CSI'!$B$4:$D$146,3,0)</f>
        <v>02300-17</v>
      </c>
      <c r="F58" s="1" t="s">
        <v>35</v>
      </c>
      <c r="G58" s="1" t="str">
        <f>VLOOKUP($E58,'Activity List CSI'!$D$4:$J$146,G$1,0)</f>
        <v>02</v>
      </c>
      <c r="H58" s="1" t="str">
        <f>VLOOKUP($E58,'Activity List CSI'!$D$4:$J$146,H$1,0)</f>
        <v>EarthWork</v>
      </c>
      <c r="I58" s="1" t="str">
        <f>VLOOKUP(D58,'Activity List CSI'!$C$4:$H$146,6,0)</f>
        <v>02300</v>
      </c>
      <c r="J58" s="1" t="str">
        <f>VLOOKUP($E58,'Activity List CSI'!$D$4:$J$146,J$1,0)</f>
        <v>Earthwork</v>
      </c>
      <c r="K58" s="1" t="s">
        <v>691</v>
      </c>
      <c r="L58" s="1">
        <v>420</v>
      </c>
      <c r="M58" s="1" t="str">
        <f t="shared" si="0"/>
        <v>02300420</v>
      </c>
      <c r="N58" s="12" t="str">
        <f t="shared" si="2"/>
        <v>02300420</v>
      </c>
    </row>
    <row r="59" spans="4:14" x14ac:dyDescent="0.25">
      <c r="D59" s="11" t="s">
        <v>234</v>
      </c>
      <c r="E59" s="1" t="str">
        <f>VLOOKUP(F59,'Activity List CSI'!$B$4:$D$146,3,0)</f>
        <v>02300-18</v>
      </c>
      <c r="F59" s="1" t="s">
        <v>36</v>
      </c>
      <c r="G59" s="1" t="str">
        <f>VLOOKUP($E59,'Activity List CSI'!$D$4:$J$146,G$1,0)</f>
        <v>02</v>
      </c>
      <c r="H59" s="1" t="str">
        <f>VLOOKUP($E59,'Activity List CSI'!$D$4:$J$146,H$1,0)</f>
        <v>EarthWork</v>
      </c>
      <c r="I59" s="1" t="str">
        <f>VLOOKUP(D59,'Activity List CSI'!$C$4:$H$146,6,0)</f>
        <v>02300</v>
      </c>
      <c r="J59" s="1" t="str">
        <f>VLOOKUP($E59,'Activity List CSI'!$D$4:$J$146,J$1,0)</f>
        <v>Earthwork</v>
      </c>
      <c r="K59" s="1" t="s">
        <v>690</v>
      </c>
      <c r="L59" s="1">
        <v>415</v>
      </c>
      <c r="M59" s="1" t="str">
        <f t="shared" si="0"/>
        <v>02300415</v>
      </c>
      <c r="N59" s="12" t="str">
        <f t="shared" si="2"/>
        <v>02300415</v>
      </c>
    </row>
    <row r="60" spans="4:14" x14ac:dyDescent="0.25">
      <c r="D60" s="11" t="s">
        <v>234</v>
      </c>
      <c r="E60" s="1" t="str">
        <f>VLOOKUP(F60,'Activity List CSI'!$B$4:$D$146,3,0)</f>
        <v>02300-18</v>
      </c>
      <c r="F60" s="1" t="s">
        <v>36</v>
      </c>
      <c r="G60" s="1" t="str">
        <f>VLOOKUP($E60,'Activity List CSI'!$D$4:$J$146,G$1,0)</f>
        <v>02</v>
      </c>
      <c r="H60" s="1" t="str">
        <f>VLOOKUP($E60,'Activity List CSI'!$D$4:$J$146,H$1,0)</f>
        <v>EarthWork</v>
      </c>
      <c r="I60" s="1" t="str">
        <f>VLOOKUP(D60,'Activity List CSI'!$C$4:$H$146,6,0)</f>
        <v>02300</v>
      </c>
      <c r="J60" s="1" t="str">
        <f>VLOOKUP($E60,'Activity List CSI'!$D$4:$J$146,J$1,0)</f>
        <v>Earthwork</v>
      </c>
      <c r="K60" s="1" t="s">
        <v>691</v>
      </c>
      <c r="L60" s="1">
        <v>420</v>
      </c>
      <c r="M60" s="1" t="str">
        <f t="shared" si="0"/>
        <v>02300420</v>
      </c>
      <c r="N60" s="12" t="str">
        <f t="shared" si="2"/>
        <v>02300420</v>
      </c>
    </row>
    <row r="61" spans="4:14" x14ac:dyDescent="0.25">
      <c r="D61" s="11" t="s">
        <v>235</v>
      </c>
      <c r="E61" s="1" t="str">
        <f>VLOOKUP(F61,'Activity List CSI'!$B$4:$D$146,3,0)</f>
        <v>02300-19</v>
      </c>
      <c r="F61" s="1" t="s">
        <v>37</v>
      </c>
      <c r="G61" s="1" t="str">
        <f>VLOOKUP($E61,'Activity List CSI'!$D$4:$J$146,G$1,0)</f>
        <v>02</v>
      </c>
      <c r="H61" s="1" t="str">
        <f>VLOOKUP($E61,'Activity List CSI'!$D$4:$J$146,H$1,0)</f>
        <v>EarthWork</v>
      </c>
      <c r="I61" s="1" t="str">
        <f>VLOOKUP(D61,'Activity List CSI'!$C$4:$H$146,6,0)</f>
        <v>02300</v>
      </c>
      <c r="J61" s="1" t="str">
        <f>VLOOKUP($E61,'Activity List CSI'!$D$4:$J$146,J$1,0)</f>
        <v>Earthwork</v>
      </c>
      <c r="K61" s="1" t="s">
        <v>690</v>
      </c>
      <c r="L61" s="1">
        <v>415</v>
      </c>
      <c r="M61" s="1" t="str">
        <f t="shared" si="0"/>
        <v>02300415</v>
      </c>
      <c r="N61" s="12" t="str">
        <f t="shared" si="2"/>
        <v>02300415</v>
      </c>
    </row>
    <row r="62" spans="4:14" x14ac:dyDescent="0.25">
      <c r="D62" s="11" t="s">
        <v>235</v>
      </c>
      <c r="E62" s="1" t="str">
        <f>VLOOKUP(F62,'Activity List CSI'!$B$4:$D$146,3,0)</f>
        <v>02300-19</v>
      </c>
      <c r="F62" s="1" t="s">
        <v>37</v>
      </c>
      <c r="G62" s="1" t="str">
        <f>VLOOKUP($E62,'Activity List CSI'!$D$4:$J$146,G$1,0)</f>
        <v>02</v>
      </c>
      <c r="H62" s="1" t="str">
        <f>VLOOKUP($E62,'Activity List CSI'!$D$4:$J$146,H$1,0)</f>
        <v>EarthWork</v>
      </c>
      <c r="I62" s="1" t="str">
        <f>VLOOKUP(D62,'Activity List CSI'!$C$4:$H$146,6,0)</f>
        <v>02300</v>
      </c>
      <c r="J62" s="1" t="str">
        <f>VLOOKUP($E62,'Activity List CSI'!$D$4:$J$146,J$1,0)</f>
        <v>Earthwork</v>
      </c>
      <c r="K62" s="1" t="s">
        <v>691</v>
      </c>
      <c r="L62" s="1">
        <v>420</v>
      </c>
      <c r="M62" s="1" t="str">
        <f t="shared" si="0"/>
        <v>02300420</v>
      </c>
      <c r="N62" s="12" t="str">
        <f t="shared" si="2"/>
        <v>02300420</v>
      </c>
    </row>
    <row r="63" spans="4:14" x14ac:dyDescent="0.25">
      <c r="D63" s="11" t="s">
        <v>238</v>
      </c>
      <c r="E63" s="1" t="str">
        <f>VLOOKUP(F63,'Activity List CSI'!$B$4:$D$146,3,0)</f>
        <v>02700-01</v>
      </c>
      <c r="F63" s="1" t="s">
        <v>407</v>
      </c>
      <c r="G63" s="1" t="str">
        <f>VLOOKUP($E63,'Activity List CSI'!$D$4:$J$146,G$1,0)</f>
        <v>02</v>
      </c>
      <c r="H63" s="1" t="str">
        <f>VLOOKUP($E63,'Activity List CSI'!$D$4:$J$146,H$1,0)</f>
        <v>EarthWork</v>
      </c>
      <c r="I63" s="1" t="str">
        <f>VLOOKUP(D63,'Activity List CSI'!$C$4:$H$146,6,0)</f>
        <v>02700</v>
      </c>
      <c r="J63" s="1" t="str">
        <f>VLOOKUP($E63,'Activity List CSI'!$D$4:$J$146,J$1,0)</f>
        <v>Bases, Ballast,Pavement &amp; Appurtenances</v>
      </c>
      <c r="K63" s="1" t="s">
        <v>690</v>
      </c>
      <c r="L63" s="1">
        <v>415</v>
      </c>
      <c r="M63" s="13" t="str">
        <f t="shared" si="0"/>
        <v>02700415</v>
      </c>
      <c r="N63" s="12" t="s">
        <v>710</v>
      </c>
    </row>
    <row r="64" spans="4:14" x14ac:dyDescent="0.25">
      <c r="D64" s="11" t="s">
        <v>238</v>
      </c>
      <c r="E64" s="1" t="str">
        <f>VLOOKUP(F64,'Activity List CSI'!$B$4:$D$146,3,0)</f>
        <v>02700-01</v>
      </c>
      <c r="F64" s="1" t="s">
        <v>407</v>
      </c>
      <c r="G64" s="1" t="str">
        <f>VLOOKUP($E64,'Activity List CSI'!$D$4:$J$146,G$1,0)</f>
        <v>02</v>
      </c>
      <c r="H64" s="1" t="str">
        <f>VLOOKUP($E64,'Activity List CSI'!$D$4:$J$146,H$1,0)</f>
        <v>EarthWork</v>
      </c>
      <c r="I64" s="1" t="str">
        <f>VLOOKUP(D64,'Activity List CSI'!$C$4:$H$146,6,0)</f>
        <v>02700</v>
      </c>
      <c r="J64" s="1" t="str">
        <f>VLOOKUP($E64,'Activity List CSI'!$D$4:$J$146,J$1,0)</f>
        <v>Bases, Ballast,Pavement &amp; Appurtenances</v>
      </c>
      <c r="K64" s="1" t="s">
        <v>691</v>
      </c>
      <c r="L64" s="1">
        <v>420</v>
      </c>
      <c r="M64" s="1" t="str">
        <f t="shared" si="0"/>
        <v>02700420</v>
      </c>
      <c r="N64" s="12" t="s">
        <v>711</v>
      </c>
    </row>
    <row r="65" spans="4:14" x14ac:dyDescent="0.25">
      <c r="D65" s="11" t="s">
        <v>238</v>
      </c>
      <c r="E65" s="1" t="str">
        <f>VLOOKUP(F65,'Activity List CSI'!$B$4:$D$146,3,0)</f>
        <v>02700-01</v>
      </c>
      <c r="F65" s="1" t="s">
        <v>407</v>
      </c>
      <c r="G65" s="1" t="str">
        <f>VLOOKUP($E65,'Activity List CSI'!$D$4:$J$146,G$1,0)</f>
        <v>02</v>
      </c>
      <c r="H65" s="1" t="str">
        <f>VLOOKUP($E65,'Activity List CSI'!$D$4:$J$146,H$1,0)</f>
        <v>EarthWork</v>
      </c>
      <c r="I65" s="1" t="str">
        <f>VLOOKUP(D65,'Activity List CSI'!$C$4:$H$146,6,0)</f>
        <v>02700</v>
      </c>
      <c r="J65" s="1" t="str">
        <f>VLOOKUP($E65,'Activity List CSI'!$D$4:$J$146,J$1,0)</f>
        <v>Bases, Ballast,Pavement &amp; Appurtenances</v>
      </c>
      <c r="K65" s="1" t="s">
        <v>695</v>
      </c>
      <c r="L65" s="1">
        <v>435</v>
      </c>
      <c r="M65" s="1" t="str">
        <f t="shared" si="0"/>
        <v>02700435</v>
      </c>
      <c r="N65" s="12" t="str">
        <f>M65</f>
        <v>02700435</v>
      </c>
    </row>
    <row r="66" spans="4:14" x14ac:dyDescent="0.25">
      <c r="D66" s="11" t="s">
        <v>239</v>
      </c>
      <c r="E66" s="1" t="str">
        <f>VLOOKUP(F66,'Activity List CSI'!$B$4:$D$146,3,0)</f>
        <v>02700-02</v>
      </c>
      <c r="F66" s="1" t="s">
        <v>40</v>
      </c>
      <c r="G66" s="1" t="str">
        <f>VLOOKUP($E66,'Activity List CSI'!$D$4:$J$146,G$1,0)</f>
        <v>02</v>
      </c>
      <c r="H66" s="1" t="str">
        <f>VLOOKUP($E66,'Activity List CSI'!$D$4:$J$146,H$1,0)</f>
        <v>EarthWork</v>
      </c>
      <c r="I66" s="1" t="str">
        <f>VLOOKUP(D66,'Activity List CSI'!$C$4:$H$146,6,0)</f>
        <v>02700</v>
      </c>
      <c r="J66" s="1" t="str">
        <f>VLOOKUP($E66,'Activity List CSI'!$D$4:$J$146,J$1,0)</f>
        <v>Bases, Ballast,Pavement &amp; Appurtenances</v>
      </c>
      <c r="K66" s="1" t="s">
        <v>690</v>
      </c>
      <c r="L66" s="1">
        <v>415</v>
      </c>
      <c r="M66" s="13" t="str">
        <f t="shared" si="0"/>
        <v>02700415</v>
      </c>
      <c r="N66" s="12" t="s">
        <v>710</v>
      </c>
    </row>
    <row r="67" spans="4:14" x14ac:dyDescent="0.25">
      <c r="D67" s="11" t="s">
        <v>239</v>
      </c>
      <c r="E67" s="1" t="str">
        <f>VLOOKUP(F67,'Activity List CSI'!$B$4:$D$146,3,0)</f>
        <v>02700-02</v>
      </c>
      <c r="F67" s="1" t="s">
        <v>40</v>
      </c>
      <c r="G67" s="1" t="str">
        <f>VLOOKUP($E67,'Activity List CSI'!$D$4:$J$146,G$1,0)</f>
        <v>02</v>
      </c>
      <c r="H67" s="1" t="str">
        <f>VLOOKUP($E67,'Activity List CSI'!$D$4:$J$146,H$1,0)</f>
        <v>EarthWork</v>
      </c>
      <c r="I67" s="1" t="str">
        <f>VLOOKUP(D67,'Activity List CSI'!$C$4:$H$146,6,0)</f>
        <v>02700</v>
      </c>
      <c r="J67" s="1" t="str">
        <f>VLOOKUP($E67,'Activity List CSI'!$D$4:$J$146,J$1,0)</f>
        <v>Bases, Ballast,Pavement &amp; Appurtenances</v>
      </c>
      <c r="K67" s="1" t="s">
        <v>691</v>
      </c>
      <c r="L67" s="1">
        <v>420</v>
      </c>
      <c r="M67" s="1" t="str">
        <f t="shared" si="0"/>
        <v>02700420</v>
      </c>
      <c r="N67" s="12" t="s">
        <v>711</v>
      </c>
    </row>
    <row r="68" spans="4:14" x14ac:dyDescent="0.25">
      <c r="D68" s="11" t="s">
        <v>239</v>
      </c>
      <c r="E68" s="1" t="str">
        <f>VLOOKUP(F68,'Activity List CSI'!$B$4:$D$146,3,0)</f>
        <v>02700-02</v>
      </c>
      <c r="F68" s="1" t="s">
        <v>40</v>
      </c>
      <c r="G68" s="1" t="str">
        <f>VLOOKUP($E68,'Activity List CSI'!$D$4:$J$146,G$1,0)</f>
        <v>02</v>
      </c>
      <c r="H68" s="1" t="str">
        <f>VLOOKUP($E68,'Activity List CSI'!$D$4:$J$146,H$1,0)</f>
        <v>EarthWork</v>
      </c>
      <c r="I68" s="1" t="str">
        <f>VLOOKUP(D68,'Activity List CSI'!$C$4:$H$146,6,0)</f>
        <v>02700</v>
      </c>
      <c r="J68" s="1" t="str">
        <f>VLOOKUP($E68,'Activity List CSI'!$D$4:$J$146,J$1,0)</f>
        <v>Bases, Ballast,Pavement &amp; Appurtenances</v>
      </c>
      <c r="K68" s="1" t="s">
        <v>695</v>
      </c>
      <c r="L68" s="1">
        <v>435</v>
      </c>
      <c r="M68" s="1" t="str">
        <f t="shared" si="0"/>
        <v>02700435</v>
      </c>
      <c r="N68" s="12" t="str">
        <f>M68</f>
        <v>02700435</v>
      </c>
    </row>
    <row r="69" spans="4:14" x14ac:dyDescent="0.25">
      <c r="D69" s="11" t="s">
        <v>240</v>
      </c>
      <c r="E69" s="1" t="str">
        <f>VLOOKUP(F69,'Activity List CSI'!$B$4:$D$146,3,0)</f>
        <v>02700-03</v>
      </c>
      <c r="F69" s="1" t="s">
        <v>41</v>
      </c>
      <c r="G69" s="1" t="str">
        <f>VLOOKUP($E69,'Activity List CSI'!$D$4:$J$146,G$1,0)</f>
        <v>02</v>
      </c>
      <c r="H69" s="1" t="str">
        <f>VLOOKUP($E69,'Activity List CSI'!$D$4:$J$146,H$1,0)</f>
        <v>EarthWork</v>
      </c>
      <c r="I69" s="1" t="str">
        <f>VLOOKUP(D69,'Activity List CSI'!$C$4:$H$146,6,0)</f>
        <v>02700</v>
      </c>
      <c r="J69" s="1" t="str">
        <f>VLOOKUP($E69,'Activity List CSI'!$D$4:$J$146,J$1,0)</f>
        <v>Bases, Ballast,Pavement &amp; Appurtenances</v>
      </c>
      <c r="K69" s="1" t="s">
        <v>690</v>
      </c>
      <c r="L69" s="1">
        <v>415</v>
      </c>
      <c r="M69" s="13" t="str">
        <f t="shared" ref="M69:M132" si="3">I69&amp;L69</f>
        <v>02700415</v>
      </c>
      <c r="N69" s="12" t="s">
        <v>710</v>
      </c>
    </row>
    <row r="70" spans="4:14" x14ac:dyDescent="0.25">
      <c r="D70" s="11" t="s">
        <v>240</v>
      </c>
      <c r="E70" s="1" t="str">
        <f>VLOOKUP(F70,'Activity List CSI'!$B$4:$D$146,3,0)</f>
        <v>02700-03</v>
      </c>
      <c r="F70" s="1" t="s">
        <v>41</v>
      </c>
      <c r="G70" s="1" t="str">
        <f>VLOOKUP($E70,'Activity List CSI'!$D$4:$J$146,G$1,0)</f>
        <v>02</v>
      </c>
      <c r="H70" s="1" t="str">
        <f>VLOOKUP($E70,'Activity List CSI'!$D$4:$J$146,H$1,0)</f>
        <v>EarthWork</v>
      </c>
      <c r="I70" s="1" t="str">
        <f>VLOOKUP(D70,'Activity List CSI'!$C$4:$H$146,6,0)</f>
        <v>02700</v>
      </c>
      <c r="J70" s="1" t="str">
        <f>VLOOKUP($E70,'Activity List CSI'!$D$4:$J$146,J$1,0)</f>
        <v>Bases, Ballast,Pavement &amp; Appurtenances</v>
      </c>
      <c r="K70" s="1" t="s">
        <v>691</v>
      </c>
      <c r="L70" s="1">
        <v>420</v>
      </c>
      <c r="M70" s="1" t="str">
        <f t="shared" si="3"/>
        <v>02700420</v>
      </c>
      <c r="N70" s="12" t="s">
        <v>711</v>
      </c>
    </row>
    <row r="71" spans="4:14" x14ac:dyDescent="0.25">
      <c r="D71" s="11" t="s">
        <v>240</v>
      </c>
      <c r="E71" s="1" t="str">
        <f>VLOOKUP(F71,'Activity List CSI'!$B$4:$D$146,3,0)</f>
        <v>02700-03</v>
      </c>
      <c r="F71" s="1" t="s">
        <v>41</v>
      </c>
      <c r="G71" s="1" t="str">
        <f>VLOOKUP($E71,'Activity List CSI'!$D$4:$J$146,G$1,0)</f>
        <v>02</v>
      </c>
      <c r="H71" s="1" t="str">
        <f>VLOOKUP($E71,'Activity List CSI'!$D$4:$J$146,H$1,0)</f>
        <v>EarthWork</v>
      </c>
      <c r="I71" s="1" t="str">
        <f>VLOOKUP(D71,'Activity List CSI'!$C$4:$H$146,6,0)</f>
        <v>02700</v>
      </c>
      <c r="J71" s="1" t="str">
        <f>VLOOKUP($E71,'Activity List CSI'!$D$4:$J$146,J$1,0)</f>
        <v>Bases, Ballast,Pavement &amp; Appurtenances</v>
      </c>
      <c r="K71" s="1" t="s">
        <v>695</v>
      </c>
      <c r="L71" s="1">
        <v>435</v>
      </c>
      <c r="M71" s="1" t="str">
        <f t="shared" si="3"/>
        <v>02700435</v>
      </c>
      <c r="N71" s="12" t="str">
        <f>M71</f>
        <v>02700435</v>
      </c>
    </row>
    <row r="72" spans="4:14" x14ac:dyDescent="0.25">
      <c r="D72" s="11" t="s">
        <v>241</v>
      </c>
      <c r="E72" s="1" t="str">
        <f>VLOOKUP(F72,'Activity List CSI'!$B$4:$D$146,3,0)</f>
        <v>02700-04</v>
      </c>
      <c r="F72" s="1" t="s">
        <v>42</v>
      </c>
      <c r="G72" s="1" t="str">
        <f>VLOOKUP($E72,'Activity List CSI'!$D$4:$J$146,G$1,0)</f>
        <v>02</v>
      </c>
      <c r="H72" s="1" t="str">
        <f>VLOOKUP($E72,'Activity List CSI'!$D$4:$J$146,H$1,0)</f>
        <v>EarthWork</v>
      </c>
      <c r="I72" s="1" t="str">
        <f>VLOOKUP(D72,'Activity List CSI'!$C$4:$H$146,6,0)</f>
        <v>02700</v>
      </c>
      <c r="J72" s="1" t="str">
        <f>VLOOKUP($E72,'Activity List CSI'!$D$4:$J$146,J$1,0)</f>
        <v>Bases, Ballast,Pavement &amp; Appurtenances</v>
      </c>
      <c r="K72" s="1" t="s">
        <v>690</v>
      </c>
      <c r="L72" s="1">
        <v>415</v>
      </c>
      <c r="M72" s="13" t="str">
        <f t="shared" si="3"/>
        <v>02700415</v>
      </c>
      <c r="N72" s="12" t="s">
        <v>710</v>
      </c>
    </row>
    <row r="73" spans="4:14" x14ac:dyDescent="0.25">
      <c r="D73" s="11" t="s">
        <v>241</v>
      </c>
      <c r="E73" s="1" t="str">
        <f>VLOOKUP(F73,'Activity List CSI'!$B$4:$D$146,3,0)</f>
        <v>02700-04</v>
      </c>
      <c r="F73" s="1" t="s">
        <v>42</v>
      </c>
      <c r="G73" s="1" t="str">
        <f>VLOOKUP($E73,'Activity List CSI'!$D$4:$J$146,G$1,0)</f>
        <v>02</v>
      </c>
      <c r="H73" s="1" t="str">
        <f>VLOOKUP($E73,'Activity List CSI'!$D$4:$J$146,H$1,0)</f>
        <v>EarthWork</v>
      </c>
      <c r="I73" s="1" t="str">
        <f>VLOOKUP(D73,'Activity List CSI'!$C$4:$H$146,6,0)</f>
        <v>02700</v>
      </c>
      <c r="J73" s="1" t="str">
        <f>VLOOKUP($E73,'Activity List CSI'!$D$4:$J$146,J$1,0)</f>
        <v>Bases, Ballast,Pavement &amp; Appurtenances</v>
      </c>
      <c r="K73" s="1" t="s">
        <v>693</v>
      </c>
      <c r="L73" s="1">
        <v>425</v>
      </c>
      <c r="M73" s="13" t="str">
        <f t="shared" si="3"/>
        <v>02700425</v>
      </c>
      <c r="N73" s="12" t="s">
        <v>712</v>
      </c>
    </row>
    <row r="74" spans="4:14" x14ac:dyDescent="0.25">
      <c r="D74" s="11" t="s">
        <v>241</v>
      </c>
      <c r="E74" s="1" t="str">
        <f>VLOOKUP(F74,'Activity List CSI'!$B$4:$D$146,3,0)</f>
        <v>02700-04</v>
      </c>
      <c r="F74" s="1" t="s">
        <v>42</v>
      </c>
      <c r="G74" s="1" t="str">
        <f>VLOOKUP($E74,'Activity List CSI'!$D$4:$J$146,G$1,0)</f>
        <v>02</v>
      </c>
      <c r="H74" s="1" t="str">
        <f>VLOOKUP($E74,'Activity List CSI'!$D$4:$J$146,H$1,0)</f>
        <v>EarthWork</v>
      </c>
      <c r="I74" s="1" t="str">
        <f>VLOOKUP(D74,'Activity List CSI'!$C$4:$H$146,6,0)</f>
        <v>02700</v>
      </c>
      <c r="J74" s="1" t="str">
        <f>VLOOKUP($E74,'Activity List CSI'!$D$4:$J$146,J$1,0)</f>
        <v>Bases, Ballast,Pavement &amp; Appurtenances</v>
      </c>
      <c r="K74" s="1" t="s">
        <v>695</v>
      </c>
      <c r="L74" s="1">
        <v>435</v>
      </c>
      <c r="M74" s="1" t="str">
        <f t="shared" si="3"/>
        <v>02700435</v>
      </c>
      <c r="N74" s="12" t="str">
        <f t="shared" ref="N74:N75" si="4">M74</f>
        <v>02700435</v>
      </c>
    </row>
    <row r="75" spans="4:14" x14ac:dyDescent="0.25">
      <c r="D75" s="11" t="s">
        <v>241</v>
      </c>
      <c r="E75" s="1" t="str">
        <f>VLOOKUP(F75,'Activity List CSI'!$B$4:$D$146,3,0)</f>
        <v>02700-04</v>
      </c>
      <c r="F75" s="1" t="s">
        <v>42</v>
      </c>
      <c r="G75" s="1" t="str">
        <f>VLOOKUP($E75,'Activity List CSI'!$D$4:$J$146,G$1,0)</f>
        <v>02</v>
      </c>
      <c r="H75" s="1" t="str">
        <f>VLOOKUP($E75,'Activity List CSI'!$D$4:$J$146,H$1,0)</f>
        <v>EarthWork</v>
      </c>
      <c r="I75" s="1" t="str">
        <f>VLOOKUP(D75,'Activity List CSI'!$C$4:$H$146,6,0)</f>
        <v>02700</v>
      </c>
      <c r="J75" s="1" t="str">
        <f>VLOOKUP($E75,'Activity List CSI'!$D$4:$J$146,J$1,0)</f>
        <v>Bases, Ballast,Pavement &amp; Appurtenances</v>
      </c>
      <c r="K75" s="1" t="s">
        <v>707</v>
      </c>
      <c r="L75" s="1">
        <v>410</v>
      </c>
      <c r="M75" s="1" t="str">
        <f t="shared" si="3"/>
        <v>02700410</v>
      </c>
      <c r="N75" s="12" t="str">
        <f t="shared" si="4"/>
        <v>02700410</v>
      </c>
    </row>
    <row r="76" spans="4:14" x14ac:dyDescent="0.25">
      <c r="D76" s="11" t="s">
        <v>242</v>
      </c>
      <c r="E76" s="1" t="str">
        <f>VLOOKUP(F76,'Activity List CSI'!$B$4:$D$146,3,0)</f>
        <v>02700-05</v>
      </c>
      <c r="F76" s="1" t="s">
        <v>43</v>
      </c>
      <c r="G76" s="1" t="str">
        <f>VLOOKUP($E76,'Activity List CSI'!$D$4:$J$146,G$1,0)</f>
        <v>02</v>
      </c>
      <c r="H76" s="1" t="str">
        <f>VLOOKUP($E76,'Activity List CSI'!$D$4:$J$146,H$1,0)</f>
        <v>EarthWork</v>
      </c>
      <c r="I76" s="1" t="str">
        <f>VLOOKUP(D76,'Activity List CSI'!$C$4:$H$146,6,0)</f>
        <v>02700</v>
      </c>
      <c r="J76" s="1" t="str">
        <f>VLOOKUP($E76,'Activity List CSI'!$D$4:$J$146,J$1,0)</f>
        <v>Bases, Ballast,Pavement &amp; Appurtenances</v>
      </c>
      <c r="K76" s="1" t="s">
        <v>690</v>
      </c>
      <c r="L76" s="1">
        <v>415</v>
      </c>
      <c r="M76" s="13" t="str">
        <f t="shared" si="3"/>
        <v>02700415</v>
      </c>
      <c r="N76" s="12" t="s">
        <v>710</v>
      </c>
    </row>
    <row r="77" spans="4:14" x14ac:dyDescent="0.25">
      <c r="D77" s="11" t="s">
        <v>242</v>
      </c>
      <c r="E77" s="1" t="str">
        <f>VLOOKUP(F77,'Activity List CSI'!$B$4:$D$146,3,0)</f>
        <v>02700-05</v>
      </c>
      <c r="F77" s="1" t="s">
        <v>43</v>
      </c>
      <c r="G77" s="1" t="str">
        <f>VLOOKUP($E77,'Activity List CSI'!$D$4:$J$146,G$1,0)</f>
        <v>02</v>
      </c>
      <c r="H77" s="1" t="str">
        <f>VLOOKUP($E77,'Activity List CSI'!$D$4:$J$146,H$1,0)</f>
        <v>EarthWork</v>
      </c>
      <c r="I77" s="1" t="str">
        <f>VLOOKUP(D77,'Activity List CSI'!$C$4:$H$146,6,0)</f>
        <v>02700</v>
      </c>
      <c r="J77" s="1" t="str">
        <f>VLOOKUP($E77,'Activity List CSI'!$D$4:$J$146,J$1,0)</f>
        <v>Bases, Ballast,Pavement &amp; Appurtenances</v>
      </c>
      <c r="K77" s="1" t="s">
        <v>695</v>
      </c>
      <c r="L77" s="1">
        <v>435</v>
      </c>
      <c r="M77" s="1" t="str">
        <f t="shared" si="3"/>
        <v>02700435</v>
      </c>
      <c r="N77" s="12" t="str">
        <f t="shared" ref="N77:N79" si="5">M77</f>
        <v>02700435</v>
      </c>
    </row>
    <row r="78" spans="4:14" x14ac:dyDescent="0.25">
      <c r="D78" s="11" t="s">
        <v>242</v>
      </c>
      <c r="E78" s="1" t="str">
        <f>VLOOKUP(F78,'Activity List CSI'!$B$4:$D$146,3,0)</f>
        <v>02700-05</v>
      </c>
      <c r="F78" s="1" t="s">
        <v>43</v>
      </c>
      <c r="G78" s="1" t="str">
        <f>VLOOKUP($E78,'Activity List CSI'!$D$4:$J$146,G$1,0)</f>
        <v>02</v>
      </c>
      <c r="H78" s="1" t="str">
        <f>VLOOKUP($E78,'Activity List CSI'!$D$4:$J$146,H$1,0)</f>
        <v>EarthWork</v>
      </c>
      <c r="I78" s="1" t="str">
        <f>VLOOKUP(D78,'Activity List CSI'!$C$4:$H$146,6,0)</f>
        <v>02700</v>
      </c>
      <c r="J78" s="1" t="str">
        <f>VLOOKUP($E78,'Activity List CSI'!$D$4:$J$146,J$1,0)</f>
        <v>Bases, Ballast,Pavement &amp; Appurtenances</v>
      </c>
      <c r="K78" s="1" t="s">
        <v>707</v>
      </c>
      <c r="L78" s="1">
        <v>410</v>
      </c>
      <c r="M78" s="1" t="str">
        <f t="shared" si="3"/>
        <v>02700410</v>
      </c>
      <c r="N78" s="12" t="str">
        <f t="shared" si="5"/>
        <v>02700410</v>
      </c>
    </row>
    <row r="79" spans="4:14" x14ac:dyDescent="0.25">
      <c r="D79" s="11" t="s">
        <v>243</v>
      </c>
      <c r="E79" s="1" t="str">
        <f>VLOOKUP(F79,'Activity List CSI'!$B$4:$D$146,3,0)</f>
        <v>02700-06</v>
      </c>
      <c r="F79" s="1" t="s">
        <v>44</v>
      </c>
      <c r="G79" s="1" t="str">
        <f>VLOOKUP($E79,'Activity List CSI'!$D$4:$J$146,G$1,0)</f>
        <v>02</v>
      </c>
      <c r="H79" s="1" t="str">
        <f>VLOOKUP($E79,'Activity List CSI'!$D$4:$J$146,H$1,0)</f>
        <v>EarthWork</v>
      </c>
      <c r="I79" s="1" t="str">
        <f>VLOOKUP(D79,'Activity List CSI'!$C$4:$H$146,6,0)</f>
        <v>02700</v>
      </c>
      <c r="J79" s="1" t="str">
        <f>VLOOKUP($E79,'Activity List CSI'!$D$4:$J$146,J$1,0)</f>
        <v>Bases, Ballast,Pavement &amp; Appurtenances</v>
      </c>
      <c r="K79" s="1" t="s">
        <v>697</v>
      </c>
      <c r="L79" s="1">
        <v>415</v>
      </c>
      <c r="M79" s="1" t="str">
        <f t="shared" si="3"/>
        <v>02700415</v>
      </c>
      <c r="N79" s="12" t="str">
        <f t="shared" si="5"/>
        <v>02700415</v>
      </c>
    </row>
    <row r="80" spans="4:14" x14ac:dyDescent="0.25">
      <c r="D80" s="11" t="s">
        <v>244</v>
      </c>
      <c r="E80" s="1" t="str">
        <f>VLOOKUP(F80,'Activity List CSI'!$B$4:$D$146,3,0)</f>
        <v>02700-07</v>
      </c>
      <c r="F80" s="1" t="s">
        <v>45</v>
      </c>
      <c r="G80" s="1" t="str">
        <f>VLOOKUP($E80,'Activity List CSI'!$D$4:$J$146,G$1,0)</f>
        <v>02</v>
      </c>
      <c r="H80" s="1" t="str">
        <f>VLOOKUP($E80,'Activity List CSI'!$D$4:$J$146,H$1,0)</f>
        <v>EarthWork</v>
      </c>
      <c r="I80" s="1" t="str">
        <f>VLOOKUP(D80,'Activity List CSI'!$C$4:$H$146,6,0)</f>
        <v>02700</v>
      </c>
      <c r="J80" s="1" t="str">
        <f>VLOOKUP($E80,'Activity List CSI'!$D$4:$J$146,J$1,0)</f>
        <v>Bases, Ballast,Pavement &amp; Appurtenances</v>
      </c>
      <c r="K80" s="1" t="s">
        <v>691</v>
      </c>
      <c r="L80" s="1">
        <v>420</v>
      </c>
      <c r="M80" s="1" t="str">
        <f t="shared" si="3"/>
        <v>02700420</v>
      </c>
      <c r="N80" s="12" t="s">
        <v>711</v>
      </c>
    </row>
    <row r="81" spans="4:14" x14ac:dyDescent="0.25">
      <c r="D81" s="11" t="s">
        <v>244</v>
      </c>
      <c r="E81" s="1" t="str">
        <f>VLOOKUP(F81,'Activity List CSI'!$B$4:$D$146,3,0)</f>
        <v>02700-07</v>
      </c>
      <c r="F81" s="1" t="s">
        <v>45</v>
      </c>
      <c r="G81" s="1" t="str">
        <f>VLOOKUP($E81,'Activity List CSI'!$D$4:$J$146,G$1,0)</f>
        <v>02</v>
      </c>
      <c r="H81" s="1" t="str">
        <f>VLOOKUP($E81,'Activity List CSI'!$D$4:$J$146,H$1,0)</f>
        <v>EarthWork</v>
      </c>
      <c r="I81" s="1" t="str">
        <f>VLOOKUP(D81,'Activity List CSI'!$C$4:$H$146,6,0)</f>
        <v>02700</v>
      </c>
      <c r="J81" s="1" t="str">
        <f>VLOOKUP($E81,'Activity List CSI'!$D$4:$J$146,J$1,0)</f>
        <v>Bases, Ballast,Pavement &amp; Appurtenances</v>
      </c>
      <c r="K81" s="1" t="s">
        <v>698</v>
      </c>
      <c r="L81" s="1">
        <v>425</v>
      </c>
      <c r="M81" s="1" t="str">
        <f t="shared" si="3"/>
        <v>02700425</v>
      </c>
      <c r="N81" s="12" t="str">
        <f t="shared" ref="N81:N83" si="6">M81</f>
        <v>02700425</v>
      </c>
    </row>
    <row r="82" spans="4:14" x14ac:dyDescent="0.25">
      <c r="D82" s="11" t="s">
        <v>244</v>
      </c>
      <c r="E82" s="1" t="str">
        <f>VLOOKUP(F82,'Activity List CSI'!$B$4:$D$146,3,0)</f>
        <v>02700-07</v>
      </c>
      <c r="F82" s="1" t="s">
        <v>45</v>
      </c>
      <c r="G82" s="1" t="str">
        <f>VLOOKUP($E82,'Activity List CSI'!$D$4:$J$146,G$1,0)</f>
        <v>02</v>
      </c>
      <c r="H82" s="1" t="str">
        <f>VLOOKUP($E82,'Activity List CSI'!$D$4:$J$146,H$1,0)</f>
        <v>EarthWork</v>
      </c>
      <c r="I82" s="1" t="str">
        <f>VLOOKUP(D82,'Activity List CSI'!$C$4:$H$146,6,0)</f>
        <v>02700</v>
      </c>
      <c r="J82" s="1" t="str">
        <f>VLOOKUP($E82,'Activity List CSI'!$D$4:$J$146,J$1,0)</f>
        <v>Bases, Ballast,Pavement &amp; Appurtenances</v>
      </c>
      <c r="K82" s="1" t="s">
        <v>707</v>
      </c>
      <c r="L82" s="1">
        <v>410</v>
      </c>
      <c r="M82" s="1" t="str">
        <f t="shared" si="3"/>
        <v>02700410</v>
      </c>
      <c r="N82" s="12" t="str">
        <f t="shared" si="6"/>
        <v>02700410</v>
      </c>
    </row>
    <row r="83" spans="4:14" x14ac:dyDescent="0.25">
      <c r="D83" s="11" t="s">
        <v>245</v>
      </c>
      <c r="E83" s="1" t="str">
        <f>VLOOKUP(F83,'Activity List CSI'!$B$4:$D$146,3,0)</f>
        <v>02700-08</v>
      </c>
      <c r="F83" s="1" t="s">
        <v>46</v>
      </c>
      <c r="G83" s="1" t="str">
        <f>VLOOKUP($E83,'Activity List CSI'!$D$4:$J$146,G$1,0)</f>
        <v>02</v>
      </c>
      <c r="H83" s="1" t="str">
        <f>VLOOKUP($E83,'Activity List CSI'!$D$4:$J$146,H$1,0)</f>
        <v>EarthWork</v>
      </c>
      <c r="I83" s="1" t="str">
        <f>VLOOKUP(D83,'Activity List CSI'!$C$4:$H$146,6,0)</f>
        <v>02700</v>
      </c>
      <c r="J83" s="1" t="str">
        <f>VLOOKUP($E83,'Activity List CSI'!$D$4:$J$146,J$1,0)</f>
        <v>Bases, Ballast,Pavement &amp; Appurtenances</v>
      </c>
      <c r="K83" s="1" t="s">
        <v>699</v>
      </c>
      <c r="L83" s="1">
        <v>420</v>
      </c>
      <c r="M83" s="1" t="str">
        <f t="shared" si="3"/>
        <v>02700420</v>
      </c>
      <c r="N83" s="12" t="str">
        <f t="shared" si="6"/>
        <v>02700420</v>
      </c>
    </row>
    <row r="84" spans="4:14" x14ac:dyDescent="0.25">
      <c r="D84" s="11" t="s">
        <v>246</v>
      </c>
      <c r="E84" s="1" t="str">
        <f>VLOOKUP(F84,'Activity List CSI'!$B$4:$D$146,3,0)</f>
        <v>02700-09</v>
      </c>
      <c r="F84" s="1" t="s">
        <v>47</v>
      </c>
      <c r="G84" s="1" t="str">
        <f>VLOOKUP($E84,'Activity List CSI'!$D$4:$J$146,G$1,0)</f>
        <v>02</v>
      </c>
      <c r="H84" s="1" t="str">
        <f>VLOOKUP($E84,'Activity List CSI'!$D$4:$J$146,H$1,0)</f>
        <v>EarthWork</v>
      </c>
      <c r="I84" s="1" t="str">
        <f>VLOOKUP(D84,'Activity List CSI'!$C$4:$H$146,6,0)</f>
        <v>02700</v>
      </c>
      <c r="J84" s="1" t="str">
        <f>VLOOKUP($E84,'Activity List CSI'!$D$4:$J$146,J$1,0)</f>
        <v>Bases, Ballast,Pavement &amp; Appurtenances</v>
      </c>
      <c r="K84" s="1" t="s">
        <v>691</v>
      </c>
      <c r="L84" s="1">
        <v>420</v>
      </c>
      <c r="M84" s="1" t="str">
        <f t="shared" si="3"/>
        <v>02700420</v>
      </c>
      <c r="N84" s="12" t="s">
        <v>711</v>
      </c>
    </row>
    <row r="85" spans="4:14" x14ac:dyDescent="0.25">
      <c r="D85" s="11" t="s">
        <v>246</v>
      </c>
      <c r="E85" s="1" t="str">
        <f>VLOOKUP(F85,'Activity List CSI'!$B$4:$D$146,3,0)</f>
        <v>02700-09</v>
      </c>
      <c r="F85" s="1" t="s">
        <v>47</v>
      </c>
      <c r="G85" s="1" t="str">
        <f>VLOOKUP($E85,'Activity List CSI'!$D$4:$J$146,G$1,0)</f>
        <v>02</v>
      </c>
      <c r="H85" s="1" t="str">
        <f>VLOOKUP($E85,'Activity List CSI'!$D$4:$J$146,H$1,0)</f>
        <v>EarthWork</v>
      </c>
      <c r="I85" s="1" t="str">
        <f>VLOOKUP(D85,'Activity List CSI'!$C$4:$H$146,6,0)</f>
        <v>02700</v>
      </c>
      <c r="J85" s="1" t="str">
        <f>VLOOKUP($E85,'Activity List CSI'!$D$4:$J$146,J$1,0)</f>
        <v>Bases, Ballast,Pavement &amp; Appurtenances</v>
      </c>
      <c r="K85" s="1" t="s">
        <v>698</v>
      </c>
      <c r="L85" s="1">
        <v>425</v>
      </c>
      <c r="M85" s="1" t="str">
        <f t="shared" si="3"/>
        <v>02700425</v>
      </c>
      <c r="N85" s="12" t="str">
        <f t="shared" ref="N85:N87" si="7">M85</f>
        <v>02700425</v>
      </c>
    </row>
    <row r="86" spans="4:14" x14ac:dyDescent="0.25">
      <c r="D86" s="11" t="s">
        <v>246</v>
      </c>
      <c r="E86" s="1" t="str">
        <f>VLOOKUP(F86,'Activity List CSI'!$B$4:$D$146,3,0)</f>
        <v>02700-09</v>
      </c>
      <c r="F86" s="1" t="s">
        <v>47</v>
      </c>
      <c r="G86" s="1" t="str">
        <f>VLOOKUP($E86,'Activity List CSI'!$D$4:$J$146,G$1,0)</f>
        <v>02</v>
      </c>
      <c r="H86" s="1" t="str">
        <f>VLOOKUP($E86,'Activity List CSI'!$D$4:$J$146,H$1,0)</f>
        <v>EarthWork</v>
      </c>
      <c r="I86" s="1" t="str">
        <f>VLOOKUP(D86,'Activity List CSI'!$C$4:$H$146,6,0)</f>
        <v>02700</v>
      </c>
      <c r="J86" s="1" t="str">
        <f>VLOOKUP($E86,'Activity List CSI'!$D$4:$J$146,J$1,0)</f>
        <v>Bases, Ballast,Pavement &amp; Appurtenances</v>
      </c>
      <c r="K86" s="1" t="s">
        <v>707</v>
      </c>
      <c r="L86" s="1">
        <v>410</v>
      </c>
      <c r="M86" s="1" t="str">
        <f t="shared" si="3"/>
        <v>02700410</v>
      </c>
      <c r="N86" s="12" t="str">
        <f t="shared" si="7"/>
        <v>02700410</v>
      </c>
    </row>
    <row r="87" spans="4:14" x14ac:dyDescent="0.25">
      <c r="D87" s="11" t="s">
        <v>247</v>
      </c>
      <c r="E87" s="1" t="str">
        <f>VLOOKUP(F87,'Activity List CSI'!$B$4:$D$146,3,0)</f>
        <v>09900-04</v>
      </c>
      <c r="F87" s="1" t="s">
        <v>48</v>
      </c>
      <c r="G87" s="1" t="str">
        <f>VLOOKUP($E87,'Activity List CSI'!$D$4:$J$146,G$1,0)</f>
        <v>02</v>
      </c>
      <c r="H87" s="1" t="str">
        <f>VLOOKUP($E87,'Activity List CSI'!$D$4:$J$146,H$1,0)</f>
        <v>EarthWork</v>
      </c>
      <c r="I87" s="1" t="str">
        <f>VLOOKUP(D87,'Activity List CSI'!$C$4:$H$146,6,0)</f>
        <v>09900</v>
      </c>
      <c r="J87" s="1" t="str">
        <f>VLOOKUP($E87,'Activity List CSI'!$D$4:$J$146,J$1,0)</f>
        <v>Paints &amp; Coatings</v>
      </c>
      <c r="K87" s="1" t="s">
        <v>700</v>
      </c>
      <c r="L87" s="1">
        <v>405</v>
      </c>
      <c r="M87" s="1" t="str">
        <f t="shared" si="3"/>
        <v>09900405</v>
      </c>
      <c r="N87" s="12" t="str">
        <f t="shared" si="7"/>
        <v>09900405</v>
      </c>
    </row>
    <row r="88" spans="4:14" x14ac:dyDescent="0.25">
      <c r="D88" s="11" t="s">
        <v>248</v>
      </c>
      <c r="E88" s="1" t="str">
        <f>VLOOKUP(F88,'Activity List CSI'!$B$4:$D$146,3,0)</f>
        <v>02700-10</v>
      </c>
      <c r="F88" s="1" t="s">
        <v>49</v>
      </c>
      <c r="G88" s="1" t="str">
        <f>VLOOKUP($E88,'Activity List CSI'!$D$4:$J$146,G$1,0)</f>
        <v>02</v>
      </c>
      <c r="H88" s="1" t="str">
        <f>VLOOKUP($E88,'Activity List CSI'!$D$4:$J$146,H$1,0)</f>
        <v>EarthWork</v>
      </c>
      <c r="I88" s="1" t="str">
        <f>VLOOKUP(D88,'Activity List CSI'!$C$4:$H$146,6,0)</f>
        <v>02700</v>
      </c>
      <c r="J88" s="1" t="str">
        <f>VLOOKUP($E88,'Activity List CSI'!$D$4:$J$146,J$1,0)</f>
        <v>Bases, Ballast,Pavement &amp; Appurtenances</v>
      </c>
      <c r="K88" s="1" t="s">
        <v>708</v>
      </c>
      <c r="L88" s="1">
        <v>405</v>
      </c>
      <c r="M88" s="13" t="str">
        <f t="shared" si="3"/>
        <v>02700405</v>
      </c>
      <c r="N88" s="12" t="s">
        <v>714</v>
      </c>
    </row>
    <row r="89" spans="4:14" x14ac:dyDescent="0.25">
      <c r="D89" s="11" t="s">
        <v>251</v>
      </c>
      <c r="E89" s="1" t="str">
        <f>VLOOKUP(F89,'Activity List CSI'!$B$4:$D$146,3,0)</f>
        <v>02200-01</v>
      </c>
      <c r="F89" s="1" t="s">
        <v>1</v>
      </c>
      <c r="G89" s="1" t="str">
        <f>VLOOKUP($E89,'Activity List CSI'!$D$4:$J$146,G$1,0)</f>
        <v>02</v>
      </c>
      <c r="H89" s="1" t="str">
        <f>VLOOKUP($E89,'Activity List CSI'!$D$4:$J$146,H$1,0)</f>
        <v>EarthWork</v>
      </c>
      <c r="I89" s="1" t="str">
        <f>VLOOKUP(D89,'Activity List CSI'!$C$4:$H$146,6,0)</f>
        <v>02200</v>
      </c>
      <c r="J89" s="1" t="str">
        <f>VLOOKUP($E89,'Activity List CSI'!$D$4:$J$146,J$1,0)</f>
        <v>Site Prepartion</v>
      </c>
      <c r="K89" s="1" t="s">
        <v>701</v>
      </c>
      <c r="L89" s="1">
        <v>405</v>
      </c>
      <c r="M89" s="1" t="str">
        <f t="shared" si="3"/>
        <v>02200405</v>
      </c>
      <c r="N89" s="12" t="str">
        <f>M89</f>
        <v>02200405</v>
      </c>
    </row>
    <row r="90" spans="4:14" x14ac:dyDescent="0.25">
      <c r="D90" s="11" t="s">
        <v>251</v>
      </c>
      <c r="E90" s="1" t="str">
        <f>VLOOKUP(F90,'Activity List CSI'!$B$4:$D$146,3,0)</f>
        <v>02200-01</v>
      </c>
      <c r="F90" s="1" t="s">
        <v>1</v>
      </c>
      <c r="G90" s="1" t="str">
        <f>VLOOKUP($E90,'Activity List CSI'!$D$4:$J$146,G$1,0)</f>
        <v>02</v>
      </c>
      <c r="H90" s="1" t="str">
        <f>VLOOKUP($E90,'Activity List CSI'!$D$4:$J$146,H$1,0)</f>
        <v>EarthWork</v>
      </c>
      <c r="I90" s="1" t="str">
        <f>VLOOKUP(D90,'Activity List CSI'!$C$4:$H$146,6,0)</f>
        <v>02200</v>
      </c>
      <c r="J90" s="1" t="str">
        <f>VLOOKUP($E90,'Activity List CSI'!$D$4:$J$146,J$1,0)</f>
        <v>Site Prepartion</v>
      </c>
      <c r="K90" s="1" t="s">
        <v>690</v>
      </c>
      <c r="L90" s="1">
        <v>415</v>
      </c>
      <c r="M90" s="13" t="str">
        <f t="shared" si="3"/>
        <v>02200415</v>
      </c>
      <c r="N90" s="12" t="s">
        <v>710</v>
      </c>
    </row>
    <row r="91" spans="4:14" x14ac:dyDescent="0.25">
      <c r="D91" s="11" t="s">
        <v>251</v>
      </c>
      <c r="E91" s="1" t="str">
        <f>VLOOKUP(F91,'Activity List CSI'!$B$4:$D$146,3,0)</f>
        <v>02200-01</v>
      </c>
      <c r="F91" s="1" t="s">
        <v>1</v>
      </c>
      <c r="G91" s="1" t="str">
        <f>VLOOKUP($E91,'Activity List CSI'!$D$4:$J$146,G$1,0)</f>
        <v>02</v>
      </c>
      <c r="H91" s="1" t="str">
        <f>VLOOKUP($E91,'Activity List CSI'!$D$4:$J$146,H$1,0)</f>
        <v>EarthWork</v>
      </c>
      <c r="I91" s="1" t="str">
        <f>VLOOKUP(D91,'Activity List CSI'!$C$4:$H$146,6,0)</f>
        <v>02200</v>
      </c>
      <c r="J91" s="1" t="str">
        <f>VLOOKUP($E91,'Activity List CSI'!$D$4:$J$146,J$1,0)</f>
        <v>Site Prepartion</v>
      </c>
      <c r="K91" s="1" t="s">
        <v>691</v>
      </c>
      <c r="L91" s="1">
        <v>420</v>
      </c>
      <c r="M91" s="1" t="str">
        <f t="shared" si="3"/>
        <v>02200420</v>
      </c>
      <c r="N91" s="12" t="s">
        <v>711</v>
      </c>
    </row>
    <row r="92" spans="4:14" x14ac:dyDescent="0.25">
      <c r="D92" s="11" t="s">
        <v>252</v>
      </c>
      <c r="E92" s="1" t="str">
        <f>VLOOKUP(F92,'Activity List CSI'!$B$4:$D$146,3,0)</f>
        <v>02200-02</v>
      </c>
      <c r="F92" s="1" t="s">
        <v>53</v>
      </c>
      <c r="G92" s="1" t="str">
        <f>VLOOKUP($E92,'Activity List CSI'!$D$4:$J$146,G$1,0)</f>
        <v>02</v>
      </c>
      <c r="H92" s="1" t="str">
        <f>VLOOKUP($E92,'Activity List CSI'!$D$4:$J$146,H$1,0)</f>
        <v>EarthWork</v>
      </c>
      <c r="I92" s="1" t="str">
        <f>VLOOKUP(D92,'Activity List CSI'!$C$4:$H$146,6,0)</f>
        <v>02200</v>
      </c>
      <c r="J92" s="1" t="str">
        <f>VLOOKUP($E92,'Activity List CSI'!$D$4:$J$146,J$1,0)</f>
        <v>Site Prepartion</v>
      </c>
      <c r="K92" s="1" t="s">
        <v>701</v>
      </c>
      <c r="L92" s="1">
        <v>405</v>
      </c>
      <c r="M92" s="1" t="str">
        <f t="shared" si="3"/>
        <v>02200405</v>
      </c>
      <c r="N92" s="12" t="str">
        <f>M92</f>
        <v>02200405</v>
      </c>
    </row>
    <row r="93" spans="4:14" x14ac:dyDescent="0.25">
      <c r="D93" s="11" t="s">
        <v>252</v>
      </c>
      <c r="E93" s="1" t="str">
        <f>VLOOKUP(F93,'Activity List CSI'!$B$4:$D$146,3,0)</f>
        <v>02200-02</v>
      </c>
      <c r="F93" s="1" t="s">
        <v>53</v>
      </c>
      <c r="G93" s="1" t="str">
        <f>VLOOKUP($E93,'Activity List CSI'!$D$4:$J$146,G$1,0)</f>
        <v>02</v>
      </c>
      <c r="H93" s="1" t="str">
        <f>VLOOKUP($E93,'Activity List CSI'!$D$4:$J$146,H$1,0)</f>
        <v>EarthWork</v>
      </c>
      <c r="I93" s="1" t="str">
        <f>VLOOKUP(D93,'Activity List CSI'!$C$4:$H$146,6,0)</f>
        <v>02200</v>
      </c>
      <c r="J93" s="1" t="str">
        <f>VLOOKUP($E93,'Activity List CSI'!$D$4:$J$146,J$1,0)</f>
        <v>Site Prepartion</v>
      </c>
      <c r="K93" s="1" t="s">
        <v>690</v>
      </c>
      <c r="L93" s="1">
        <v>415</v>
      </c>
      <c r="M93" s="13" t="str">
        <f t="shared" si="3"/>
        <v>02200415</v>
      </c>
      <c r="N93" s="12" t="s">
        <v>710</v>
      </c>
    </row>
    <row r="94" spans="4:14" x14ac:dyDescent="0.25">
      <c r="D94" s="11" t="s">
        <v>252</v>
      </c>
      <c r="E94" s="1" t="str">
        <f>VLOOKUP(F94,'Activity List CSI'!$B$4:$D$146,3,0)</f>
        <v>02200-02</v>
      </c>
      <c r="F94" s="1" t="s">
        <v>53</v>
      </c>
      <c r="G94" s="1" t="str">
        <f>VLOOKUP($E94,'Activity List CSI'!$D$4:$J$146,G$1,0)</f>
        <v>02</v>
      </c>
      <c r="H94" s="1" t="str">
        <f>VLOOKUP($E94,'Activity List CSI'!$D$4:$J$146,H$1,0)</f>
        <v>EarthWork</v>
      </c>
      <c r="I94" s="1" t="str">
        <f>VLOOKUP(D94,'Activity List CSI'!$C$4:$H$146,6,0)</f>
        <v>02200</v>
      </c>
      <c r="J94" s="1" t="str">
        <f>VLOOKUP($E94,'Activity List CSI'!$D$4:$J$146,J$1,0)</f>
        <v>Site Prepartion</v>
      </c>
      <c r="K94" s="1" t="s">
        <v>691</v>
      </c>
      <c r="L94" s="1">
        <v>420</v>
      </c>
      <c r="M94" s="1" t="str">
        <f t="shared" si="3"/>
        <v>02200420</v>
      </c>
      <c r="N94" s="12" t="s">
        <v>711</v>
      </c>
    </row>
    <row r="95" spans="4:14" x14ac:dyDescent="0.25">
      <c r="D95" s="11" t="s">
        <v>259</v>
      </c>
      <c r="E95" s="1" t="str">
        <f>VLOOKUP(F95,'Activity List CSI'!$B$4:$D$146,3,0)</f>
        <v>02200-03</v>
      </c>
      <c r="F95" s="1" t="s">
        <v>64</v>
      </c>
      <c r="G95" s="1" t="str">
        <f>VLOOKUP($E95,'Activity List CSI'!$D$4:$J$146,G$1,0)</f>
        <v>02</v>
      </c>
      <c r="H95" s="1" t="str">
        <f>VLOOKUP($E95,'Activity List CSI'!$D$4:$J$146,H$1,0)</f>
        <v>EarthWork</v>
      </c>
      <c r="I95" s="1" t="str">
        <f>VLOOKUP(D95,'Activity List CSI'!$C$4:$H$146,6,0)</f>
        <v>02200</v>
      </c>
      <c r="J95" s="1" t="str">
        <f>VLOOKUP($E95,'Activity List CSI'!$D$4:$J$146,J$1,0)</f>
        <v>Site Prepartion</v>
      </c>
      <c r="K95" s="1" t="s">
        <v>690</v>
      </c>
      <c r="L95" s="1">
        <v>415</v>
      </c>
      <c r="M95" s="13" t="str">
        <f t="shared" si="3"/>
        <v>02200415</v>
      </c>
      <c r="N95" s="12" t="s">
        <v>710</v>
      </c>
    </row>
    <row r="96" spans="4:14" x14ac:dyDescent="0.25">
      <c r="D96" s="11" t="s">
        <v>259</v>
      </c>
      <c r="E96" s="1" t="str">
        <f>VLOOKUP(F96,'Activity List CSI'!$B$4:$D$146,3,0)</f>
        <v>02200-03</v>
      </c>
      <c r="F96" s="1" t="s">
        <v>64</v>
      </c>
      <c r="G96" s="1" t="str">
        <f>VLOOKUP($E96,'Activity List CSI'!$D$4:$J$146,G$1,0)</f>
        <v>02</v>
      </c>
      <c r="H96" s="1" t="str">
        <f>VLOOKUP($E96,'Activity List CSI'!$D$4:$J$146,H$1,0)</f>
        <v>EarthWork</v>
      </c>
      <c r="I96" s="1" t="str">
        <f>VLOOKUP(D96,'Activity List CSI'!$C$4:$H$146,6,0)</f>
        <v>02200</v>
      </c>
      <c r="J96" s="1" t="str">
        <f>VLOOKUP($E96,'Activity List CSI'!$D$4:$J$146,J$1,0)</f>
        <v>Site Prepartion</v>
      </c>
      <c r="K96" s="1" t="s">
        <v>691</v>
      </c>
      <c r="L96" s="1">
        <v>420</v>
      </c>
      <c r="M96" s="1" t="str">
        <f t="shared" si="3"/>
        <v>02200420</v>
      </c>
      <c r="N96" s="12" t="s">
        <v>711</v>
      </c>
    </row>
    <row r="97" spans="4:14" x14ac:dyDescent="0.25">
      <c r="D97" s="11" t="s">
        <v>259</v>
      </c>
      <c r="E97" s="1" t="str">
        <f>VLOOKUP(F97,'Activity List CSI'!$B$4:$D$146,3,0)</f>
        <v>02200-03</v>
      </c>
      <c r="F97" s="1" t="s">
        <v>64</v>
      </c>
      <c r="G97" s="1" t="str">
        <f>VLOOKUP($E97,'Activity List CSI'!$D$4:$J$146,G$1,0)</f>
        <v>02</v>
      </c>
      <c r="H97" s="1" t="str">
        <f>VLOOKUP($E97,'Activity List CSI'!$D$4:$J$146,H$1,0)</f>
        <v>EarthWork</v>
      </c>
      <c r="I97" s="1" t="str">
        <f>VLOOKUP(D97,'Activity List CSI'!$C$4:$H$146,6,0)</f>
        <v>02200</v>
      </c>
      <c r="J97" s="1" t="str">
        <f>VLOOKUP($E97,'Activity List CSI'!$D$4:$J$146,J$1,0)</f>
        <v>Site Prepartion</v>
      </c>
      <c r="K97" s="1" t="s">
        <v>708</v>
      </c>
      <c r="L97" s="1">
        <v>405</v>
      </c>
      <c r="M97" s="13" t="str">
        <f t="shared" si="3"/>
        <v>02200405</v>
      </c>
      <c r="N97" s="12" t="s">
        <v>714</v>
      </c>
    </row>
    <row r="98" spans="4:14" x14ac:dyDescent="0.25">
      <c r="D98" s="11" t="s">
        <v>260</v>
      </c>
      <c r="E98" s="1" t="str">
        <f>VLOOKUP(F98,'Activity List CSI'!$B$4:$D$146,3,0)</f>
        <v>02200-04</v>
      </c>
      <c r="F98" s="1" t="s">
        <v>67</v>
      </c>
      <c r="G98" s="1" t="str">
        <f>VLOOKUP($E98,'Activity List CSI'!$D$4:$J$146,G$1,0)</f>
        <v>02</v>
      </c>
      <c r="H98" s="1" t="str">
        <f>VLOOKUP($E98,'Activity List CSI'!$D$4:$J$146,H$1,0)</f>
        <v>EarthWork</v>
      </c>
      <c r="I98" s="1" t="str">
        <f>VLOOKUP(D98,'Activity List CSI'!$C$4:$H$146,6,0)</f>
        <v>02200</v>
      </c>
      <c r="J98" s="1" t="str">
        <f>VLOOKUP($E98,'Activity List CSI'!$D$4:$J$146,J$1,0)</f>
        <v>Site Prepartion</v>
      </c>
      <c r="K98" s="1" t="s">
        <v>690</v>
      </c>
      <c r="L98" s="1">
        <v>415</v>
      </c>
      <c r="M98" s="13" t="str">
        <f t="shared" si="3"/>
        <v>02200415</v>
      </c>
      <c r="N98" s="12" t="s">
        <v>710</v>
      </c>
    </row>
    <row r="99" spans="4:14" x14ac:dyDescent="0.25">
      <c r="D99" s="11" t="s">
        <v>261</v>
      </c>
      <c r="E99" s="1" t="str">
        <f>VLOOKUP(F99,'Activity List CSI'!$B$4:$D$146,3,0)</f>
        <v>02200-05</v>
      </c>
      <c r="F99" s="1" t="s">
        <v>69</v>
      </c>
      <c r="G99" s="1" t="str">
        <f>VLOOKUP($E99,'Activity List CSI'!$D$4:$J$146,G$1,0)</f>
        <v>02</v>
      </c>
      <c r="H99" s="1" t="str">
        <f>VLOOKUP($E99,'Activity List CSI'!$D$4:$J$146,H$1,0)</f>
        <v>EarthWork</v>
      </c>
      <c r="I99" s="1" t="str">
        <f>VLOOKUP(D99,'Activity List CSI'!$C$4:$H$146,6,0)</f>
        <v>02200</v>
      </c>
      <c r="J99" s="1" t="str">
        <f>VLOOKUP($E99,'Activity List CSI'!$D$4:$J$146,J$1,0)</f>
        <v>Site Prepartion</v>
      </c>
      <c r="K99" s="1" t="s">
        <v>688</v>
      </c>
      <c r="L99" s="1">
        <v>405</v>
      </c>
      <c r="M99" s="13" t="str">
        <f t="shared" si="3"/>
        <v>02200405</v>
      </c>
      <c r="N99" s="12" t="s">
        <v>709</v>
      </c>
    </row>
    <row r="100" spans="4:14" x14ac:dyDescent="0.25">
      <c r="D100" s="11" t="s">
        <v>261</v>
      </c>
      <c r="E100" s="1" t="str">
        <f>VLOOKUP(F100,'Activity List CSI'!$B$4:$D$146,3,0)</f>
        <v>02200-05</v>
      </c>
      <c r="F100" s="1" t="s">
        <v>69</v>
      </c>
      <c r="G100" s="1" t="str">
        <f>VLOOKUP($E100,'Activity List CSI'!$D$4:$J$146,G$1,0)</f>
        <v>02</v>
      </c>
      <c r="H100" s="1" t="str">
        <f>VLOOKUP($E100,'Activity List CSI'!$D$4:$J$146,H$1,0)</f>
        <v>EarthWork</v>
      </c>
      <c r="I100" s="1" t="str">
        <f>VLOOKUP(D100,'Activity List CSI'!$C$4:$H$146,6,0)</f>
        <v>02200</v>
      </c>
      <c r="J100" s="1" t="str">
        <f>VLOOKUP($E100,'Activity List CSI'!$D$4:$J$146,J$1,0)</f>
        <v>Site Prepartion</v>
      </c>
      <c r="K100" s="1" t="s">
        <v>689</v>
      </c>
      <c r="L100" s="1">
        <v>410</v>
      </c>
      <c r="M100" s="13" t="str">
        <f t="shared" si="3"/>
        <v>02200410</v>
      </c>
      <c r="N100" s="12" t="s">
        <v>795</v>
      </c>
    </row>
    <row r="101" spans="4:14" x14ac:dyDescent="0.25">
      <c r="D101" s="11" t="s">
        <v>75</v>
      </c>
      <c r="E101" s="1" t="str">
        <f>VLOOKUP(F101,'Activity List CSI'!$B$4:$D$146,3,0)</f>
        <v>03300-01</v>
      </c>
      <c r="F101" s="1" t="s">
        <v>76</v>
      </c>
      <c r="G101" s="1" t="str">
        <f>VLOOKUP($E101,'Activity List CSI'!$D$4:$J$146,G$1,0)</f>
        <v>03</v>
      </c>
      <c r="H101" s="1" t="str">
        <f>VLOOKUP($E101,'Activity List CSI'!$D$4:$J$146,H$1,0)</f>
        <v>ConcreteWork</v>
      </c>
      <c r="I101" s="1" t="str">
        <f>VLOOKUP(D101,'Activity List CSI'!$C$4:$H$146,6,0)</f>
        <v>03300</v>
      </c>
      <c r="J101" s="1" t="str">
        <f>VLOOKUP($E101,'Activity List CSI'!$D$4:$J$146,J$1,0)</f>
        <v>Cast-In-Place Concrete</v>
      </c>
      <c r="K101" s="1" t="s">
        <v>702</v>
      </c>
      <c r="L101" s="1">
        <v>405</v>
      </c>
      <c r="M101" s="1" t="str">
        <f t="shared" si="3"/>
        <v>03300405</v>
      </c>
      <c r="N101" s="12" t="str">
        <f t="shared" ref="N101:N146" si="8">M101</f>
        <v>03300405</v>
      </c>
    </row>
    <row r="102" spans="4:14" x14ac:dyDescent="0.25">
      <c r="D102" s="11" t="s">
        <v>75</v>
      </c>
      <c r="E102" s="1" t="str">
        <f>VLOOKUP(F102,'Activity List CSI'!$B$4:$D$146,3,0)</f>
        <v>03300-01</v>
      </c>
      <c r="F102" s="1" t="s">
        <v>76</v>
      </c>
      <c r="G102" s="1" t="str">
        <f>VLOOKUP($E102,'Activity List CSI'!$D$4:$J$146,G$1,0)</f>
        <v>03</v>
      </c>
      <c r="H102" s="1" t="str">
        <f>VLOOKUP($E102,'Activity List CSI'!$D$4:$J$146,H$1,0)</f>
        <v>ConcreteWork</v>
      </c>
      <c r="I102" s="1" t="str">
        <f>VLOOKUP(D102,'Activity List CSI'!$C$4:$H$146,6,0)</f>
        <v>03300</v>
      </c>
      <c r="J102" s="1" t="str">
        <f>VLOOKUP($E102,'Activity List CSI'!$D$4:$J$146,J$1,0)</f>
        <v>Cast-In-Place Concrete</v>
      </c>
      <c r="K102" s="1" t="s">
        <v>703</v>
      </c>
      <c r="L102" s="1">
        <v>410</v>
      </c>
      <c r="M102" s="1" t="str">
        <f t="shared" si="3"/>
        <v>03300410</v>
      </c>
      <c r="N102" s="12" t="str">
        <f t="shared" si="8"/>
        <v>03300410</v>
      </c>
    </row>
    <row r="103" spans="4:14" x14ac:dyDescent="0.25">
      <c r="D103" s="11" t="s">
        <v>75</v>
      </c>
      <c r="E103" s="1" t="str">
        <f>VLOOKUP(F103,'Activity List CSI'!$B$4:$D$146,3,0)</f>
        <v>03300-01</v>
      </c>
      <c r="F103" s="1" t="s">
        <v>76</v>
      </c>
      <c r="G103" s="1" t="str">
        <f>VLOOKUP($E103,'Activity List CSI'!$D$4:$J$146,G$1,0)</f>
        <v>03</v>
      </c>
      <c r="H103" s="1" t="str">
        <f>VLOOKUP($E103,'Activity List CSI'!$D$4:$J$146,H$1,0)</f>
        <v>ConcreteWork</v>
      </c>
      <c r="I103" s="1" t="str">
        <f>VLOOKUP(D103,'Activity List CSI'!$C$4:$H$146,6,0)</f>
        <v>03300</v>
      </c>
      <c r="J103" s="1" t="str">
        <f>VLOOKUP($E103,'Activity List CSI'!$D$4:$J$146,J$1,0)</f>
        <v>Cast-In-Place Concrete</v>
      </c>
      <c r="K103" s="1" t="s">
        <v>704</v>
      </c>
      <c r="L103" s="1">
        <v>415</v>
      </c>
      <c r="M103" s="1" t="str">
        <f t="shared" si="3"/>
        <v>03300415</v>
      </c>
      <c r="N103" s="12" t="str">
        <f t="shared" si="8"/>
        <v>03300415</v>
      </c>
    </row>
    <row r="104" spans="4:14" x14ac:dyDescent="0.25">
      <c r="D104" s="11" t="s">
        <v>77</v>
      </c>
      <c r="E104" s="1" t="str">
        <f>VLOOKUP(F104,'Activity List CSI'!$B$4:$D$146,3,0)</f>
        <v>03300-02</v>
      </c>
      <c r="F104" s="1" t="s">
        <v>78</v>
      </c>
      <c r="G104" s="1" t="str">
        <f>VLOOKUP($E104,'Activity List CSI'!$D$4:$J$146,G$1,0)</f>
        <v>03</v>
      </c>
      <c r="H104" s="1" t="str">
        <f>VLOOKUP($E104,'Activity List CSI'!$D$4:$J$146,H$1,0)</f>
        <v>ConcreteWork</v>
      </c>
      <c r="I104" s="1" t="str">
        <f>VLOOKUP(D104,'Activity List CSI'!$C$4:$H$146,6,0)</f>
        <v>03300</v>
      </c>
      <c r="J104" s="1" t="str">
        <f>VLOOKUP($E104,'Activity List CSI'!$D$4:$J$146,J$1,0)</f>
        <v>Cast-In-Place Concrete</v>
      </c>
      <c r="K104" s="1" t="s">
        <v>702</v>
      </c>
      <c r="L104" s="1">
        <v>405</v>
      </c>
      <c r="M104" s="1" t="str">
        <f t="shared" si="3"/>
        <v>03300405</v>
      </c>
      <c r="N104" s="12" t="str">
        <f t="shared" si="8"/>
        <v>03300405</v>
      </c>
    </row>
    <row r="105" spans="4:14" x14ac:dyDescent="0.25">
      <c r="D105" s="11" t="s">
        <v>77</v>
      </c>
      <c r="E105" s="1" t="str">
        <f>VLOOKUP(F105,'Activity List CSI'!$B$4:$D$146,3,0)</f>
        <v>03300-02</v>
      </c>
      <c r="F105" s="1" t="s">
        <v>78</v>
      </c>
      <c r="G105" s="1" t="str">
        <f>VLOOKUP($E105,'Activity List CSI'!$D$4:$J$146,G$1,0)</f>
        <v>03</v>
      </c>
      <c r="H105" s="1" t="str">
        <f>VLOOKUP($E105,'Activity List CSI'!$D$4:$J$146,H$1,0)</f>
        <v>ConcreteWork</v>
      </c>
      <c r="I105" s="1" t="str">
        <f>VLOOKUP(D105,'Activity List CSI'!$C$4:$H$146,6,0)</f>
        <v>03300</v>
      </c>
      <c r="J105" s="1" t="str">
        <f>VLOOKUP($E105,'Activity List CSI'!$D$4:$J$146,J$1,0)</f>
        <v>Cast-In-Place Concrete</v>
      </c>
      <c r="K105" s="1" t="s">
        <v>703</v>
      </c>
      <c r="L105" s="1">
        <v>410</v>
      </c>
      <c r="M105" s="1" t="str">
        <f t="shared" si="3"/>
        <v>03300410</v>
      </c>
      <c r="N105" s="12" t="str">
        <f t="shared" si="8"/>
        <v>03300410</v>
      </c>
    </row>
    <row r="106" spans="4:14" x14ac:dyDescent="0.25">
      <c r="D106" s="11" t="s">
        <v>77</v>
      </c>
      <c r="E106" s="1" t="str">
        <f>VLOOKUP(F106,'Activity List CSI'!$B$4:$D$146,3,0)</f>
        <v>03300-02</v>
      </c>
      <c r="F106" s="1" t="s">
        <v>78</v>
      </c>
      <c r="G106" s="1" t="str">
        <f>VLOOKUP($E106,'Activity List CSI'!$D$4:$J$146,G$1,0)</f>
        <v>03</v>
      </c>
      <c r="H106" s="1" t="str">
        <f>VLOOKUP($E106,'Activity List CSI'!$D$4:$J$146,H$1,0)</f>
        <v>ConcreteWork</v>
      </c>
      <c r="I106" s="1" t="str">
        <f>VLOOKUP(D106,'Activity List CSI'!$C$4:$H$146,6,0)</f>
        <v>03300</v>
      </c>
      <c r="J106" s="1" t="str">
        <f>VLOOKUP($E106,'Activity List CSI'!$D$4:$J$146,J$1,0)</f>
        <v>Cast-In-Place Concrete</v>
      </c>
      <c r="K106" s="1" t="s">
        <v>704</v>
      </c>
      <c r="L106" s="1">
        <v>415</v>
      </c>
      <c r="M106" s="1" t="str">
        <f t="shared" si="3"/>
        <v>03300415</v>
      </c>
      <c r="N106" s="12" t="str">
        <f t="shared" si="8"/>
        <v>03300415</v>
      </c>
    </row>
    <row r="107" spans="4:14" x14ac:dyDescent="0.25">
      <c r="D107" s="11" t="s">
        <v>79</v>
      </c>
      <c r="E107" s="1" t="str">
        <f>VLOOKUP(F107,'Activity List CSI'!$B$4:$D$146,3,0)</f>
        <v>03300-03</v>
      </c>
      <c r="F107" s="1" t="s">
        <v>80</v>
      </c>
      <c r="G107" s="1" t="str">
        <f>VLOOKUP($E107,'Activity List CSI'!$D$4:$J$146,G$1,0)</f>
        <v>03</v>
      </c>
      <c r="H107" s="1" t="str">
        <f>VLOOKUP($E107,'Activity List CSI'!$D$4:$J$146,H$1,0)</f>
        <v>ConcreteWork</v>
      </c>
      <c r="I107" s="1" t="str">
        <f>VLOOKUP(D107,'Activity List CSI'!$C$4:$H$146,6,0)</f>
        <v>03300</v>
      </c>
      <c r="J107" s="1" t="str">
        <f>VLOOKUP($E107,'Activity List CSI'!$D$4:$J$146,J$1,0)</f>
        <v>Cast-In-Place Concrete</v>
      </c>
      <c r="K107" s="1" t="s">
        <v>702</v>
      </c>
      <c r="L107" s="1">
        <v>405</v>
      </c>
      <c r="M107" s="1" t="str">
        <f t="shared" si="3"/>
        <v>03300405</v>
      </c>
      <c r="N107" s="12" t="str">
        <f t="shared" si="8"/>
        <v>03300405</v>
      </c>
    </row>
    <row r="108" spans="4:14" x14ac:dyDescent="0.25">
      <c r="D108" s="11" t="s">
        <v>79</v>
      </c>
      <c r="E108" s="1" t="str">
        <f>VLOOKUP(F108,'Activity List CSI'!$B$4:$D$146,3,0)</f>
        <v>03300-03</v>
      </c>
      <c r="F108" s="1" t="s">
        <v>80</v>
      </c>
      <c r="G108" s="1" t="str">
        <f>VLOOKUP($E108,'Activity List CSI'!$D$4:$J$146,G$1,0)</f>
        <v>03</v>
      </c>
      <c r="H108" s="1" t="str">
        <f>VLOOKUP($E108,'Activity List CSI'!$D$4:$J$146,H$1,0)</f>
        <v>ConcreteWork</v>
      </c>
      <c r="I108" s="1" t="str">
        <f>VLOOKUP(D108,'Activity List CSI'!$C$4:$H$146,6,0)</f>
        <v>03300</v>
      </c>
      <c r="J108" s="1" t="str">
        <f>VLOOKUP($E108,'Activity List CSI'!$D$4:$J$146,J$1,0)</f>
        <v>Cast-In-Place Concrete</v>
      </c>
      <c r="K108" s="1" t="s">
        <v>703</v>
      </c>
      <c r="L108" s="1">
        <v>410</v>
      </c>
      <c r="M108" s="1" t="str">
        <f t="shared" si="3"/>
        <v>03300410</v>
      </c>
      <c r="N108" s="12" t="str">
        <f t="shared" si="8"/>
        <v>03300410</v>
      </c>
    </row>
    <row r="109" spans="4:14" x14ac:dyDescent="0.25">
      <c r="D109" s="11" t="s">
        <v>79</v>
      </c>
      <c r="E109" s="1" t="str">
        <f>VLOOKUP(F109,'Activity List CSI'!$B$4:$D$146,3,0)</f>
        <v>03300-03</v>
      </c>
      <c r="F109" s="1" t="s">
        <v>80</v>
      </c>
      <c r="G109" s="1" t="str">
        <f>VLOOKUP($E109,'Activity List CSI'!$D$4:$J$146,G$1,0)</f>
        <v>03</v>
      </c>
      <c r="H109" s="1" t="str">
        <f>VLOOKUP($E109,'Activity List CSI'!$D$4:$J$146,H$1,0)</f>
        <v>ConcreteWork</v>
      </c>
      <c r="I109" s="1" t="str">
        <f>VLOOKUP(D109,'Activity List CSI'!$C$4:$H$146,6,0)</f>
        <v>03300</v>
      </c>
      <c r="J109" s="1" t="str">
        <f>VLOOKUP($E109,'Activity List CSI'!$D$4:$J$146,J$1,0)</f>
        <v>Cast-In-Place Concrete</v>
      </c>
      <c r="K109" s="1" t="s">
        <v>704</v>
      </c>
      <c r="L109" s="1">
        <v>415</v>
      </c>
      <c r="M109" s="1" t="str">
        <f t="shared" si="3"/>
        <v>03300415</v>
      </c>
      <c r="N109" s="12" t="str">
        <f t="shared" si="8"/>
        <v>03300415</v>
      </c>
    </row>
    <row r="110" spans="4:14" x14ac:dyDescent="0.25">
      <c r="D110" s="11" t="s">
        <v>81</v>
      </c>
      <c r="E110" s="1" t="str">
        <f>VLOOKUP(F110,'Activity List CSI'!$B$4:$D$146,3,0)</f>
        <v>03300-04</v>
      </c>
      <c r="F110" s="1" t="s">
        <v>82</v>
      </c>
      <c r="G110" s="1" t="str">
        <f>VLOOKUP($E110,'Activity List CSI'!$D$4:$J$146,G$1,0)</f>
        <v>03</v>
      </c>
      <c r="H110" s="1" t="str">
        <f>VLOOKUP($E110,'Activity List CSI'!$D$4:$J$146,H$1,0)</f>
        <v>ConcreteWork</v>
      </c>
      <c r="I110" s="1" t="str">
        <f>VLOOKUP(D110,'Activity List CSI'!$C$4:$H$146,6,0)</f>
        <v>03300</v>
      </c>
      <c r="J110" s="1" t="str">
        <f>VLOOKUP($E110,'Activity List CSI'!$D$4:$J$146,J$1,0)</f>
        <v>Cast-In-Place Concrete</v>
      </c>
      <c r="K110" s="1" t="s">
        <v>702</v>
      </c>
      <c r="L110" s="1">
        <v>405</v>
      </c>
      <c r="M110" s="1" t="str">
        <f t="shared" si="3"/>
        <v>03300405</v>
      </c>
      <c r="N110" s="12" t="str">
        <f t="shared" si="8"/>
        <v>03300405</v>
      </c>
    </row>
    <row r="111" spans="4:14" x14ac:dyDescent="0.25">
      <c r="D111" s="11" t="s">
        <v>81</v>
      </c>
      <c r="E111" s="1" t="str">
        <f>VLOOKUP(F111,'Activity List CSI'!$B$4:$D$146,3,0)</f>
        <v>03300-04</v>
      </c>
      <c r="F111" s="1" t="s">
        <v>82</v>
      </c>
      <c r="G111" s="1" t="str">
        <f>VLOOKUP($E111,'Activity List CSI'!$D$4:$J$146,G$1,0)</f>
        <v>03</v>
      </c>
      <c r="H111" s="1" t="str">
        <f>VLOOKUP($E111,'Activity List CSI'!$D$4:$J$146,H$1,0)</f>
        <v>ConcreteWork</v>
      </c>
      <c r="I111" s="1" t="str">
        <f>VLOOKUP(D111,'Activity List CSI'!$C$4:$H$146,6,0)</f>
        <v>03300</v>
      </c>
      <c r="J111" s="1" t="str">
        <f>VLOOKUP($E111,'Activity List CSI'!$D$4:$J$146,J$1,0)</f>
        <v>Cast-In-Place Concrete</v>
      </c>
      <c r="K111" s="1" t="s">
        <v>703</v>
      </c>
      <c r="L111" s="1">
        <v>410</v>
      </c>
      <c r="M111" s="1" t="str">
        <f t="shared" si="3"/>
        <v>03300410</v>
      </c>
      <c r="N111" s="12" t="str">
        <f t="shared" si="8"/>
        <v>03300410</v>
      </c>
    </row>
    <row r="112" spans="4:14" x14ac:dyDescent="0.25">
      <c r="D112" s="11" t="s">
        <v>81</v>
      </c>
      <c r="E112" s="1" t="str">
        <f>VLOOKUP(F112,'Activity List CSI'!$B$4:$D$146,3,0)</f>
        <v>03300-04</v>
      </c>
      <c r="F112" s="1" t="s">
        <v>82</v>
      </c>
      <c r="G112" s="1" t="str">
        <f>VLOOKUP($E112,'Activity List CSI'!$D$4:$J$146,G$1,0)</f>
        <v>03</v>
      </c>
      <c r="H112" s="1" t="str">
        <f>VLOOKUP($E112,'Activity List CSI'!$D$4:$J$146,H$1,0)</f>
        <v>ConcreteWork</v>
      </c>
      <c r="I112" s="1" t="str">
        <f>VLOOKUP(D112,'Activity List CSI'!$C$4:$H$146,6,0)</f>
        <v>03300</v>
      </c>
      <c r="J112" s="1" t="str">
        <f>VLOOKUP($E112,'Activity List CSI'!$D$4:$J$146,J$1,0)</f>
        <v>Cast-In-Place Concrete</v>
      </c>
      <c r="K112" s="1" t="s">
        <v>704</v>
      </c>
      <c r="L112" s="1">
        <v>415</v>
      </c>
      <c r="M112" s="1" t="str">
        <f t="shared" si="3"/>
        <v>03300415</v>
      </c>
      <c r="N112" s="12" t="str">
        <f t="shared" si="8"/>
        <v>03300415</v>
      </c>
    </row>
    <row r="113" spans="4:14" x14ac:dyDescent="0.25">
      <c r="D113" s="11" t="s">
        <v>83</v>
      </c>
      <c r="E113" s="1" t="str">
        <f>VLOOKUP(F113,'Activity List CSI'!$B$4:$D$146,3,0)</f>
        <v>03300-05</v>
      </c>
      <c r="F113" s="1" t="s">
        <v>84</v>
      </c>
      <c r="G113" s="1" t="str">
        <f>VLOOKUP($E113,'Activity List CSI'!$D$4:$J$146,G$1,0)</f>
        <v>03</v>
      </c>
      <c r="H113" s="1" t="str">
        <f>VLOOKUP($E113,'Activity List CSI'!$D$4:$J$146,H$1,0)</f>
        <v>ConcreteWork</v>
      </c>
      <c r="I113" s="1" t="str">
        <f>VLOOKUP(D113,'Activity List CSI'!$C$4:$H$146,6,0)</f>
        <v>03300</v>
      </c>
      <c r="J113" s="1" t="str">
        <f>VLOOKUP($E113,'Activity List CSI'!$D$4:$J$146,J$1,0)</f>
        <v>Cast-In-Place Concrete</v>
      </c>
      <c r="K113" s="1" t="s">
        <v>702</v>
      </c>
      <c r="L113" s="1">
        <v>405</v>
      </c>
      <c r="M113" s="1" t="str">
        <f t="shared" si="3"/>
        <v>03300405</v>
      </c>
      <c r="N113" s="12" t="str">
        <f t="shared" si="8"/>
        <v>03300405</v>
      </c>
    </row>
    <row r="114" spans="4:14" x14ac:dyDescent="0.25">
      <c r="D114" s="11" t="s">
        <v>83</v>
      </c>
      <c r="E114" s="1" t="str">
        <f>VLOOKUP(F114,'Activity List CSI'!$B$4:$D$146,3,0)</f>
        <v>03300-05</v>
      </c>
      <c r="F114" s="1" t="s">
        <v>84</v>
      </c>
      <c r="G114" s="1" t="str">
        <f>VLOOKUP($E114,'Activity List CSI'!$D$4:$J$146,G$1,0)</f>
        <v>03</v>
      </c>
      <c r="H114" s="1" t="str">
        <f>VLOOKUP($E114,'Activity List CSI'!$D$4:$J$146,H$1,0)</f>
        <v>ConcreteWork</v>
      </c>
      <c r="I114" s="1" t="str">
        <f>VLOOKUP(D114,'Activity List CSI'!$C$4:$H$146,6,0)</f>
        <v>03300</v>
      </c>
      <c r="J114" s="1" t="str">
        <f>VLOOKUP($E114,'Activity List CSI'!$D$4:$J$146,J$1,0)</f>
        <v>Cast-In-Place Concrete</v>
      </c>
      <c r="K114" s="1" t="s">
        <v>703</v>
      </c>
      <c r="L114" s="1">
        <v>410</v>
      </c>
      <c r="M114" s="1" t="str">
        <f t="shared" si="3"/>
        <v>03300410</v>
      </c>
      <c r="N114" s="12" t="str">
        <f t="shared" si="8"/>
        <v>03300410</v>
      </c>
    </row>
    <row r="115" spans="4:14" x14ac:dyDescent="0.25">
      <c r="D115" s="11" t="s">
        <v>83</v>
      </c>
      <c r="E115" s="1" t="str">
        <f>VLOOKUP(F115,'Activity List CSI'!$B$4:$D$146,3,0)</f>
        <v>03300-05</v>
      </c>
      <c r="F115" s="1" t="s">
        <v>84</v>
      </c>
      <c r="G115" s="1" t="str">
        <f>VLOOKUP($E115,'Activity List CSI'!$D$4:$J$146,G$1,0)</f>
        <v>03</v>
      </c>
      <c r="H115" s="1" t="str">
        <f>VLOOKUP($E115,'Activity List CSI'!$D$4:$J$146,H$1,0)</f>
        <v>ConcreteWork</v>
      </c>
      <c r="I115" s="1" t="str">
        <f>VLOOKUP(D115,'Activity List CSI'!$C$4:$H$146,6,0)</f>
        <v>03300</v>
      </c>
      <c r="J115" s="1" t="str">
        <f>VLOOKUP($E115,'Activity List CSI'!$D$4:$J$146,J$1,0)</f>
        <v>Cast-In-Place Concrete</v>
      </c>
      <c r="K115" s="1" t="s">
        <v>704</v>
      </c>
      <c r="L115" s="1">
        <v>415</v>
      </c>
      <c r="M115" s="1" t="str">
        <f t="shared" si="3"/>
        <v>03300415</v>
      </c>
      <c r="N115" s="12" t="str">
        <f t="shared" si="8"/>
        <v>03300415</v>
      </c>
    </row>
    <row r="116" spans="4:14" x14ac:dyDescent="0.25">
      <c r="D116" s="11" t="s">
        <v>85</v>
      </c>
      <c r="E116" s="1" t="str">
        <f>VLOOKUP(F116,'Activity List CSI'!$B$4:$D$146,3,0)</f>
        <v>03300-06</v>
      </c>
      <c r="F116" s="1" t="s">
        <v>86</v>
      </c>
      <c r="G116" s="1" t="str">
        <f>VLOOKUP($E116,'Activity List CSI'!$D$4:$J$146,G$1,0)</f>
        <v>03</v>
      </c>
      <c r="H116" s="1" t="str">
        <f>VLOOKUP($E116,'Activity List CSI'!$D$4:$J$146,H$1,0)</f>
        <v>ConcreteWork</v>
      </c>
      <c r="I116" s="1" t="str">
        <f>VLOOKUP(D116,'Activity List CSI'!$C$4:$H$146,6,0)</f>
        <v>03300</v>
      </c>
      <c r="J116" s="1" t="str">
        <f>VLOOKUP($E116,'Activity List CSI'!$D$4:$J$146,J$1,0)</f>
        <v>Cast-In-Place Concrete</v>
      </c>
      <c r="K116" s="1" t="s">
        <v>702</v>
      </c>
      <c r="L116" s="1">
        <v>405</v>
      </c>
      <c r="M116" s="1" t="str">
        <f t="shared" si="3"/>
        <v>03300405</v>
      </c>
      <c r="N116" s="12" t="str">
        <f t="shared" si="8"/>
        <v>03300405</v>
      </c>
    </row>
    <row r="117" spans="4:14" x14ac:dyDescent="0.25">
      <c r="D117" s="11" t="s">
        <v>85</v>
      </c>
      <c r="E117" s="1" t="str">
        <f>VLOOKUP(F117,'Activity List CSI'!$B$4:$D$146,3,0)</f>
        <v>03300-06</v>
      </c>
      <c r="F117" s="1" t="s">
        <v>86</v>
      </c>
      <c r="G117" s="1" t="str">
        <f>VLOOKUP($E117,'Activity List CSI'!$D$4:$J$146,G$1,0)</f>
        <v>03</v>
      </c>
      <c r="H117" s="1" t="str">
        <f>VLOOKUP($E117,'Activity List CSI'!$D$4:$J$146,H$1,0)</f>
        <v>ConcreteWork</v>
      </c>
      <c r="I117" s="1" t="str">
        <f>VLOOKUP(D117,'Activity List CSI'!$C$4:$H$146,6,0)</f>
        <v>03300</v>
      </c>
      <c r="J117" s="1" t="str">
        <f>VLOOKUP($E117,'Activity List CSI'!$D$4:$J$146,J$1,0)</f>
        <v>Cast-In-Place Concrete</v>
      </c>
      <c r="K117" s="1" t="s">
        <v>703</v>
      </c>
      <c r="L117" s="1">
        <v>410</v>
      </c>
      <c r="M117" s="1" t="str">
        <f t="shared" si="3"/>
        <v>03300410</v>
      </c>
      <c r="N117" s="12" t="str">
        <f t="shared" si="8"/>
        <v>03300410</v>
      </c>
    </row>
    <row r="118" spans="4:14" x14ac:dyDescent="0.25">
      <c r="D118" s="11" t="s">
        <v>85</v>
      </c>
      <c r="E118" s="1" t="str">
        <f>VLOOKUP(F118,'Activity List CSI'!$B$4:$D$146,3,0)</f>
        <v>03300-06</v>
      </c>
      <c r="F118" s="1" t="s">
        <v>86</v>
      </c>
      <c r="G118" s="1" t="str">
        <f>VLOOKUP($E118,'Activity List CSI'!$D$4:$J$146,G$1,0)</f>
        <v>03</v>
      </c>
      <c r="H118" s="1" t="str">
        <f>VLOOKUP($E118,'Activity List CSI'!$D$4:$J$146,H$1,0)</f>
        <v>ConcreteWork</v>
      </c>
      <c r="I118" s="1" t="str">
        <f>VLOOKUP(D118,'Activity List CSI'!$C$4:$H$146,6,0)</f>
        <v>03300</v>
      </c>
      <c r="J118" s="1" t="str">
        <f>VLOOKUP($E118,'Activity List CSI'!$D$4:$J$146,J$1,0)</f>
        <v>Cast-In-Place Concrete</v>
      </c>
      <c r="K118" s="1" t="s">
        <v>704</v>
      </c>
      <c r="L118" s="1">
        <v>415</v>
      </c>
      <c r="M118" s="1" t="str">
        <f t="shared" si="3"/>
        <v>03300415</v>
      </c>
      <c r="N118" s="12" t="str">
        <f t="shared" si="8"/>
        <v>03300415</v>
      </c>
    </row>
    <row r="119" spans="4:14" x14ac:dyDescent="0.25">
      <c r="D119" s="11" t="s">
        <v>87</v>
      </c>
      <c r="E119" s="1" t="str">
        <f>VLOOKUP(F119,'Activity List CSI'!$B$4:$D$146,3,0)</f>
        <v>03300-07</v>
      </c>
      <c r="F119" s="1" t="s">
        <v>88</v>
      </c>
      <c r="G119" s="1" t="str">
        <f>VLOOKUP($E119,'Activity List CSI'!$D$4:$J$146,G$1,0)</f>
        <v>03</v>
      </c>
      <c r="H119" s="1" t="str">
        <f>VLOOKUP($E119,'Activity List CSI'!$D$4:$J$146,H$1,0)</f>
        <v>ConcreteWork</v>
      </c>
      <c r="I119" s="1" t="str">
        <f>VLOOKUP(D119,'Activity List CSI'!$C$4:$H$146,6,0)</f>
        <v>03300</v>
      </c>
      <c r="J119" s="1" t="str">
        <f>VLOOKUP($E119,'Activity List CSI'!$D$4:$J$146,J$1,0)</f>
        <v>Cast-In-Place Concrete</v>
      </c>
      <c r="K119" s="1" t="s">
        <v>702</v>
      </c>
      <c r="L119" s="1">
        <v>405</v>
      </c>
      <c r="M119" s="1" t="str">
        <f t="shared" si="3"/>
        <v>03300405</v>
      </c>
      <c r="N119" s="12" t="str">
        <f t="shared" si="8"/>
        <v>03300405</v>
      </c>
    </row>
    <row r="120" spans="4:14" x14ac:dyDescent="0.25">
      <c r="D120" s="11" t="s">
        <v>87</v>
      </c>
      <c r="E120" s="1" t="str">
        <f>VLOOKUP(F120,'Activity List CSI'!$B$4:$D$146,3,0)</f>
        <v>03300-07</v>
      </c>
      <c r="F120" s="1" t="s">
        <v>88</v>
      </c>
      <c r="G120" s="1" t="str">
        <f>VLOOKUP($E120,'Activity List CSI'!$D$4:$J$146,G$1,0)</f>
        <v>03</v>
      </c>
      <c r="H120" s="1" t="str">
        <f>VLOOKUP($E120,'Activity List CSI'!$D$4:$J$146,H$1,0)</f>
        <v>ConcreteWork</v>
      </c>
      <c r="I120" s="1" t="str">
        <f>VLOOKUP(D120,'Activity List CSI'!$C$4:$H$146,6,0)</f>
        <v>03300</v>
      </c>
      <c r="J120" s="1" t="str">
        <f>VLOOKUP($E120,'Activity List CSI'!$D$4:$J$146,J$1,0)</f>
        <v>Cast-In-Place Concrete</v>
      </c>
      <c r="K120" s="1" t="s">
        <v>703</v>
      </c>
      <c r="L120" s="1">
        <v>410</v>
      </c>
      <c r="M120" s="1" t="str">
        <f t="shared" si="3"/>
        <v>03300410</v>
      </c>
      <c r="N120" s="12" t="str">
        <f t="shared" si="8"/>
        <v>03300410</v>
      </c>
    </row>
    <row r="121" spans="4:14" x14ac:dyDescent="0.25">
      <c r="D121" s="11" t="s">
        <v>87</v>
      </c>
      <c r="E121" s="1" t="str">
        <f>VLOOKUP(F121,'Activity List CSI'!$B$4:$D$146,3,0)</f>
        <v>03300-07</v>
      </c>
      <c r="F121" s="1" t="s">
        <v>88</v>
      </c>
      <c r="G121" s="1" t="str">
        <f>VLOOKUP($E121,'Activity List CSI'!$D$4:$J$146,G$1,0)</f>
        <v>03</v>
      </c>
      <c r="H121" s="1" t="str">
        <f>VLOOKUP($E121,'Activity List CSI'!$D$4:$J$146,H$1,0)</f>
        <v>ConcreteWork</v>
      </c>
      <c r="I121" s="1" t="str">
        <f>VLOOKUP(D121,'Activity List CSI'!$C$4:$H$146,6,0)</f>
        <v>03300</v>
      </c>
      <c r="J121" s="1" t="str">
        <f>VLOOKUP($E121,'Activity List CSI'!$D$4:$J$146,J$1,0)</f>
        <v>Cast-In-Place Concrete</v>
      </c>
      <c r="K121" s="1" t="s">
        <v>704</v>
      </c>
      <c r="L121" s="1">
        <v>415</v>
      </c>
      <c r="M121" s="1" t="str">
        <f t="shared" si="3"/>
        <v>03300415</v>
      </c>
      <c r="N121" s="12" t="str">
        <f t="shared" si="8"/>
        <v>03300415</v>
      </c>
    </row>
    <row r="122" spans="4:14" x14ac:dyDescent="0.25">
      <c r="D122" s="11" t="s">
        <v>89</v>
      </c>
      <c r="E122" s="1" t="str">
        <f>VLOOKUP(F122,'Activity List CSI'!$B$4:$D$146,3,0)</f>
        <v>03300-08</v>
      </c>
      <c r="F122" s="1" t="s">
        <v>90</v>
      </c>
      <c r="G122" s="1" t="str">
        <f>VLOOKUP($E122,'Activity List CSI'!$D$4:$J$146,G$1,0)</f>
        <v>03</v>
      </c>
      <c r="H122" s="1" t="str">
        <f>VLOOKUP($E122,'Activity List CSI'!$D$4:$J$146,H$1,0)</f>
        <v>ConcreteWork</v>
      </c>
      <c r="I122" s="1" t="str">
        <f>VLOOKUP(D122,'Activity List CSI'!$C$4:$H$146,6,0)</f>
        <v>03300</v>
      </c>
      <c r="J122" s="1" t="str">
        <f>VLOOKUP($E122,'Activity List CSI'!$D$4:$J$146,J$1,0)</f>
        <v>Cast-In-Place Concrete</v>
      </c>
      <c r="K122" s="1" t="s">
        <v>702</v>
      </c>
      <c r="L122" s="1">
        <v>405</v>
      </c>
      <c r="M122" s="1" t="str">
        <f t="shared" si="3"/>
        <v>03300405</v>
      </c>
      <c r="N122" s="12" t="str">
        <f t="shared" si="8"/>
        <v>03300405</v>
      </c>
    </row>
    <row r="123" spans="4:14" x14ac:dyDescent="0.25">
      <c r="D123" s="11" t="s">
        <v>89</v>
      </c>
      <c r="E123" s="1" t="str">
        <f>VLOOKUP(F123,'Activity List CSI'!$B$4:$D$146,3,0)</f>
        <v>03300-08</v>
      </c>
      <c r="F123" s="1" t="s">
        <v>90</v>
      </c>
      <c r="G123" s="1" t="str">
        <f>VLOOKUP($E123,'Activity List CSI'!$D$4:$J$146,G$1,0)</f>
        <v>03</v>
      </c>
      <c r="H123" s="1" t="str">
        <f>VLOOKUP($E123,'Activity List CSI'!$D$4:$J$146,H$1,0)</f>
        <v>ConcreteWork</v>
      </c>
      <c r="I123" s="1" t="str">
        <f>VLOOKUP(D123,'Activity List CSI'!$C$4:$H$146,6,0)</f>
        <v>03300</v>
      </c>
      <c r="J123" s="1" t="str">
        <f>VLOOKUP($E123,'Activity List CSI'!$D$4:$J$146,J$1,0)</f>
        <v>Cast-In-Place Concrete</v>
      </c>
      <c r="K123" s="1" t="s">
        <v>703</v>
      </c>
      <c r="L123" s="1">
        <v>410</v>
      </c>
      <c r="M123" s="1" t="str">
        <f t="shared" si="3"/>
        <v>03300410</v>
      </c>
      <c r="N123" s="12" t="str">
        <f t="shared" si="8"/>
        <v>03300410</v>
      </c>
    </row>
    <row r="124" spans="4:14" x14ac:dyDescent="0.25">
      <c r="D124" s="11" t="s">
        <v>89</v>
      </c>
      <c r="E124" s="1" t="str">
        <f>VLOOKUP(F124,'Activity List CSI'!$B$4:$D$146,3,0)</f>
        <v>03300-08</v>
      </c>
      <c r="F124" s="1" t="s">
        <v>90</v>
      </c>
      <c r="G124" s="1" t="str">
        <f>VLOOKUP($E124,'Activity List CSI'!$D$4:$J$146,G$1,0)</f>
        <v>03</v>
      </c>
      <c r="H124" s="1" t="str">
        <f>VLOOKUP($E124,'Activity List CSI'!$D$4:$J$146,H$1,0)</f>
        <v>ConcreteWork</v>
      </c>
      <c r="I124" s="1" t="str">
        <f>VLOOKUP(D124,'Activity List CSI'!$C$4:$H$146,6,0)</f>
        <v>03300</v>
      </c>
      <c r="J124" s="1" t="str">
        <f>VLOOKUP($E124,'Activity List CSI'!$D$4:$J$146,J$1,0)</f>
        <v>Cast-In-Place Concrete</v>
      </c>
      <c r="K124" s="1" t="s">
        <v>704</v>
      </c>
      <c r="L124" s="1">
        <v>415</v>
      </c>
      <c r="M124" s="1" t="str">
        <f t="shared" si="3"/>
        <v>03300415</v>
      </c>
      <c r="N124" s="12" t="str">
        <f t="shared" si="8"/>
        <v>03300415</v>
      </c>
    </row>
    <row r="125" spans="4:14" x14ac:dyDescent="0.25">
      <c r="D125" s="11" t="s">
        <v>91</v>
      </c>
      <c r="E125" s="1" t="str">
        <f>VLOOKUP(F125,'Activity List CSI'!$B$4:$D$146,3,0)</f>
        <v>03300-09</v>
      </c>
      <c r="F125" s="1" t="s">
        <v>92</v>
      </c>
      <c r="G125" s="1" t="str">
        <f>VLOOKUP($E125,'Activity List CSI'!$D$4:$J$146,G$1,0)</f>
        <v>03</v>
      </c>
      <c r="H125" s="1" t="str">
        <f>VLOOKUP($E125,'Activity List CSI'!$D$4:$J$146,H$1,0)</f>
        <v>ConcreteWork</v>
      </c>
      <c r="I125" s="1" t="str">
        <f>VLOOKUP(D125,'Activity List CSI'!$C$4:$H$146,6,0)</f>
        <v>03300</v>
      </c>
      <c r="J125" s="1" t="str">
        <f>VLOOKUP($E125,'Activity List CSI'!$D$4:$J$146,J$1,0)</f>
        <v>Cast-In-Place Concrete</v>
      </c>
      <c r="K125" s="1" t="s">
        <v>702</v>
      </c>
      <c r="L125" s="1">
        <v>405</v>
      </c>
      <c r="M125" s="1" t="str">
        <f t="shared" si="3"/>
        <v>03300405</v>
      </c>
      <c r="N125" s="12" t="str">
        <f t="shared" si="8"/>
        <v>03300405</v>
      </c>
    </row>
    <row r="126" spans="4:14" x14ac:dyDescent="0.25">
      <c r="D126" s="11" t="s">
        <v>91</v>
      </c>
      <c r="E126" s="1" t="str">
        <f>VLOOKUP(F126,'Activity List CSI'!$B$4:$D$146,3,0)</f>
        <v>03300-09</v>
      </c>
      <c r="F126" s="1" t="s">
        <v>92</v>
      </c>
      <c r="G126" s="1" t="str">
        <f>VLOOKUP($E126,'Activity List CSI'!$D$4:$J$146,G$1,0)</f>
        <v>03</v>
      </c>
      <c r="H126" s="1" t="str">
        <f>VLOOKUP($E126,'Activity List CSI'!$D$4:$J$146,H$1,0)</f>
        <v>ConcreteWork</v>
      </c>
      <c r="I126" s="1" t="str">
        <f>VLOOKUP(D126,'Activity List CSI'!$C$4:$H$146,6,0)</f>
        <v>03300</v>
      </c>
      <c r="J126" s="1" t="str">
        <f>VLOOKUP($E126,'Activity List CSI'!$D$4:$J$146,J$1,0)</f>
        <v>Cast-In-Place Concrete</v>
      </c>
      <c r="K126" s="1" t="s">
        <v>703</v>
      </c>
      <c r="L126" s="1">
        <v>410</v>
      </c>
      <c r="M126" s="1" t="str">
        <f t="shared" si="3"/>
        <v>03300410</v>
      </c>
      <c r="N126" s="12" t="str">
        <f t="shared" si="8"/>
        <v>03300410</v>
      </c>
    </row>
    <row r="127" spans="4:14" x14ac:dyDescent="0.25">
      <c r="D127" s="11" t="s">
        <v>91</v>
      </c>
      <c r="E127" s="1" t="str">
        <f>VLOOKUP(F127,'Activity List CSI'!$B$4:$D$146,3,0)</f>
        <v>03300-09</v>
      </c>
      <c r="F127" s="1" t="s">
        <v>92</v>
      </c>
      <c r="G127" s="1" t="str">
        <f>VLOOKUP($E127,'Activity List CSI'!$D$4:$J$146,G$1,0)</f>
        <v>03</v>
      </c>
      <c r="H127" s="1" t="str">
        <f>VLOOKUP($E127,'Activity List CSI'!$D$4:$J$146,H$1,0)</f>
        <v>ConcreteWork</v>
      </c>
      <c r="I127" s="1" t="str">
        <f>VLOOKUP(D127,'Activity List CSI'!$C$4:$H$146,6,0)</f>
        <v>03300</v>
      </c>
      <c r="J127" s="1" t="str">
        <f>VLOOKUP($E127,'Activity List CSI'!$D$4:$J$146,J$1,0)</f>
        <v>Cast-In-Place Concrete</v>
      </c>
      <c r="K127" s="1" t="s">
        <v>704</v>
      </c>
      <c r="L127" s="1">
        <v>415</v>
      </c>
      <c r="M127" s="1" t="str">
        <f t="shared" si="3"/>
        <v>03300415</v>
      </c>
      <c r="N127" s="12" t="str">
        <f t="shared" si="8"/>
        <v>03300415</v>
      </c>
    </row>
    <row r="128" spans="4:14" x14ac:dyDescent="0.25">
      <c r="D128" s="11" t="s">
        <v>93</v>
      </c>
      <c r="E128" s="1" t="str">
        <f>VLOOKUP(F128,'Activity List CSI'!$B$4:$D$146,3,0)</f>
        <v>03300-10</v>
      </c>
      <c r="F128" s="1" t="s">
        <v>94</v>
      </c>
      <c r="G128" s="1" t="str">
        <f>VLOOKUP($E128,'Activity List CSI'!$D$4:$J$146,G$1,0)</f>
        <v>03</v>
      </c>
      <c r="H128" s="1" t="str">
        <f>VLOOKUP($E128,'Activity List CSI'!$D$4:$J$146,H$1,0)</f>
        <v>ConcreteWork</v>
      </c>
      <c r="I128" s="1" t="str">
        <f>VLOOKUP(D128,'Activity List CSI'!$C$4:$H$146,6,0)</f>
        <v>03300</v>
      </c>
      <c r="J128" s="1" t="str">
        <f>VLOOKUP($E128,'Activity List CSI'!$D$4:$J$146,J$1,0)</f>
        <v>Cast-In-Place Concrete</v>
      </c>
      <c r="K128" s="1" t="s">
        <v>702</v>
      </c>
      <c r="L128" s="1">
        <v>405</v>
      </c>
      <c r="M128" s="1" t="str">
        <f t="shared" si="3"/>
        <v>03300405</v>
      </c>
      <c r="N128" s="12" t="str">
        <f t="shared" si="8"/>
        <v>03300405</v>
      </c>
    </row>
    <row r="129" spans="4:14" x14ac:dyDescent="0.25">
      <c r="D129" s="11" t="s">
        <v>93</v>
      </c>
      <c r="E129" s="1" t="str">
        <f>VLOOKUP(F129,'Activity List CSI'!$B$4:$D$146,3,0)</f>
        <v>03300-10</v>
      </c>
      <c r="F129" s="1" t="s">
        <v>94</v>
      </c>
      <c r="G129" s="1" t="str">
        <f>VLOOKUP($E129,'Activity List CSI'!$D$4:$J$146,G$1,0)</f>
        <v>03</v>
      </c>
      <c r="H129" s="1" t="str">
        <f>VLOOKUP($E129,'Activity List CSI'!$D$4:$J$146,H$1,0)</f>
        <v>ConcreteWork</v>
      </c>
      <c r="I129" s="1" t="str">
        <f>VLOOKUP(D129,'Activity List CSI'!$C$4:$H$146,6,0)</f>
        <v>03300</v>
      </c>
      <c r="J129" s="1" t="str">
        <f>VLOOKUP($E129,'Activity List CSI'!$D$4:$J$146,J$1,0)</f>
        <v>Cast-In-Place Concrete</v>
      </c>
      <c r="K129" s="1" t="s">
        <v>703</v>
      </c>
      <c r="L129" s="1">
        <v>410</v>
      </c>
      <c r="M129" s="1" t="str">
        <f t="shared" si="3"/>
        <v>03300410</v>
      </c>
      <c r="N129" s="12" t="str">
        <f t="shared" si="8"/>
        <v>03300410</v>
      </c>
    </row>
    <row r="130" spans="4:14" x14ac:dyDescent="0.25">
      <c r="D130" s="11" t="s">
        <v>93</v>
      </c>
      <c r="E130" s="1" t="str">
        <f>VLOOKUP(F130,'Activity List CSI'!$B$4:$D$146,3,0)</f>
        <v>03300-10</v>
      </c>
      <c r="F130" s="1" t="s">
        <v>94</v>
      </c>
      <c r="G130" s="1" t="str">
        <f>VLOOKUP($E130,'Activity List CSI'!$D$4:$J$146,G$1,0)</f>
        <v>03</v>
      </c>
      <c r="H130" s="1" t="str">
        <f>VLOOKUP($E130,'Activity List CSI'!$D$4:$J$146,H$1,0)</f>
        <v>ConcreteWork</v>
      </c>
      <c r="I130" s="1" t="str">
        <f>VLOOKUP(D130,'Activity List CSI'!$C$4:$H$146,6,0)</f>
        <v>03300</v>
      </c>
      <c r="J130" s="1" t="str">
        <f>VLOOKUP($E130,'Activity List CSI'!$D$4:$J$146,J$1,0)</f>
        <v>Cast-In-Place Concrete</v>
      </c>
      <c r="K130" s="1" t="s">
        <v>704</v>
      </c>
      <c r="L130" s="1">
        <v>415</v>
      </c>
      <c r="M130" s="1" t="str">
        <f t="shared" si="3"/>
        <v>03300415</v>
      </c>
      <c r="N130" s="12" t="str">
        <f t="shared" si="8"/>
        <v>03300415</v>
      </c>
    </row>
    <row r="131" spans="4:14" x14ac:dyDescent="0.25">
      <c r="D131" s="11" t="s">
        <v>95</v>
      </c>
      <c r="E131" s="1" t="str">
        <f>VLOOKUP(F131,'Activity List CSI'!$B$4:$D$146,3,0)</f>
        <v>03300-11</v>
      </c>
      <c r="F131" s="1" t="s">
        <v>96</v>
      </c>
      <c r="G131" s="1" t="str">
        <f>VLOOKUP($E131,'Activity List CSI'!$D$4:$J$146,G$1,0)</f>
        <v>03</v>
      </c>
      <c r="H131" s="1" t="str">
        <f>VLOOKUP($E131,'Activity List CSI'!$D$4:$J$146,H$1,0)</f>
        <v>ConcreteWork</v>
      </c>
      <c r="I131" s="1" t="str">
        <f>VLOOKUP(D131,'Activity List CSI'!$C$4:$H$146,6,0)</f>
        <v>03300</v>
      </c>
      <c r="J131" s="1" t="str">
        <f>VLOOKUP($E131,'Activity List CSI'!$D$4:$J$146,J$1,0)</f>
        <v>Cast-In-Place Concrete</v>
      </c>
      <c r="K131" s="1" t="s">
        <v>702</v>
      </c>
      <c r="L131" s="1">
        <v>405</v>
      </c>
      <c r="M131" s="1" t="str">
        <f t="shared" si="3"/>
        <v>03300405</v>
      </c>
      <c r="N131" s="12" t="str">
        <f t="shared" si="8"/>
        <v>03300405</v>
      </c>
    </row>
    <row r="132" spans="4:14" x14ac:dyDescent="0.25">
      <c r="D132" s="11" t="s">
        <v>95</v>
      </c>
      <c r="E132" s="1" t="str">
        <f>VLOOKUP(F132,'Activity List CSI'!$B$4:$D$146,3,0)</f>
        <v>03300-11</v>
      </c>
      <c r="F132" s="1" t="s">
        <v>96</v>
      </c>
      <c r="G132" s="1" t="str">
        <f>VLOOKUP($E132,'Activity List CSI'!$D$4:$J$146,G$1,0)</f>
        <v>03</v>
      </c>
      <c r="H132" s="1" t="str">
        <f>VLOOKUP($E132,'Activity List CSI'!$D$4:$J$146,H$1,0)</f>
        <v>ConcreteWork</v>
      </c>
      <c r="I132" s="1" t="str">
        <f>VLOOKUP(D132,'Activity List CSI'!$C$4:$H$146,6,0)</f>
        <v>03300</v>
      </c>
      <c r="J132" s="1" t="str">
        <f>VLOOKUP($E132,'Activity List CSI'!$D$4:$J$146,J$1,0)</f>
        <v>Cast-In-Place Concrete</v>
      </c>
      <c r="K132" s="1" t="s">
        <v>703</v>
      </c>
      <c r="L132" s="1">
        <v>410</v>
      </c>
      <c r="M132" s="1" t="str">
        <f t="shared" si="3"/>
        <v>03300410</v>
      </c>
      <c r="N132" s="12" t="str">
        <f t="shared" si="8"/>
        <v>03300410</v>
      </c>
    </row>
    <row r="133" spans="4:14" x14ac:dyDescent="0.25">
      <c r="D133" s="11" t="s">
        <v>95</v>
      </c>
      <c r="E133" s="1" t="str">
        <f>VLOOKUP(F133,'Activity List CSI'!$B$4:$D$146,3,0)</f>
        <v>03300-11</v>
      </c>
      <c r="F133" s="1" t="s">
        <v>96</v>
      </c>
      <c r="G133" s="1" t="str">
        <f>VLOOKUP($E133,'Activity List CSI'!$D$4:$J$146,G$1,0)</f>
        <v>03</v>
      </c>
      <c r="H133" s="1" t="str">
        <f>VLOOKUP($E133,'Activity List CSI'!$D$4:$J$146,H$1,0)</f>
        <v>ConcreteWork</v>
      </c>
      <c r="I133" s="1" t="str">
        <f>VLOOKUP(D133,'Activity List CSI'!$C$4:$H$146,6,0)</f>
        <v>03300</v>
      </c>
      <c r="J133" s="1" t="str">
        <f>VLOOKUP($E133,'Activity List CSI'!$D$4:$J$146,J$1,0)</f>
        <v>Cast-In-Place Concrete</v>
      </c>
      <c r="K133" s="1" t="s">
        <v>704</v>
      </c>
      <c r="L133" s="1">
        <v>415</v>
      </c>
      <c r="M133" s="1" t="str">
        <f t="shared" ref="M133:M158" si="9">I133&amp;L133</f>
        <v>03300415</v>
      </c>
      <c r="N133" s="12" t="str">
        <f t="shared" si="8"/>
        <v>03300415</v>
      </c>
    </row>
    <row r="134" spans="4:14" x14ac:dyDescent="0.25">
      <c r="D134" s="11" t="s">
        <v>97</v>
      </c>
      <c r="E134" s="1" t="str">
        <f>VLOOKUP(F134,'Activity List CSI'!$B$4:$D$146,3,0)</f>
        <v>03300-12</v>
      </c>
      <c r="F134" s="1" t="s">
        <v>98</v>
      </c>
      <c r="G134" s="1" t="str">
        <f>VLOOKUP($E134,'Activity List CSI'!$D$4:$J$146,G$1,0)</f>
        <v>03</v>
      </c>
      <c r="H134" s="1" t="str">
        <f>VLOOKUP($E134,'Activity List CSI'!$D$4:$J$146,H$1,0)</f>
        <v>ConcreteWork</v>
      </c>
      <c r="I134" s="1" t="str">
        <f>VLOOKUP(D134,'Activity List CSI'!$C$4:$H$146,6,0)</f>
        <v>03300</v>
      </c>
      <c r="J134" s="1" t="str">
        <f>VLOOKUP($E134,'Activity List CSI'!$D$4:$J$146,J$1,0)</f>
        <v>Cast-In-Place Concrete</v>
      </c>
      <c r="K134" s="1" t="s">
        <v>702</v>
      </c>
      <c r="L134" s="1">
        <v>405</v>
      </c>
      <c r="M134" s="1" t="str">
        <f t="shared" si="9"/>
        <v>03300405</v>
      </c>
      <c r="N134" s="12" t="str">
        <f t="shared" si="8"/>
        <v>03300405</v>
      </c>
    </row>
    <row r="135" spans="4:14" x14ac:dyDescent="0.25">
      <c r="D135" s="11" t="s">
        <v>97</v>
      </c>
      <c r="E135" s="1" t="str">
        <f>VLOOKUP(F135,'Activity List CSI'!$B$4:$D$146,3,0)</f>
        <v>03300-12</v>
      </c>
      <c r="F135" s="1" t="s">
        <v>98</v>
      </c>
      <c r="G135" s="1" t="str">
        <f>VLOOKUP($E135,'Activity List CSI'!$D$4:$J$146,G$1,0)</f>
        <v>03</v>
      </c>
      <c r="H135" s="1" t="str">
        <f>VLOOKUP($E135,'Activity List CSI'!$D$4:$J$146,H$1,0)</f>
        <v>ConcreteWork</v>
      </c>
      <c r="I135" s="1" t="str">
        <f>VLOOKUP(D135,'Activity List CSI'!$C$4:$H$146,6,0)</f>
        <v>03300</v>
      </c>
      <c r="J135" s="1" t="str">
        <f>VLOOKUP($E135,'Activity List CSI'!$D$4:$J$146,J$1,0)</f>
        <v>Cast-In-Place Concrete</v>
      </c>
      <c r="K135" s="1" t="s">
        <v>703</v>
      </c>
      <c r="L135" s="1">
        <v>410</v>
      </c>
      <c r="M135" s="1" t="str">
        <f t="shared" si="9"/>
        <v>03300410</v>
      </c>
      <c r="N135" s="12" t="str">
        <f t="shared" si="8"/>
        <v>03300410</v>
      </c>
    </row>
    <row r="136" spans="4:14" x14ac:dyDescent="0.25">
      <c r="D136" s="11" t="s">
        <v>97</v>
      </c>
      <c r="E136" s="1" t="str">
        <f>VLOOKUP(F136,'Activity List CSI'!$B$4:$D$146,3,0)</f>
        <v>03300-12</v>
      </c>
      <c r="F136" s="1" t="s">
        <v>98</v>
      </c>
      <c r="G136" s="1" t="str">
        <f>VLOOKUP($E136,'Activity List CSI'!$D$4:$J$146,G$1,0)</f>
        <v>03</v>
      </c>
      <c r="H136" s="1" t="str">
        <f>VLOOKUP($E136,'Activity List CSI'!$D$4:$J$146,H$1,0)</f>
        <v>ConcreteWork</v>
      </c>
      <c r="I136" s="1" t="str">
        <f>VLOOKUP(D136,'Activity List CSI'!$C$4:$H$146,6,0)</f>
        <v>03300</v>
      </c>
      <c r="J136" s="1" t="str">
        <f>VLOOKUP($E136,'Activity List CSI'!$D$4:$J$146,J$1,0)</f>
        <v>Cast-In-Place Concrete</v>
      </c>
      <c r="K136" s="1" t="s">
        <v>704</v>
      </c>
      <c r="L136" s="1">
        <v>415</v>
      </c>
      <c r="M136" s="1" t="str">
        <f t="shared" si="9"/>
        <v>03300415</v>
      </c>
      <c r="N136" s="12" t="str">
        <f t="shared" si="8"/>
        <v>03300415</v>
      </c>
    </row>
    <row r="137" spans="4:14" x14ac:dyDescent="0.25">
      <c r="D137" s="11" t="s">
        <v>99</v>
      </c>
      <c r="E137" s="1" t="str">
        <f>VLOOKUP(F137,'Activity List CSI'!$B$4:$D$146,3,0)</f>
        <v>03400-01</v>
      </c>
      <c r="F137" s="1" t="s">
        <v>100</v>
      </c>
      <c r="G137" s="1" t="str">
        <f>VLOOKUP($E137,'Activity List CSI'!$D$4:$J$146,G$1,0)</f>
        <v>03</v>
      </c>
      <c r="H137" s="1" t="str">
        <f>VLOOKUP($E137,'Activity List CSI'!$D$4:$J$146,H$1,0)</f>
        <v>ConcreteWork</v>
      </c>
      <c r="I137" s="1" t="str">
        <f>VLOOKUP(D137,'Activity List CSI'!$C$4:$H$146,6,0)</f>
        <v>03400</v>
      </c>
      <c r="J137" s="1" t="str">
        <f>VLOOKUP($E137,'Activity List CSI'!$D$4:$J$146,J$1,0)</f>
        <v>Precast Concrete</v>
      </c>
      <c r="K137" s="1" t="s">
        <v>708</v>
      </c>
      <c r="L137" s="1">
        <v>405</v>
      </c>
      <c r="M137" s="1" t="str">
        <f t="shared" si="9"/>
        <v>03400405</v>
      </c>
      <c r="N137" s="12" t="str">
        <f t="shared" si="8"/>
        <v>03400405</v>
      </c>
    </row>
    <row r="138" spans="4:14" x14ac:dyDescent="0.25">
      <c r="D138" s="11" t="s">
        <v>99</v>
      </c>
      <c r="E138" s="1" t="str">
        <f>VLOOKUP(F138,'Activity List CSI'!$B$4:$D$146,3,0)</f>
        <v>03400-01</v>
      </c>
      <c r="F138" s="1" t="s">
        <v>100</v>
      </c>
      <c r="G138" s="1" t="str">
        <f>VLOOKUP($E138,'Activity List CSI'!$D$4:$J$146,G$1,0)</f>
        <v>03</v>
      </c>
      <c r="H138" s="1" t="str">
        <f>VLOOKUP($E138,'Activity List CSI'!$D$4:$J$146,H$1,0)</f>
        <v>ConcreteWork</v>
      </c>
      <c r="I138" s="1" t="str">
        <f>VLOOKUP(D138,'Activity List CSI'!$C$4:$H$146,6,0)</f>
        <v>03400</v>
      </c>
      <c r="J138" s="1" t="str">
        <f>VLOOKUP($E138,'Activity List CSI'!$D$4:$J$146,J$1,0)</f>
        <v>Precast Concrete</v>
      </c>
      <c r="K138" s="1" t="s">
        <v>708</v>
      </c>
      <c r="L138" s="1">
        <v>405</v>
      </c>
      <c r="M138" s="1" t="str">
        <f t="shared" si="9"/>
        <v>03400405</v>
      </c>
      <c r="N138" s="12" t="str">
        <f t="shared" si="8"/>
        <v>03400405</v>
      </c>
    </row>
    <row r="139" spans="4:14" x14ac:dyDescent="0.25">
      <c r="D139" s="11" t="s">
        <v>101</v>
      </c>
      <c r="E139" s="1" t="str">
        <f>VLOOKUP(F139,'Activity List CSI'!$B$4:$D$146,3,0)</f>
        <v>03400-02</v>
      </c>
      <c r="F139" s="1" t="s">
        <v>435</v>
      </c>
      <c r="G139" s="1" t="str">
        <f>VLOOKUP($E139,'Activity List CSI'!$D$4:$J$146,G$1,0)</f>
        <v>03</v>
      </c>
      <c r="H139" s="1" t="str">
        <f>VLOOKUP($E139,'Activity List CSI'!$D$4:$J$146,H$1,0)</f>
        <v>ConcreteWork</v>
      </c>
      <c r="I139" s="1" t="str">
        <f>VLOOKUP(D139,'Activity List CSI'!$C$4:$H$146,6,0)</f>
        <v>03400</v>
      </c>
      <c r="J139" s="1" t="str">
        <f>VLOOKUP($E139,'Activity List CSI'!$D$4:$J$146,J$1,0)</f>
        <v>Precast Concrete</v>
      </c>
      <c r="K139" s="1" t="s">
        <v>708</v>
      </c>
      <c r="L139" s="1">
        <v>405</v>
      </c>
      <c r="M139" s="1" t="str">
        <f t="shared" si="9"/>
        <v>03400405</v>
      </c>
      <c r="N139" s="12" t="str">
        <f t="shared" si="8"/>
        <v>03400405</v>
      </c>
    </row>
    <row r="140" spans="4:14" x14ac:dyDescent="0.25">
      <c r="D140" s="11" t="s">
        <v>101</v>
      </c>
      <c r="E140" s="1" t="str">
        <f>VLOOKUP(F140,'Activity List CSI'!$B$4:$D$146,3,0)</f>
        <v>03400-02</v>
      </c>
      <c r="F140" s="1" t="s">
        <v>435</v>
      </c>
      <c r="G140" s="1" t="str">
        <f>VLOOKUP($E140,'Activity List CSI'!$D$4:$J$146,G$1,0)</f>
        <v>03</v>
      </c>
      <c r="H140" s="1" t="str">
        <f>VLOOKUP($E140,'Activity List CSI'!$D$4:$J$146,H$1,0)</f>
        <v>ConcreteWork</v>
      </c>
      <c r="I140" s="1" t="str">
        <f>VLOOKUP(D140,'Activity List CSI'!$C$4:$H$146,6,0)</f>
        <v>03400</v>
      </c>
      <c r="J140" s="1" t="str">
        <f>VLOOKUP($E140,'Activity List CSI'!$D$4:$J$146,J$1,0)</f>
        <v>Precast Concrete</v>
      </c>
      <c r="K140" s="1" t="s">
        <v>708</v>
      </c>
      <c r="L140" s="1">
        <v>405</v>
      </c>
      <c r="M140" s="1" t="str">
        <f t="shared" si="9"/>
        <v>03400405</v>
      </c>
      <c r="N140" s="12" t="str">
        <f t="shared" si="8"/>
        <v>03400405</v>
      </c>
    </row>
    <row r="141" spans="4:14" x14ac:dyDescent="0.25">
      <c r="D141" s="11" t="s">
        <v>102</v>
      </c>
      <c r="E141" s="1" t="str">
        <f>VLOOKUP(F141,'Activity List CSI'!$B$4:$D$146,3,0)</f>
        <v>03300-13</v>
      </c>
      <c r="F141" s="1" t="s">
        <v>103</v>
      </c>
      <c r="G141" s="1" t="str">
        <f>VLOOKUP($E141,'Activity List CSI'!$D$4:$J$146,G$1,0)</f>
        <v>03</v>
      </c>
      <c r="H141" s="1" t="str">
        <f>VLOOKUP($E141,'Activity List CSI'!$D$4:$J$146,H$1,0)</f>
        <v>ConcreteWork</v>
      </c>
      <c r="I141" s="1" t="str">
        <f>VLOOKUP(D141,'Activity List CSI'!$C$4:$H$146,6,0)</f>
        <v>03300</v>
      </c>
      <c r="J141" s="1" t="str">
        <f>VLOOKUP($E141,'Activity List CSI'!$D$4:$J$146,J$1,0)</f>
        <v>Cast-In-Place Concrete</v>
      </c>
      <c r="K141" s="1" t="s">
        <v>702</v>
      </c>
      <c r="L141" s="1">
        <v>405</v>
      </c>
      <c r="M141" s="1" t="str">
        <f t="shared" si="9"/>
        <v>03300405</v>
      </c>
      <c r="N141" s="12" t="str">
        <f t="shared" si="8"/>
        <v>03300405</v>
      </c>
    </row>
    <row r="142" spans="4:14" x14ac:dyDescent="0.25">
      <c r="D142" s="11" t="s">
        <v>102</v>
      </c>
      <c r="E142" s="1" t="str">
        <f>VLOOKUP(F142,'Activity List CSI'!$B$4:$D$146,3,0)</f>
        <v>03300-13</v>
      </c>
      <c r="F142" s="1" t="s">
        <v>103</v>
      </c>
      <c r="G142" s="1" t="str">
        <f>VLOOKUP($E142,'Activity List CSI'!$D$4:$J$146,G$1,0)</f>
        <v>03</v>
      </c>
      <c r="H142" s="1" t="str">
        <f>VLOOKUP($E142,'Activity List CSI'!$D$4:$J$146,H$1,0)</f>
        <v>ConcreteWork</v>
      </c>
      <c r="I142" s="1" t="str">
        <f>VLOOKUP(D142,'Activity List CSI'!$C$4:$H$146,6,0)</f>
        <v>03300</v>
      </c>
      <c r="J142" s="1" t="str">
        <f>VLOOKUP($E142,'Activity List CSI'!$D$4:$J$146,J$1,0)</f>
        <v>Cast-In-Place Concrete</v>
      </c>
      <c r="K142" s="1" t="s">
        <v>703</v>
      </c>
      <c r="L142" s="1">
        <v>410</v>
      </c>
      <c r="M142" s="1" t="str">
        <f t="shared" si="9"/>
        <v>03300410</v>
      </c>
      <c r="N142" s="12" t="str">
        <f t="shared" si="8"/>
        <v>03300410</v>
      </c>
    </row>
    <row r="143" spans="4:14" x14ac:dyDescent="0.25">
      <c r="D143" s="11" t="s">
        <v>102</v>
      </c>
      <c r="E143" s="1" t="str">
        <f>VLOOKUP(F143,'Activity List CSI'!$B$4:$D$146,3,0)</f>
        <v>03300-13</v>
      </c>
      <c r="F143" s="1" t="s">
        <v>103</v>
      </c>
      <c r="G143" s="1" t="str">
        <f>VLOOKUP($E143,'Activity List CSI'!$D$4:$J$146,G$1,0)</f>
        <v>03</v>
      </c>
      <c r="H143" s="1" t="str">
        <f>VLOOKUP($E143,'Activity List CSI'!$D$4:$J$146,H$1,0)</f>
        <v>ConcreteWork</v>
      </c>
      <c r="I143" s="1" t="str">
        <f>VLOOKUP(D143,'Activity List CSI'!$C$4:$H$146,6,0)</f>
        <v>03300</v>
      </c>
      <c r="J143" s="1" t="str">
        <f>VLOOKUP($E143,'Activity List CSI'!$D$4:$J$146,J$1,0)</f>
        <v>Cast-In-Place Concrete</v>
      </c>
      <c r="K143" s="1" t="s">
        <v>704</v>
      </c>
      <c r="L143" s="1">
        <v>415</v>
      </c>
      <c r="M143" s="1" t="str">
        <f t="shared" si="9"/>
        <v>03300415</v>
      </c>
      <c r="N143" s="12" t="str">
        <f t="shared" si="8"/>
        <v>03300415</v>
      </c>
    </row>
    <row r="144" spans="4:14" x14ac:dyDescent="0.25">
      <c r="D144" s="11" t="s">
        <v>228</v>
      </c>
      <c r="E144" s="1" t="str">
        <f>VLOOKUP(F144,'Activity List CSI'!$B$4:$D$146,3,0)</f>
        <v>03300-14</v>
      </c>
      <c r="F144" s="1" t="s">
        <v>437</v>
      </c>
      <c r="G144" s="1" t="str">
        <f>VLOOKUP($E144,'Activity List CSI'!$D$4:$J$146,G$1,0)</f>
        <v>03</v>
      </c>
      <c r="H144" s="1" t="str">
        <f>VLOOKUP($E144,'Activity List CSI'!$D$4:$J$146,H$1,0)</f>
        <v>ConcreteWork</v>
      </c>
      <c r="I144" s="1" t="str">
        <f>VLOOKUP(D144,'Activity List CSI'!$C$4:$H$146,6,0)</f>
        <v>03300</v>
      </c>
      <c r="J144" s="1" t="str">
        <f>VLOOKUP($E144,'Activity List CSI'!$D$4:$J$146,J$1,0)</f>
        <v>Cast-In-Place Concrete</v>
      </c>
      <c r="K144" s="1" t="s">
        <v>702</v>
      </c>
      <c r="L144" s="1">
        <v>405</v>
      </c>
      <c r="M144" s="1" t="str">
        <f t="shared" si="9"/>
        <v>03300405</v>
      </c>
      <c r="N144" s="12" t="str">
        <f t="shared" si="8"/>
        <v>03300405</v>
      </c>
    </row>
    <row r="145" spans="4:14" x14ac:dyDescent="0.25">
      <c r="D145" s="11" t="s">
        <v>228</v>
      </c>
      <c r="E145" s="1" t="str">
        <f>VLOOKUP(F145,'Activity List CSI'!$B$4:$D$146,3,0)</f>
        <v>03300-14</v>
      </c>
      <c r="F145" s="1" t="s">
        <v>437</v>
      </c>
      <c r="G145" s="1" t="str">
        <f>VLOOKUP($E145,'Activity List CSI'!$D$4:$J$146,G$1,0)</f>
        <v>03</v>
      </c>
      <c r="H145" s="1" t="str">
        <f>VLOOKUP($E145,'Activity List CSI'!$D$4:$J$146,H$1,0)</f>
        <v>ConcreteWork</v>
      </c>
      <c r="I145" s="1" t="str">
        <f>VLOOKUP(D145,'Activity List CSI'!$C$4:$H$146,6,0)</f>
        <v>03300</v>
      </c>
      <c r="J145" s="1" t="str">
        <f>VLOOKUP($E145,'Activity List CSI'!$D$4:$J$146,J$1,0)</f>
        <v>Cast-In-Place Concrete</v>
      </c>
      <c r="K145" s="1" t="s">
        <v>703</v>
      </c>
      <c r="L145" s="1">
        <v>410</v>
      </c>
      <c r="M145" s="1" t="str">
        <f t="shared" si="9"/>
        <v>03300410</v>
      </c>
      <c r="N145" s="12" t="str">
        <f t="shared" si="8"/>
        <v>03300410</v>
      </c>
    </row>
    <row r="146" spans="4:14" x14ac:dyDescent="0.25">
      <c r="D146" s="11" t="s">
        <v>228</v>
      </c>
      <c r="E146" s="1" t="str">
        <f>VLOOKUP(F146,'Activity List CSI'!$B$4:$D$146,3,0)</f>
        <v>03300-14</v>
      </c>
      <c r="F146" s="1" t="s">
        <v>437</v>
      </c>
      <c r="G146" s="1" t="str">
        <f>VLOOKUP($E146,'Activity List CSI'!$D$4:$J$146,G$1,0)</f>
        <v>03</v>
      </c>
      <c r="H146" s="1" t="str">
        <f>VLOOKUP($E146,'Activity List CSI'!$D$4:$J$146,H$1,0)</f>
        <v>ConcreteWork</v>
      </c>
      <c r="I146" s="1" t="str">
        <f>VLOOKUP(D146,'Activity List CSI'!$C$4:$H$146,6,0)</f>
        <v>03300</v>
      </c>
      <c r="J146" s="1" t="str">
        <f>VLOOKUP($E146,'Activity List CSI'!$D$4:$J$146,J$1,0)</f>
        <v>Cast-In-Place Concrete</v>
      </c>
      <c r="K146" s="1" t="s">
        <v>704</v>
      </c>
      <c r="L146" s="1">
        <v>415</v>
      </c>
      <c r="M146" s="1" t="str">
        <f t="shared" si="9"/>
        <v>03300415</v>
      </c>
      <c r="N146" s="12" t="str">
        <f t="shared" si="8"/>
        <v>03300415</v>
      </c>
    </row>
    <row r="147" spans="4:14" x14ac:dyDescent="0.25">
      <c r="D147" s="11" t="s">
        <v>107</v>
      </c>
      <c r="E147" s="1" t="str">
        <f>VLOOKUP(F147,'Activity List CSI'!$B$4:$D$146,3,0)</f>
        <v>04400-01</v>
      </c>
      <c r="F147" s="1" t="s">
        <v>108</v>
      </c>
      <c r="G147" s="1" t="str">
        <f>VLOOKUP($E147,'Activity List CSI'!$D$4:$J$146,G$1,0)</f>
        <v>04</v>
      </c>
      <c r="H147" s="1" t="str">
        <f>VLOOKUP($E147,'Activity List CSI'!$D$4:$J$146,H$1,0)</f>
        <v>BlockWork</v>
      </c>
      <c r="I147" s="1" t="str">
        <f>VLOOKUP(D147,'Activity List CSI'!$C$4:$H$146,6,0)</f>
        <v>04400</v>
      </c>
      <c r="J147" s="1" t="str">
        <f>VLOOKUP($E147,'Activity List CSI'!$D$4:$J$146,J$1,0)</f>
        <v>Stone</v>
      </c>
      <c r="K147" s="1" t="s">
        <v>688</v>
      </c>
      <c r="L147" s="1">
        <v>405</v>
      </c>
      <c r="M147" s="13" t="str">
        <f t="shared" si="9"/>
        <v>04400405</v>
      </c>
      <c r="N147" s="12" t="s">
        <v>709</v>
      </c>
    </row>
    <row r="148" spans="4:14" x14ac:dyDescent="0.25">
      <c r="D148" s="11" t="s">
        <v>107</v>
      </c>
      <c r="E148" s="1" t="str">
        <f>VLOOKUP(F148,'Activity List CSI'!$B$4:$D$146,3,0)</f>
        <v>04400-01</v>
      </c>
      <c r="F148" s="1" t="s">
        <v>108</v>
      </c>
      <c r="G148" s="1" t="str">
        <f>VLOOKUP($E148,'Activity List CSI'!$D$4:$J$146,G$1,0)</f>
        <v>04</v>
      </c>
      <c r="H148" s="1" t="str">
        <f>VLOOKUP($E148,'Activity List CSI'!$D$4:$J$146,H$1,0)</f>
        <v>BlockWork</v>
      </c>
      <c r="I148" s="1" t="str">
        <f>VLOOKUP(D148,'Activity List CSI'!$C$4:$H$146,6,0)</f>
        <v>04400</v>
      </c>
      <c r="J148" s="1" t="str">
        <f>VLOOKUP($E148,'Activity List CSI'!$D$4:$J$146,J$1,0)</f>
        <v>Stone</v>
      </c>
      <c r="K148" s="1" t="s">
        <v>690</v>
      </c>
      <c r="L148" s="1">
        <v>415</v>
      </c>
      <c r="M148" s="13" t="str">
        <f t="shared" si="9"/>
        <v>04400415</v>
      </c>
      <c r="N148" s="12" t="s">
        <v>710</v>
      </c>
    </row>
    <row r="149" spans="4:14" x14ac:dyDescent="0.25">
      <c r="D149" s="11" t="s">
        <v>134</v>
      </c>
      <c r="E149" s="1" t="str">
        <f>VLOOKUP(F149,'Activity List CSI'!$B$4:$D$146,3,0)</f>
        <v>07200-03</v>
      </c>
      <c r="F149" s="1" t="s">
        <v>135</v>
      </c>
      <c r="G149" s="1" t="str">
        <f>VLOOKUP($E149,'Activity List CSI'!$D$4:$J$146,G$1,0)</f>
        <v>07</v>
      </c>
      <c r="H149" s="1" t="str">
        <f>VLOOKUP($E149,'Activity List CSI'!$D$4:$J$146,H$1,0)</f>
        <v>Insulation</v>
      </c>
      <c r="I149" s="1" t="str">
        <f>VLOOKUP(D149,'Activity List CSI'!$C$4:$H$146,6,0)</f>
        <v>07200</v>
      </c>
      <c r="J149" s="1" t="str">
        <f>VLOOKUP($E149,'Activity List CSI'!$D$4:$J$146,J$1,0)</f>
        <v>Thermal Protection</v>
      </c>
      <c r="K149" s="1" t="s">
        <v>705</v>
      </c>
      <c r="L149" s="1">
        <v>405</v>
      </c>
      <c r="M149" s="1" t="str">
        <f t="shared" si="9"/>
        <v>07200405</v>
      </c>
      <c r="N149" s="12" t="str">
        <f t="shared" ref="N149:N150" si="10">M149</f>
        <v>07200405</v>
      </c>
    </row>
    <row r="150" spans="4:14" x14ac:dyDescent="0.25">
      <c r="D150" s="11" t="s">
        <v>134</v>
      </c>
      <c r="E150" s="1" t="str">
        <f>VLOOKUP(F150,'Activity List CSI'!$B$4:$D$146,3,0)</f>
        <v>07200-03</v>
      </c>
      <c r="F150" s="1" t="s">
        <v>135</v>
      </c>
      <c r="G150" s="1" t="str">
        <f>VLOOKUP($E150,'Activity List CSI'!$D$4:$J$146,G$1,0)</f>
        <v>07</v>
      </c>
      <c r="H150" s="1" t="str">
        <f>VLOOKUP($E150,'Activity List CSI'!$D$4:$J$146,H$1,0)</f>
        <v>Insulation</v>
      </c>
      <c r="I150" s="1" t="str">
        <f>VLOOKUP(D150,'Activity List CSI'!$C$4:$H$146,6,0)</f>
        <v>07200</v>
      </c>
      <c r="J150" s="1" t="str">
        <f>VLOOKUP($E150,'Activity List CSI'!$D$4:$J$146,J$1,0)</f>
        <v>Thermal Protection</v>
      </c>
      <c r="K150" s="1" t="s">
        <v>705</v>
      </c>
      <c r="L150" s="1">
        <v>405</v>
      </c>
      <c r="M150" s="1" t="str">
        <f t="shared" si="9"/>
        <v>07200405</v>
      </c>
      <c r="N150" s="12" t="str">
        <f t="shared" si="10"/>
        <v>07200405</v>
      </c>
    </row>
    <row r="151" spans="4:14" x14ac:dyDescent="0.25">
      <c r="D151" s="11" t="s">
        <v>300</v>
      </c>
      <c r="E151" s="1" t="str">
        <f>VLOOKUP(F151,'Activity List CSI'!$B$4:$D$146,3,0)</f>
        <v>15200-01</v>
      </c>
      <c r="F151" s="1" t="s">
        <v>295</v>
      </c>
      <c r="G151" s="1" t="str">
        <f>VLOOKUP($E151,'Activity List CSI'!$D$4:$J$146,G$1,0)</f>
        <v>15</v>
      </c>
      <c r="H151" s="1" t="str">
        <f>VLOOKUP($E151,'Activity List CSI'!$D$4:$J$146,H$1,0)</f>
        <v>Mechanical Work</v>
      </c>
      <c r="I151" s="1" t="str">
        <f>VLOOKUP(D151,'Activity List CSI'!$C$4:$H$146,6,0)</f>
        <v>15200</v>
      </c>
      <c r="J151" s="1" t="str">
        <f>VLOOKUP($E151,'Activity List CSI'!$D$4:$J$146,J$1,0)</f>
        <v>Process Piping</v>
      </c>
      <c r="K151" s="1" t="s">
        <v>708</v>
      </c>
      <c r="L151" s="1">
        <v>405</v>
      </c>
      <c r="M151" s="13" t="str">
        <f t="shared" si="9"/>
        <v>15200405</v>
      </c>
      <c r="N151" s="12" t="s">
        <v>714</v>
      </c>
    </row>
    <row r="152" spans="4:14" x14ac:dyDescent="0.25">
      <c r="D152" s="11" t="s">
        <v>301</v>
      </c>
      <c r="E152" s="1" t="str">
        <f>VLOOKUP(F152,'Activity List CSI'!$B$4:$D$146,3,0)</f>
        <v>15200-02</v>
      </c>
      <c r="F152" s="1" t="s">
        <v>296</v>
      </c>
      <c r="G152" s="1" t="str">
        <f>VLOOKUP($E152,'Activity List CSI'!$D$4:$J$146,G$1,0)</f>
        <v>15</v>
      </c>
      <c r="H152" s="1" t="str">
        <f>VLOOKUP($E152,'Activity List CSI'!$D$4:$J$146,H$1,0)</f>
        <v>Mechanical Work</v>
      </c>
      <c r="I152" s="1" t="str">
        <f>VLOOKUP(D152,'Activity List CSI'!$C$4:$H$146,6,0)</f>
        <v>15200</v>
      </c>
      <c r="J152" s="1" t="str">
        <f>VLOOKUP($E152,'Activity List CSI'!$D$4:$J$146,J$1,0)</f>
        <v>Process Piping</v>
      </c>
      <c r="K152" s="1" t="s">
        <v>708</v>
      </c>
      <c r="L152" s="1">
        <v>405</v>
      </c>
      <c r="M152" s="13" t="str">
        <f t="shared" si="9"/>
        <v>15200405</v>
      </c>
      <c r="N152" s="12" t="s">
        <v>714</v>
      </c>
    </row>
    <row r="153" spans="4:14" x14ac:dyDescent="0.25">
      <c r="D153" s="11" t="s">
        <v>302</v>
      </c>
      <c r="E153" s="1" t="str">
        <f>VLOOKUP(F153,'Activity List CSI'!$B$4:$D$146,3,0)</f>
        <v>15200-03</v>
      </c>
      <c r="F153" s="1" t="s">
        <v>297</v>
      </c>
      <c r="G153" s="1" t="str">
        <f>VLOOKUP($E153,'Activity List CSI'!$D$4:$J$146,G$1,0)</f>
        <v>15</v>
      </c>
      <c r="H153" s="1" t="str">
        <f>VLOOKUP($E153,'Activity List CSI'!$D$4:$J$146,H$1,0)</f>
        <v>Mechanical Work</v>
      </c>
      <c r="I153" s="1" t="str">
        <f>VLOOKUP(D153,'Activity List CSI'!$C$4:$H$146,6,0)</f>
        <v>15200</v>
      </c>
      <c r="J153" s="1" t="str">
        <f>VLOOKUP($E153,'Activity List CSI'!$D$4:$J$146,J$1,0)</f>
        <v>Process Piping</v>
      </c>
      <c r="K153" s="1" t="s">
        <v>708</v>
      </c>
      <c r="L153" s="1">
        <v>405</v>
      </c>
      <c r="M153" s="13" t="str">
        <f t="shared" si="9"/>
        <v>15200405</v>
      </c>
      <c r="N153" s="12" t="s">
        <v>714</v>
      </c>
    </row>
    <row r="154" spans="4:14" x14ac:dyDescent="0.25">
      <c r="D154" s="11" t="s">
        <v>304</v>
      </c>
      <c r="E154" s="1" t="str">
        <f>VLOOKUP(F154,'Activity List CSI'!$B$4:$D$146,3,0)</f>
        <v>15200-05</v>
      </c>
      <c r="F154" s="1" t="s">
        <v>299</v>
      </c>
      <c r="G154" s="1" t="str">
        <f>VLOOKUP($E154,'Activity List CSI'!$D$4:$J$146,G$1,0)</f>
        <v>15</v>
      </c>
      <c r="H154" s="1" t="str">
        <f>VLOOKUP($E154,'Activity List CSI'!$D$4:$J$146,H$1,0)</f>
        <v>Mechanical Work</v>
      </c>
      <c r="I154" s="1" t="str">
        <f>VLOOKUP(D154,'Activity List CSI'!$C$4:$H$146,6,0)</f>
        <v>15200</v>
      </c>
      <c r="J154" s="1" t="str">
        <f>VLOOKUP($E154,'Activity List CSI'!$D$4:$J$146,J$1,0)</f>
        <v>Process Piping</v>
      </c>
      <c r="K154" s="1" t="s">
        <v>708</v>
      </c>
      <c r="L154" s="1">
        <v>405</v>
      </c>
      <c r="M154" s="13" t="str">
        <f t="shared" si="9"/>
        <v>15200405</v>
      </c>
      <c r="N154" s="12" t="s">
        <v>714</v>
      </c>
    </row>
    <row r="155" spans="4:14" x14ac:dyDescent="0.25">
      <c r="D155" s="11" t="s">
        <v>409</v>
      </c>
      <c r="E155" s="1" t="str">
        <f>VLOOKUP(F155,'Activity List CSI'!$B$4:$D$146,3,0)</f>
        <v>15200-06</v>
      </c>
      <c r="F155" s="1" t="s">
        <v>410</v>
      </c>
      <c r="G155" s="1" t="str">
        <f>VLOOKUP($E155,'Activity List CSI'!$D$4:$J$146,G$1,0)</f>
        <v>15</v>
      </c>
      <c r="H155" s="1" t="str">
        <f>VLOOKUP($E155,'Activity List CSI'!$D$4:$J$146,H$1,0)</f>
        <v>Mechanical Work</v>
      </c>
      <c r="I155" s="1" t="str">
        <f>VLOOKUP(D155,'Activity List CSI'!$C$4:$H$146,6,0)</f>
        <v>15200</v>
      </c>
      <c r="J155" s="1" t="str">
        <f>VLOOKUP($E155,'Activity List CSI'!$D$4:$J$146,J$1,0)</f>
        <v>Process Piping</v>
      </c>
      <c r="K155" s="1" t="s">
        <v>690</v>
      </c>
      <c r="L155" s="1">
        <v>415</v>
      </c>
      <c r="M155" s="13" t="str">
        <f t="shared" si="9"/>
        <v>15200415</v>
      </c>
      <c r="N155" s="12" t="s">
        <v>710</v>
      </c>
    </row>
    <row r="156" spans="4:14" x14ac:dyDescent="0.25">
      <c r="D156" s="11" t="s">
        <v>409</v>
      </c>
      <c r="E156" s="1" t="str">
        <f>VLOOKUP(F156,'Activity List CSI'!$B$4:$D$146,3,0)</f>
        <v>15200-06</v>
      </c>
      <c r="F156" s="1" t="s">
        <v>410</v>
      </c>
      <c r="G156" s="1" t="str">
        <f>VLOOKUP($E156,'Activity List CSI'!$D$4:$J$146,G$1,0)</f>
        <v>15</v>
      </c>
      <c r="H156" s="1" t="str">
        <f>VLOOKUP($E156,'Activity List CSI'!$D$4:$J$146,H$1,0)</f>
        <v>Mechanical Work</v>
      </c>
      <c r="I156" s="1" t="str">
        <f>VLOOKUP(D156,'Activity List CSI'!$C$4:$H$146,6,0)</f>
        <v>15200</v>
      </c>
      <c r="J156" s="1" t="str">
        <f>VLOOKUP($E156,'Activity List CSI'!$D$4:$J$146,J$1,0)</f>
        <v>Process Piping</v>
      </c>
      <c r="K156" s="1" t="s">
        <v>708</v>
      </c>
      <c r="L156" s="1">
        <v>405</v>
      </c>
      <c r="M156" s="13" t="str">
        <f t="shared" si="9"/>
        <v>15200405</v>
      </c>
      <c r="N156" s="12" t="s">
        <v>714</v>
      </c>
    </row>
    <row r="157" spans="4:14" x14ac:dyDescent="0.25">
      <c r="D157" s="11"/>
      <c r="E157" s="1"/>
      <c r="F157" s="1"/>
      <c r="G157" s="2" t="s">
        <v>217</v>
      </c>
      <c r="H157" s="1" t="str">
        <f>VLOOKUP(G157,$G$4:$H$156,2,0)</f>
        <v>EarthWork</v>
      </c>
      <c r="I157" s="1" t="s">
        <v>312</v>
      </c>
      <c r="J157" s="1" t="str">
        <f>VLOOKUP(I157,$I$4:$J$156,2,0)</f>
        <v>Bases, Ballast,Pavement &amp; Appurtenances</v>
      </c>
      <c r="K157" s="1" t="s">
        <v>706</v>
      </c>
      <c r="L157" s="1">
        <v>440</v>
      </c>
      <c r="M157" s="1" t="str">
        <f t="shared" si="9"/>
        <v>02700440</v>
      </c>
      <c r="N157" s="12" t="str">
        <f t="shared" ref="N157:N159" si="11">M157</f>
        <v>02700440</v>
      </c>
    </row>
    <row r="158" spans="4:14" x14ac:dyDescent="0.25">
      <c r="D158" s="11"/>
      <c r="E158" s="1"/>
      <c r="F158" s="1"/>
      <c r="G158" s="2" t="s">
        <v>217</v>
      </c>
      <c r="H158" s="1" t="str">
        <f t="shared" ref="H158:H159" si="12">VLOOKUP(G158,$G$4:$H$156,2,0)</f>
        <v>EarthWork</v>
      </c>
      <c r="I158" s="2" t="s">
        <v>310</v>
      </c>
      <c r="J158" s="2" t="str">
        <f t="shared" ref="J158:J159" si="13">VLOOKUP(I158,$I$4:$J$156,2,0)</f>
        <v>Earthwork</v>
      </c>
      <c r="K158" s="1" t="s">
        <v>715</v>
      </c>
      <c r="L158" s="1">
        <v>450</v>
      </c>
      <c r="M158" s="1" t="str">
        <f t="shared" si="9"/>
        <v>02300450</v>
      </c>
      <c r="N158" s="12" t="str">
        <f t="shared" si="11"/>
        <v>02300450</v>
      </c>
    </row>
    <row r="159" spans="4:14" ht="15.75" thickBot="1" x14ac:dyDescent="0.3">
      <c r="D159" s="14"/>
      <c r="E159" s="15"/>
      <c r="F159" s="15"/>
      <c r="G159" s="16" t="s">
        <v>217</v>
      </c>
      <c r="H159" s="15" t="str">
        <f t="shared" si="12"/>
        <v>EarthWork</v>
      </c>
      <c r="I159" s="16" t="s">
        <v>310</v>
      </c>
      <c r="J159" s="16" t="str">
        <f t="shared" si="13"/>
        <v>Earthwork</v>
      </c>
      <c r="K159" s="15" t="s">
        <v>716</v>
      </c>
      <c r="L159" s="15">
        <v>455</v>
      </c>
      <c r="M159" s="15" t="str">
        <f t="shared" ref="M159" si="14">I159&amp;L159</f>
        <v>02300455</v>
      </c>
      <c r="N159" s="17" t="str">
        <f t="shared" si="11"/>
        <v>02300455</v>
      </c>
    </row>
  </sheetData>
  <autoFilter ref="D3:N159" xr:uid="{00000000-0009-0000-0000-00000D000000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C1:AM39"/>
  <sheetViews>
    <sheetView topLeftCell="Z1" workbookViewId="0">
      <selection activeCell="H7" sqref="H7"/>
    </sheetView>
  </sheetViews>
  <sheetFormatPr defaultRowHeight="15" x14ac:dyDescent="0.25"/>
  <cols>
    <col min="3" max="4" width="31.85546875" bestFit="1" customWidth="1"/>
    <col min="5" max="5" width="13.42578125" customWidth="1"/>
    <col min="6" max="6" width="17.140625" customWidth="1"/>
    <col min="7" max="7" width="9.28515625" style="7" customWidth="1"/>
    <col min="8" max="8" width="18.28515625" style="7" customWidth="1"/>
    <col min="9" max="9" width="13.28515625" customWidth="1"/>
    <col min="10" max="10" width="11.5703125" customWidth="1"/>
    <col min="11" max="11" width="13" customWidth="1"/>
    <col min="12" max="14" width="15.28515625" customWidth="1"/>
    <col min="15" max="15" width="24.5703125" customWidth="1"/>
    <col min="16" max="19" width="11.7109375" customWidth="1"/>
    <col min="20" max="28" width="12.42578125" customWidth="1"/>
    <col min="29" max="34" width="11.28515625" customWidth="1"/>
    <col min="37" max="37" width="22.7109375" bestFit="1" customWidth="1"/>
    <col min="38" max="38" width="13" customWidth="1"/>
    <col min="39" max="39" width="17.7109375" customWidth="1"/>
  </cols>
  <sheetData>
    <row r="1" spans="3:39" ht="15.75" thickBot="1" x14ac:dyDescent="0.3"/>
    <row r="2" spans="3:39" ht="34.5" thickBot="1" x14ac:dyDescent="0.55000000000000004">
      <c r="I2" s="375" t="s">
        <v>833</v>
      </c>
      <c r="J2" s="376"/>
      <c r="K2" s="376"/>
      <c r="L2" s="376"/>
      <c r="M2" s="376"/>
      <c r="N2" s="377"/>
      <c r="O2" s="372" t="s">
        <v>834</v>
      </c>
      <c r="P2" s="378"/>
      <c r="Q2" s="379"/>
      <c r="R2" s="379"/>
      <c r="S2" s="380"/>
      <c r="T2" s="373" t="s">
        <v>1232</v>
      </c>
      <c r="U2" s="381"/>
      <c r="V2" s="381"/>
      <c r="W2" s="381"/>
      <c r="X2" s="381"/>
      <c r="Y2" s="381"/>
      <c r="Z2" s="381"/>
      <c r="AA2" s="381"/>
      <c r="AB2" s="381"/>
      <c r="AC2" s="374" t="s">
        <v>725</v>
      </c>
      <c r="AD2" s="382"/>
      <c r="AE2" s="382"/>
      <c r="AF2" s="382"/>
      <c r="AG2" s="382"/>
      <c r="AH2" s="383"/>
    </row>
    <row r="3" spans="3:39" ht="44.25" customHeight="1" thickTop="1" thickBot="1" x14ac:dyDescent="0.3">
      <c r="C3" s="413" t="s">
        <v>1367</v>
      </c>
      <c r="D3" s="413" t="s">
        <v>1127</v>
      </c>
      <c r="E3" s="413" t="s">
        <v>511</v>
      </c>
      <c r="F3" s="284" t="s">
        <v>912</v>
      </c>
      <c r="G3" s="346" t="s">
        <v>1230</v>
      </c>
      <c r="H3" s="346" t="s">
        <v>1354</v>
      </c>
      <c r="I3" s="353" t="s">
        <v>822</v>
      </c>
      <c r="J3" s="285" t="s">
        <v>823</v>
      </c>
      <c r="K3" s="285" t="s">
        <v>721</v>
      </c>
      <c r="L3" s="285" t="s">
        <v>824</v>
      </c>
      <c r="M3" s="285" t="s">
        <v>825</v>
      </c>
      <c r="N3" s="285" t="s">
        <v>826</v>
      </c>
      <c r="O3" s="363" t="s">
        <v>821</v>
      </c>
      <c r="P3" s="364" t="s">
        <v>1224</v>
      </c>
      <c r="Q3" s="365" t="s">
        <v>722</v>
      </c>
      <c r="R3" s="365" t="s">
        <v>723</v>
      </c>
      <c r="S3" s="394" t="s">
        <v>724</v>
      </c>
      <c r="T3" s="395" t="s">
        <v>853</v>
      </c>
      <c r="U3" s="387" t="s">
        <v>891</v>
      </c>
      <c r="V3" s="396" t="s">
        <v>892</v>
      </c>
      <c r="W3" s="395" t="s">
        <v>854</v>
      </c>
      <c r="X3" s="387" t="s">
        <v>894</v>
      </c>
      <c r="Y3" s="396" t="s">
        <v>895</v>
      </c>
      <c r="Z3" s="395" t="s">
        <v>865</v>
      </c>
      <c r="AA3" s="387" t="s">
        <v>898</v>
      </c>
      <c r="AB3" s="396" t="s">
        <v>899</v>
      </c>
      <c r="AC3" s="388" t="s">
        <v>879</v>
      </c>
      <c r="AD3" s="389" t="s">
        <v>880</v>
      </c>
      <c r="AE3" s="390" t="s">
        <v>881</v>
      </c>
      <c r="AF3" s="388" t="s">
        <v>885</v>
      </c>
      <c r="AG3" s="389" t="s">
        <v>886</v>
      </c>
      <c r="AH3" s="390" t="s">
        <v>887</v>
      </c>
      <c r="AK3" s="399" t="s">
        <v>1236</v>
      </c>
      <c r="AL3" s="408" t="s">
        <v>912</v>
      </c>
      <c r="AM3" s="403" t="s">
        <v>511</v>
      </c>
    </row>
    <row r="4" spans="3:39" ht="15.75" x14ac:dyDescent="0.25">
      <c r="C4" s="414" t="str">
        <f>F4&amp;"-"&amp;G4</f>
        <v>02700425-001</v>
      </c>
      <c r="D4" s="414" t="s">
        <v>698</v>
      </c>
      <c r="E4" s="414" t="s">
        <v>1237</v>
      </c>
      <c r="F4" s="46" t="str">
        <f>VLOOKUP(D4,'Equip. List CSI'!$K$4:$N$159,4,0)</f>
        <v>02700425</v>
      </c>
      <c r="G4" s="357" t="s">
        <v>796</v>
      </c>
      <c r="H4" s="357" t="s">
        <v>1355</v>
      </c>
      <c r="I4" s="354">
        <v>1190000</v>
      </c>
      <c r="J4" s="347">
        <f>I4*0.1</f>
        <v>119000</v>
      </c>
      <c r="K4" s="348">
        <v>91</v>
      </c>
      <c r="L4" s="349">
        <f>(I4-J4)/K4</f>
        <v>11769.23076923077</v>
      </c>
      <c r="M4" s="347">
        <f>L4/26</f>
        <v>452.66272189349115</v>
      </c>
      <c r="N4" s="360">
        <f>M4/8</f>
        <v>56.582840236686394</v>
      </c>
      <c r="O4" s="46" t="str">
        <f>VLOOKUP(F4,'List of Unique Machinary'!$C$6:$L$71,10,0)</f>
        <v>Operator Asphalt</v>
      </c>
      <c r="P4" s="47" t="str">
        <f>VLOOKUP(O4,'Manpower List'!$F$5:$H$170,3,0)</f>
        <v>02200025</v>
      </c>
      <c r="Q4" s="367">
        <f>VLOOKUP(P4,'Manpower List'!$H$5:$Y$170,18,0)</f>
        <v>2784.4455555555555</v>
      </c>
      <c r="R4" s="367">
        <f>Q4/26</f>
        <v>107.09405982905983</v>
      </c>
      <c r="S4" s="384">
        <f>R4/8</f>
        <v>13.386757478632479</v>
      </c>
      <c r="T4" s="392">
        <f>'List of Unique Machinary'!Y39</f>
        <v>0</v>
      </c>
      <c r="U4" s="367">
        <f>'List of Unique Machinary'!Z39</f>
        <v>0</v>
      </c>
      <c r="V4" s="368">
        <f>'List of Unique Machinary'!AA39</f>
        <v>0</v>
      </c>
      <c r="W4" s="392">
        <f>'List of Unique Machinary'!AB39</f>
        <v>7.6500000000000012E-2</v>
      </c>
      <c r="X4" s="367">
        <f>'List of Unique Machinary'!AC39</f>
        <v>0.6120000000000001</v>
      </c>
      <c r="Y4" s="368">
        <f>'List of Unique Machinary'!AD39</f>
        <v>15.912000000000003</v>
      </c>
      <c r="Z4" s="392">
        <f>'List of Unique Machinary'!AK39</f>
        <v>8.6249999999999993E-2</v>
      </c>
      <c r="AA4" s="367">
        <f>'List of Unique Machinary'!AL39</f>
        <v>0.69</v>
      </c>
      <c r="AB4" s="368">
        <f>'List of Unique Machinary'!AM39</f>
        <v>17.939999999999998</v>
      </c>
      <c r="AC4" s="392">
        <f>'List of Unique Machinary'!AO39</f>
        <v>11769.23076923077</v>
      </c>
      <c r="AD4" s="367">
        <f>'List of Unique Machinary'!AP39</f>
        <v>452.66272189349115</v>
      </c>
      <c r="AE4" s="368">
        <f>'List of Unique Machinary'!AQ39</f>
        <v>56.582840236686394</v>
      </c>
      <c r="AF4" s="392">
        <f>'List of Unique Machinary'!AR39</f>
        <v>0</v>
      </c>
      <c r="AG4" s="367">
        <f>'List of Unique Machinary'!AS39</f>
        <v>0</v>
      </c>
      <c r="AH4" s="368">
        <f>'List of Unique Machinary'!AT39</f>
        <v>0</v>
      </c>
      <c r="AI4" s="27">
        <f>S4+T4+W4+Z4+AE4+AH4</f>
        <v>70.132347715318872</v>
      </c>
      <c r="AK4" s="400" t="s">
        <v>698</v>
      </c>
      <c r="AL4" s="409" t="str">
        <f>VLOOKUP(AK4,'List of Unique Machinary'!$B$6:$C$71,2,0)</f>
        <v>02700425</v>
      </c>
      <c r="AM4" s="404" t="s">
        <v>1237</v>
      </c>
    </row>
    <row r="5" spans="3:39" ht="15.75" x14ac:dyDescent="0.25">
      <c r="C5" s="21" t="str">
        <f t="shared" ref="C5:C39" si="0">F5&amp;"-"&amp;G5</f>
        <v>02700425-002</v>
      </c>
      <c r="D5" s="21" t="s">
        <v>698</v>
      </c>
      <c r="E5" s="21" t="s">
        <v>1237</v>
      </c>
      <c r="F5" s="11" t="str">
        <f>VLOOKUP(D5,'Equip. List CSI'!$K$4:$N$159,4,0)</f>
        <v>02700425</v>
      </c>
      <c r="G5" s="358" t="s">
        <v>797</v>
      </c>
      <c r="H5" s="358" t="s">
        <v>1356</v>
      </c>
      <c r="I5" s="355">
        <f>(380000+190000)/2</f>
        <v>285000</v>
      </c>
      <c r="J5" s="159">
        <f t="shared" ref="J5:J39" si="1">I5*0.1</f>
        <v>28500</v>
      </c>
      <c r="K5" s="286">
        <v>91</v>
      </c>
      <c r="L5" s="287">
        <f t="shared" ref="L5:L39" si="2">(I5-J5)/K5</f>
        <v>2818.6813186813188</v>
      </c>
      <c r="M5" s="159">
        <f t="shared" ref="M5:M39" si="3">L5/26</f>
        <v>108.41081994928149</v>
      </c>
      <c r="N5" s="361">
        <f t="shared" ref="N5:N39" si="4">M5/8</f>
        <v>13.551352493660186</v>
      </c>
      <c r="O5" s="11" t="str">
        <f>VLOOKUP(F5,'List of Unique Machinary'!$C$6:$L$71,10,0)</f>
        <v>Operator Asphalt</v>
      </c>
      <c r="P5" s="1" t="str">
        <f>VLOOKUP(O5,'Manpower List'!$F$5:$H$170,3,0)</f>
        <v>02200025</v>
      </c>
      <c r="Q5" s="366">
        <f>VLOOKUP(P5,'Manpower List'!$H$5:$Y$170,18,0)</f>
        <v>2784.4455555555555</v>
      </c>
      <c r="R5" s="366">
        <f t="shared" ref="R5:R39" si="5">Q5/26</f>
        <v>107.09405982905983</v>
      </c>
      <c r="S5" s="385">
        <f t="shared" ref="S5:S39" si="6">R5/8</f>
        <v>13.386757478632479</v>
      </c>
      <c r="T5" s="391">
        <f>('List of Unique Machinary'!Y40+'List of Unique Machinary'!Y41)/2</f>
        <v>3.8744999999999994</v>
      </c>
      <c r="U5" s="366">
        <f>('List of Unique Machinary'!Z40+'List of Unique Machinary'!Z41)/2</f>
        <v>30.995999999999995</v>
      </c>
      <c r="V5" s="369">
        <f>('List of Unique Machinary'!AA40+'List of Unique Machinary'!AA41)/2</f>
        <v>805.89599999999996</v>
      </c>
      <c r="W5" s="391">
        <f>('List of Unique Machinary'!AB40+'List of Unique Machinary'!AB41)/2</f>
        <v>0</v>
      </c>
      <c r="X5" s="366">
        <f>('List of Unique Machinary'!AC40+'List of Unique Machinary'!AC41)/2</f>
        <v>0</v>
      </c>
      <c r="Y5" s="369">
        <f>('List of Unique Machinary'!AD40+'List of Unique Machinary'!AD41)/2</f>
        <v>0</v>
      </c>
      <c r="Z5" s="391">
        <f>('List of Unique Machinary'!AK40+'List of Unique Machinary'!AK41)/2</f>
        <v>3.8437499999999999E-2</v>
      </c>
      <c r="AA5" s="366">
        <f>('List of Unique Machinary'!AL40+'List of Unique Machinary'!AL41)/2</f>
        <v>0.3075</v>
      </c>
      <c r="AB5" s="369">
        <f>('List of Unique Machinary'!AM40+'List of Unique Machinary'!AM41)/2</f>
        <v>7.9949999999999992</v>
      </c>
      <c r="AC5" s="391">
        <f>('List of Unique Machinary'!AO40+'List of Unique Machinary'!AO41)/2</f>
        <v>2818.6813186813188</v>
      </c>
      <c r="AD5" s="366">
        <f>('List of Unique Machinary'!AP40+'List of Unique Machinary'!AP41)/2</f>
        <v>108.41081994928149</v>
      </c>
      <c r="AE5" s="369">
        <f>('List of Unique Machinary'!AQ40+'List of Unique Machinary'!AQ41)/2</f>
        <v>13.551352493660186</v>
      </c>
      <c r="AF5" s="391">
        <f>('List of Unique Machinary'!AR40+'List of Unique Machinary'!AR41)/2</f>
        <v>0</v>
      </c>
      <c r="AG5" s="366">
        <f>('List of Unique Machinary'!AS40+'List of Unique Machinary'!AS41)/2</f>
        <v>0</v>
      </c>
      <c r="AH5" s="369">
        <f>('List of Unique Machinary'!AT40+'List of Unique Machinary'!AT41)/2</f>
        <v>0</v>
      </c>
      <c r="AI5" s="27">
        <f t="shared" ref="AI5:AI39" si="7">S5+T5+W5+Z5+AE5+AH5</f>
        <v>30.851047472292667</v>
      </c>
      <c r="AK5" s="401" t="s">
        <v>707</v>
      </c>
      <c r="AL5" s="310" t="str">
        <f>VLOOKUP(AK5,'List of Unique Machinary'!$B$6:$C$71,2,0)</f>
        <v>02700410</v>
      </c>
      <c r="AM5" s="405" t="s">
        <v>1237</v>
      </c>
    </row>
    <row r="6" spans="3:39" x14ac:dyDescent="0.25">
      <c r="C6" s="21" t="str">
        <f t="shared" si="0"/>
        <v>02700410-001</v>
      </c>
      <c r="D6" s="21" t="s">
        <v>707</v>
      </c>
      <c r="E6" s="21" t="s">
        <v>1237</v>
      </c>
      <c r="F6" s="11" t="str">
        <f>VLOOKUP(D6,'Equip. List CSI'!$K$4:$N$159,4,0)</f>
        <v>02700410</v>
      </c>
      <c r="G6" s="358" t="s">
        <v>796</v>
      </c>
      <c r="H6" s="358" t="s">
        <v>1357</v>
      </c>
      <c r="I6" s="355">
        <v>325000</v>
      </c>
      <c r="J6" s="159">
        <f t="shared" si="1"/>
        <v>32500</v>
      </c>
      <c r="K6" s="286">
        <v>84</v>
      </c>
      <c r="L6" s="287">
        <f t="shared" si="2"/>
        <v>3482.1428571428573</v>
      </c>
      <c r="M6" s="159">
        <f t="shared" si="3"/>
        <v>133.92857142857144</v>
      </c>
      <c r="N6" s="361">
        <f t="shared" si="4"/>
        <v>16.741071428571431</v>
      </c>
      <c r="O6" s="11" t="str">
        <f>VLOOKUP(F6,'List of Unique Machinary'!$C$6:$L$71,10,0)</f>
        <v>Operator Roller</v>
      </c>
      <c r="P6" s="1" t="str">
        <f>VLOOKUP(O6,'Manpower List'!$F$5:$H$170,3,0)</f>
        <v>02300075</v>
      </c>
      <c r="Q6" s="366">
        <f>VLOOKUP(P6,'Manpower List'!$H$5:$Y$170,18,0)</f>
        <v>1447.5793964646466</v>
      </c>
      <c r="R6" s="366">
        <f t="shared" si="5"/>
        <v>55.676130633255639</v>
      </c>
      <c r="S6" s="385">
        <f t="shared" si="6"/>
        <v>6.9595163291569548</v>
      </c>
      <c r="T6" s="391">
        <f>'List of Unique Machinary'!Y66</f>
        <v>12.285</v>
      </c>
      <c r="U6" s="366">
        <f>'List of Unique Machinary'!Z66</f>
        <v>98.28</v>
      </c>
      <c r="V6" s="369">
        <f>'List of Unique Machinary'!AA66</f>
        <v>2555.2800000000002</v>
      </c>
      <c r="W6" s="391">
        <f>'List of Unique Machinary'!AB66</f>
        <v>0</v>
      </c>
      <c r="X6" s="366">
        <f>'List of Unique Machinary'!AC66</f>
        <v>0</v>
      </c>
      <c r="Y6" s="369">
        <f>'List of Unique Machinary'!AD66</f>
        <v>0</v>
      </c>
      <c r="Z6" s="391">
        <f>'List of Unique Machinary'!AK66</f>
        <v>0.12187500000000001</v>
      </c>
      <c r="AA6" s="366">
        <f>'List of Unique Machinary'!AL66</f>
        <v>0.97500000000000009</v>
      </c>
      <c r="AB6" s="369">
        <f>'List of Unique Machinary'!AM66</f>
        <v>25.35</v>
      </c>
      <c r="AC6" s="391">
        <f>'List of Unique Machinary'!AO66</f>
        <v>3482.1428571428573</v>
      </c>
      <c r="AD6" s="366">
        <f>'List of Unique Machinary'!AP66</f>
        <v>133.92857142857144</v>
      </c>
      <c r="AE6" s="369">
        <f>'List of Unique Machinary'!AQ66</f>
        <v>16.741071428571431</v>
      </c>
      <c r="AF6" s="391">
        <f>'List of Unique Machinary'!AR66</f>
        <v>0</v>
      </c>
      <c r="AG6" s="366">
        <f>'List of Unique Machinary'!AS66</f>
        <v>0</v>
      </c>
      <c r="AH6" s="369">
        <f>'List of Unique Machinary'!AT66</f>
        <v>0</v>
      </c>
      <c r="AI6" s="27">
        <f t="shared" si="7"/>
        <v>36.107462757728385</v>
      </c>
      <c r="AK6" s="320" t="s">
        <v>706</v>
      </c>
      <c r="AL6" s="311" t="str">
        <f>VLOOKUP(AK6,'List of Unique Machinary'!$B$6:$C$71,2,0)</f>
        <v>02700440</v>
      </c>
      <c r="AM6" s="406" t="s">
        <v>1237</v>
      </c>
    </row>
    <row r="7" spans="3:39" x14ac:dyDescent="0.25">
      <c r="C7" s="21" t="str">
        <f t="shared" si="0"/>
        <v>02700410-002</v>
      </c>
      <c r="D7" s="21" t="s">
        <v>707</v>
      </c>
      <c r="E7" s="21" t="s">
        <v>1237</v>
      </c>
      <c r="F7" s="11" t="str">
        <f>VLOOKUP(D7,'Equip. List CSI'!$K$4:$N$159,4,0)</f>
        <v>02700410</v>
      </c>
      <c r="G7" s="358" t="s">
        <v>797</v>
      </c>
      <c r="H7" s="358" t="s">
        <v>1358</v>
      </c>
      <c r="I7" s="355">
        <f>(122000+93000+135000)/3</f>
        <v>116666.66666666667</v>
      </c>
      <c r="J7" s="159">
        <f t="shared" si="1"/>
        <v>11666.666666666668</v>
      </c>
      <c r="K7" s="286">
        <v>69</v>
      </c>
      <c r="L7" s="287">
        <f t="shared" si="2"/>
        <v>1521.7391304347825</v>
      </c>
      <c r="M7" s="159">
        <f t="shared" si="3"/>
        <v>58.528428093645481</v>
      </c>
      <c r="N7" s="361">
        <f t="shared" si="4"/>
        <v>7.3160535117056851</v>
      </c>
      <c r="O7" s="11" t="str">
        <f>VLOOKUP(F7,'List of Unique Machinary'!$C$6:$L$71,10,0)</f>
        <v>Operator Roller</v>
      </c>
      <c r="P7" s="1" t="str">
        <f>VLOOKUP(O7,'Manpower List'!$F$5:$H$170,3,0)</f>
        <v>02300075</v>
      </c>
      <c r="Q7" s="366">
        <f>VLOOKUP(P7,'Manpower List'!$H$5:$Y$170,18,0)</f>
        <v>1447.5793964646466</v>
      </c>
      <c r="R7" s="366">
        <f t="shared" si="5"/>
        <v>55.676130633255639</v>
      </c>
      <c r="S7" s="385">
        <f t="shared" si="6"/>
        <v>6.9595163291569548</v>
      </c>
      <c r="T7" s="391">
        <f>('List of Unique Machinary'!Y64+'List of Unique Machinary'!Y65+'List of Unique Machinary'!Y67)/3</f>
        <v>2.7909000000000002</v>
      </c>
      <c r="U7" s="366">
        <f>('List of Unique Machinary'!Z64+'List of Unique Machinary'!Z65+'List of Unique Machinary'!Z67)/3</f>
        <v>22.327200000000001</v>
      </c>
      <c r="V7" s="369">
        <f>('List of Unique Machinary'!AA64+'List of Unique Machinary'!AA65+'List of Unique Machinary'!AA67)/3</f>
        <v>580.50720000000001</v>
      </c>
      <c r="W7" s="391">
        <f>('List of Unique Machinary'!AB64+'List of Unique Machinary'!AB65+'List of Unique Machinary'!AB67)/3</f>
        <v>0</v>
      </c>
      <c r="X7" s="366">
        <f>('List of Unique Machinary'!AC64+'List of Unique Machinary'!AC65+'List of Unique Machinary'!AC67)/3</f>
        <v>0</v>
      </c>
      <c r="Y7" s="369">
        <f>('List of Unique Machinary'!AD64+'List of Unique Machinary'!AD65+'List of Unique Machinary'!AD67)/3</f>
        <v>0</v>
      </c>
      <c r="Z7" s="391">
        <f>('List of Unique Machinary'!AK64+'List of Unique Machinary'!AK65+'List of Unique Machinary'!AK67)/3</f>
        <v>2.76875E-2</v>
      </c>
      <c r="AA7" s="366">
        <f>('List of Unique Machinary'!AL64+'List of Unique Machinary'!AL65+'List of Unique Machinary'!AL67)/3</f>
        <v>0.2215</v>
      </c>
      <c r="AB7" s="369">
        <f>('List of Unique Machinary'!AM64+'List of Unique Machinary'!AM65+'List of Unique Machinary'!AM67)/3</f>
        <v>5.7589999999999995</v>
      </c>
      <c r="AC7" s="391">
        <f>('List of Unique Machinary'!AO64+'List of Unique Machinary'!AO65+'List of Unique Machinary'!AO67)/3</f>
        <v>1609.782608695652</v>
      </c>
      <c r="AD7" s="366">
        <f>('List of Unique Machinary'!AP64+'List of Unique Machinary'!AP65+'List of Unique Machinary'!AP67)/3</f>
        <v>61.914715719063544</v>
      </c>
      <c r="AE7" s="369">
        <f>('List of Unique Machinary'!AQ64+'List of Unique Machinary'!AQ65+'List of Unique Machinary'!AQ67)/3</f>
        <v>7.739339464882943</v>
      </c>
      <c r="AF7" s="391">
        <f>('List of Unique Machinary'!AR64+'List of Unique Machinary'!AR65+'List of Unique Machinary'!AR67)/3</f>
        <v>67.5</v>
      </c>
      <c r="AG7" s="366">
        <f>('List of Unique Machinary'!AS64+'List of Unique Machinary'!AS65+'List of Unique Machinary'!AS67)/3</f>
        <v>2.5961538461538463</v>
      </c>
      <c r="AH7" s="369">
        <f>('List of Unique Machinary'!AT64+'List of Unique Machinary'!AT65+'List of Unique Machinary'!AT67)/3</f>
        <v>0.32451923076923078</v>
      </c>
      <c r="AI7" s="27">
        <f t="shared" si="7"/>
        <v>17.84196252480913</v>
      </c>
      <c r="AK7" s="320" t="s">
        <v>715</v>
      </c>
      <c r="AL7" s="311" t="str">
        <f>VLOOKUP(AK7,'List of Unique Machinary'!$B$6:$C$71,2,0)</f>
        <v>02300450</v>
      </c>
      <c r="AM7" s="406" t="s">
        <v>1237</v>
      </c>
    </row>
    <row r="8" spans="3:39" x14ac:dyDescent="0.25">
      <c r="C8" s="21" t="str">
        <f t="shared" si="0"/>
        <v>02700440-001</v>
      </c>
      <c r="D8" s="21" t="s">
        <v>706</v>
      </c>
      <c r="E8" s="21" t="s">
        <v>1237</v>
      </c>
      <c r="F8" s="11" t="str">
        <f>VLOOKUP(D8,'Equip. List CSI'!$K$4:$N$159,4,0)</f>
        <v>02700440</v>
      </c>
      <c r="G8" s="358" t="s">
        <v>796</v>
      </c>
      <c r="H8" s="358" t="s">
        <v>1356</v>
      </c>
      <c r="I8" s="355">
        <v>3880</v>
      </c>
      <c r="J8" s="159">
        <f t="shared" si="1"/>
        <v>388</v>
      </c>
      <c r="K8" s="286">
        <v>60</v>
      </c>
      <c r="L8" s="287">
        <f t="shared" si="2"/>
        <v>58.2</v>
      </c>
      <c r="M8" s="159">
        <f t="shared" si="3"/>
        <v>2.2384615384615385</v>
      </c>
      <c r="N8" s="361">
        <f t="shared" si="4"/>
        <v>0.27980769230769231</v>
      </c>
      <c r="O8" s="11" t="str">
        <f>VLOOKUP(F8,'List of Unique Machinary'!$C$6:$L$71,10,0)</f>
        <v>Operator Road Equipment</v>
      </c>
      <c r="P8" s="1" t="str">
        <f>VLOOKUP(O8,'Manpower List'!$F$5:$H$170,3,0)</f>
        <v>02300070</v>
      </c>
      <c r="Q8" s="366">
        <f>VLOOKUP(P8,'Manpower List'!$H$5:$Y$170,18,0)</f>
        <v>2215.3868055555558</v>
      </c>
      <c r="R8" s="366">
        <f t="shared" si="5"/>
        <v>85.207184829059841</v>
      </c>
      <c r="S8" s="385">
        <f t="shared" si="6"/>
        <v>10.65089810363248</v>
      </c>
      <c r="T8" s="391">
        <f>('List of Unique Machinary'!Y61+'List of Unique Machinary'!Y62)/2</f>
        <v>0</v>
      </c>
      <c r="U8" s="366">
        <f>('List of Unique Machinary'!Z61+'List of Unique Machinary'!Z62)/2</f>
        <v>0</v>
      </c>
      <c r="V8" s="369">
        <f>('List of Unique Machinary'!AA61+'List of Unique Machinary'!AA62)/2</f>
        <v>0</v>
      </c>
      <c r="W8" s="391">
        <f>('List of Unique Machinary'!AB61+'List of Unique Machinary'!AB62)/2</f>
        <v>7.6500000000000012E-2</v>
      </c>
      <c r="X8" s="366">
        <f>('List of Unique Machinary'!AC61+'List of Unique Machinary'!AC62)/2</f>
        <v>0.6120000000000001</v>
      </c>
      <c r="Y8" s="369">
        <f>('List of Unique Machinary'!AD61+'List of Unique Machinary'!AD62)/2</f>
        <v>15.912000000000003</v>
      </c>
      <c r="Z8" s="391">
        <f>('List of Unique Machinary'!AK61+'List of Unique Machinary'!AK62)/2</f>
        <v>1.5468749999999998E-2</v>
      </c>
      <c r="AA8" s="366">
        <f>('List of Unique Machinary'!AL61+'List of Unique Machinary'!AL62)/2</f>
        <v>0.12374999999999999</v>
      </c>
      <c r="AB8" s="369">
        <f>('List of Unique Machinary'!AM61+'List of Unique Machinary'!AM62)/2</f>
        <v>3.2174999999999994</v>
      </c>
      <c r="AC8" s="391">
        <f>('List of Unique Machinary'!AO61+'List of Unique Machinary'!AO62)/2</f>
        <v>187.30312499999999</v>
      </c>
      <c r="AD8" s="366">
        <f>('List of Unique Machinary'!AP61+'List of Unique Machinary'!AP62)/2</f>
        <v>7.2039663461538463</v>
      </c>
      <c r="AE8" s="369">
        <f>('List of Unique Machinary'!AQ61+'List of Unique Machinary'!AQ62)/2</f>
        <v>0.90049579326923079</v>
      </c>
      <c r="AF8" s="391">
        <f>('List of Unique Machinary'!AR61+'List of Unique Machinary'!AR62)/2</f>
        <v>0</v>
      </c>
      <c r="AG8" s="366">
        <f>('List of Unique Machinary'!AS61+'List of Unique Machinary'!AS62)/2</f>
        <v>0</v>
      </c>
      <c r="AH8" s="369">
        <f>('List of Unique Machinary'!AT61+'List of Unique Machinary'!AT62)/2</f>
        <v>0</v>
      </c>
      <c r="AI8" s="27">
        <f t="shared" si="7"/>
        <v>11.643362646901711</v>
      </c>
      <c r="AK8" s="320" t="s">
        <v>708</v>
      </c>
      <c r="AL8" s="311" t="str">
        <f>VLOOKUP(AK8,'List of Unique Machinary'!$B$6:$C$71,2,0)</f>
        <v>03400405</v>
      </c>
      <c r="AM8" s="406" t="s">
        <v>1237</v>
      </c>
    </row>
    <row r="9" spans="3:39" ht="15.75" x14ac:dyDescent="0.25">
      <c r="C9" s="21" t="str">
        <f t="shared" si="0"/>
        <v>02300450-001</v>
      </c>
      <c r="D9" s="21" t="s">
        <v>715</v>
      </c>
      <c r="E9" s="21" t="s">
        <v>1237</v>
      </c>
      <c r="F9" s="11" t="str">
        <f>VLOOKUP(D9,'Equip. List CSI'!$K$4:$N$159,4,0)</f>
        <v>02300450</v>
      </c>
      <c r="G9" s="358" t="s">
        <v>796</v>
      </c>
      <c r="H9" s="358" t="s">
        <v>1355</v>
      </c>
      <c r="I9" s="355">
        <v>345000</v>
      </c>
      <c r="J9" s="159">
        <f t="shared" si="1"/>
        <v>34500</v>
      </c>
      <c r="K9" s="286">
        <v>92</v>
      </c>
      <c r="L9" s="287">
        <f t="shared" si="2"/>
        <v>3375</v>
      </c>
      <c r="M9" s="159">
        <f t="shared" si="3"/>
        <v>129.80769230769232</v>
      </c>
      <c r="N9" s="361">
        <f t="shared" si="4"/>
        <v>16.22596153846154</v>
      </c>
      <c r="O9" s="11" t="str">
        <f>VLOOKUP(F9,'List of Unique Machinary'!$C$6:$L$71,10,0)</f>
        <v>Operator Bobcat</v>
      </c>
      <c r="P9" s="1" t="str">
        <f>VLOOKUP(O9,'Manpower List'!$F$5:$H$170,3,0)</f>
        <v>02200035</v>
      </c>
      <c r="Q9" s="366">
        <f>VLOOKUP(P9,'Manpower List'!$H$5:$Y$170,18,0)</f>
        <v>1366.1465643274855</v>
      </c>
      <c r="R9" s="366">
        <f t="shared" si="5"/>
        <v>52.544098627980212</v>
      </c>
      <c r="S9" s="385">
        <f t="shared" si="6"/>
        <v>6.5680123284975265</v>
      </c>
      <c r="T9" s="391">
        <f>'List of Unique Machinary'!Y69</f>
        <v>9.4499999999999993</v>
      </c>
      <c r="U9" s="366">
        <f>'List of Unique Machinary'!Z69</f>
        <v>75.599999999999994</v>
      </c>
      <c r="V9" s="369">
        <f>'List of Unique Machinary'!AA69</f>
        <v>1965.6</v>
      </c>
      <c r="W9" s="391">
        <f>'List of Unique Machinary'!AB69</f>
        <v>0</v>
      </c>
      <c r="X9" s="366">
        <f>'List of Unique Machinary'!AC69</f>
        <v>0</v>
      </c>
      <c r="Y9" s="369">
        <f>'List of Unique Machinary'!AD69</f>
        <v>0</v>
      </c>
      <c r="Z9" s="391">
        <f>'List of Unique Machinary'!AK69</f>
        <v>9.375E-2</v>
      </c>
      <c r="AA9" s="366">
        <f>'List of Unique Machinary'!AL69</f>
        <v>0.75</v>
      </c>
      <c r="AB9" s="369">
        <f>'List of Unique Machinary'!AM69</f>
        <v>19.5</v>
      </c>
      <c r="AC9" s="391">
        <f>'List of Unique Machinary'!AO69</f>
        <v>2025</v>
      </c>
      <c r="AD9" s="366">
        <f>'List of Unique Machinary'!AP69</f>
        <v>77.884615384615387</v>
      </c>
      <c r="AE9" s="369">
        <f>'List of Unique Machinary'!AQ69</f>
        <v>9.7355769230769234</v>
      </c>
      <c r="AF9" s="391">
        <f>'List of Unique Machinary'!AR69</f>
        <v>337.5</v>
      </c>
      <c r="AG9" s="366">
        <f>'List of Unique Machinary'!AS69</f>
        <v>12.98076923076923</v>
      </c>
      <c r="AH9" s="369">
        <f>'List of Unique Machinary'!AT69</f>
        <v>1.6225961538461537</v>
      </c>
      <c r="AI9" s="27">
        <f t="shared" si="7"/>
        <v>27.469935405420603</v>
      </c>
      <c r="AK9" s="401" t="s">
        <v>713</v>
      </c>
      <c r="AL9" s="310" t="str">
        <f>VLOOKUP(AK9,'List of Unique Machinary'!$B$6:$C$71,2,0)</f>
        <v>02100405</v>
      </c>
      <c r="AM9" s="405" t="s">
        <v>1237</v>
      </c>
    </row>
    <row r="10" spans="3:39" x14ac:dyDescent="0.25">
      <c r="C10" s="21" t="str">
        <f t="shared" si="0"/>
        <v>02300450-002</v>
      </c>
      <c r="D10" s="21" t="s">
        <v>715</v>
      </c>
      <c r="E10" s="21" t="s">
        <v>1237</v>
      </c>
      <c r="F10" s="11" t="str">
        <f>VLOOKUP(D10,'Equip. List CSI'!$K$4:$N$159,4,0)</f>
        <v>02300450</v>
      </c>
      <c r="G10" s="358" t="s">
        <v>797</v>
      </c>
      <c r="H10" s="358" t="s">
        <v>1359</v>
      </c>
      <c r="I10" s="355">
        <v>90000</v>
      </c>
      <c r="J10" s="159">
        <f t="shared" si="1"/>
        <v>9000</v>
      </c>
      <c r="K10" s="286">
        <v>60</v>
      </c>
      <c r="L10" s="287">
        <f t="shared" si="2"/>
        <v>1350</v>
      </c>
      <c r="M10" s="159">
        <f t="shared" si="3"/>
        <v>51.92307692307692</v>
      </c>
      <c r="N10" s="361">
        <f t="shared" si="4"/>
        <v>6.490384615384615</v>
      </c>
      <c r="O10" s="11" t="str">
        <f>VLOOKUP(F10,'List of Unique Machinary'!$C$6:$L$71,10,0)</f>
        <v>Operator Bobcat</v>
      </c>
      <c r="P10" s="1" t="str">
        <f>VLOOKUP(O10,'Manpower List'!$F$5:$H$170,3,0)</f>
        <v>02200035</v>
      </c>
      <c r="Q10" s="366">
        <f>VLOOKUP(P10,'Manpower List'!$H$5:$Y$170,18,0)</f>
        <v>1366.1465643274855</v>
      </c>
      <c r="R10" s="366">
        <f t="shared" si="5"/>
        <v>52.544098627980212</v>
      </c>
      <c r="S10" s="385">
        <f t="shared" si="6"/>
        <v>6.5680123284975265</v>
      </c>
      <c r="T10" s="391">
        <f>'List of Unique Machinary'!Y68</f>
        <v>5.0084999999999997</v>
      </c>
      <c r="U10" s="366">
        <f>'List of Unique Machinary'!Z68</f>
        <v>40.067999999999998</v>
      </c>
      <c r="V10" s="369">
        <f>'List of Unique Machinary'!AA68</f>
        <v>1041.768</v>
      </c>
      <c r="W10" s="391">
        <f>'List of Unique Machinary'!AB68</f>
        <v>0</v>
      </c>
      <c r="X10" s="366">
        <f>'List of Unique Machinary'!AC68</f>
        <v>0</v>
      </c>
      <c r="Y10" s="369">
        <f>'List of Unique Machinary'!AD68</f>
        <v>0</v>
      </c>
      <c r="Z10" s="391">
        <f>'List of Unique Machinary'!AK68</f>
        <v>4.9687500000000002E-2</v>
      </c>
      <c r="AA10" s="366">
        <f>'List of Unique Machinary'!AL68</f>
        <v>0.39750000000000002</v>
      </c>
      <c r="AB10" s="369">
        <f>'List of Unique Machinary'!AM68</f>
        <v>10.335000000000001</v>
      </c>
      <c r="AC10" s="391">
        <f>'List of Unique Machinary'!AO68</f>
        <v>810</v>
      </c>
      <c r="AD10" s="366">
        <f>'List of Unique Machinary'!AP68</f>
        <v>31.153846153846153</v>
      </c>
      <c r="AE10" s="369">
        <f>'List of Unique Machinary'!AQ68</f>
        <v>3.8942307692307692</v>
      </c>
      <c r="AF10" s="391">
        <f>'List of Unique Machinary'!AR68</f>
        <v>135</v>
      </c>
      <c r="AG10" s="366">
        <f>'List of Unique Machinary'!AS68</f>
        <v>5.1923076923076925</v>
      </c>
      <c r="AH10" s="369">
        <f>'List of Unique Machinary'!AT68</f>
        <v>0.64903846153846156</v>
      </c>
      <c r="AI10" s="27">
        <f t="shared" si="7"/>
        <v>16.169469059266753</v>
      </c>
      <c r="AK10" s="320" t="s">
        <v>701</v>
      </c>
      <c r="AL10" s="311" t="str">
        <f>VLOOKUP(AK10,'List of Unique Machinary'!$B$6:$C$71,2,0)</f>
        <v>02200405</v>
      </c>
      <c r="AM10" s="406" t="s">
        <v>1237</v>
      </c>
    </row>
    <row r="11" spans="3:39" x14ac:dyDescent="0.25">
      <c r="C11" s="21" t="str">
        <f t="shared" si="0"/>
        <v>03400405-001</v>
      </c>
      <c r="D11" s="21" t="s">
        <v>708</v>
      </c>
      <c r="E11" s="21" t="s">
        <v>1237</v>
      </c>
      <c r="F11" s="11" t="str">
        <f>VLOOKUP(D11,'Equip. List CSI'!$K$4:$N$159,4,0)</f>
        <v>03400405</v>
      </c>
      <c r="G11" s="358" t="s">
        <v>796</v>
      </c>
      <c r="H11" s="358" t="s">
        <v>1360</v>
      </c>
      <c r="I11" s="355">
        <f>(281250+227000)/2</f>
        <v>254125</v>
      </c>
      <c r="J11" s="159">
        <f t="shared" si="1"/>
        <v>25412.5</v>
      </c>
      <c r="K11" s="286">
        <v>72</v>
      </c>
      <c r="L11" s="287">
        <f t="shared" si="2"/>
        <v>3176.5625</v>
      </c>
      <c r="M11" s="159">
        <f t="shared" si="3"/>
        <v>122.17548076923077</v>
      </c>
      <c r="N11" s="361">
        <f t="shared" si="4"/>
        <v>15.271935096153847</v>
      </c>
      <c r="O11" s="11" t="str">
        <f>VLOOKUP(F11,'List of Unique Machinary'!$C$6:$L$71,10,0)</f>
        <v>Operator Crane</v>
      </c>
      <c r="P11" s="1" t="str">
        <f>VLOOKUP(O11,'Manpower List'!$F$5:$H$170,3,0)</f>
        <v>02200040</v>
      </c>
      <c r="Q11" s="366">
        <f>VLOOKUP(P11,'Manpower List'!$H$5:$Y$170,18,0)</f>
        <v>2220.5039046121597</v>
      </c>
      <c r="R11" s="366">
        <f t="shared" si="5"/>
        <v>85.403996331236911</v>
      </c>
      <c r="S11" s="385">
        <f t="shared" si="6"/>
        <v>10.675499541404614</v>
      </c>
      <c r="T11" s="391">
        <f>('List of Unique Machinary'!Y45+'List of Unique Machinary'!Y46)/2</f>
        <v>20.128499999999999</v>
      </c>
      <c r="U11" s="366">
        <f>('List of Unique Machinary'!Z45+'List of Unique Machinary'!Z46)/2</f>
        <v>161.02799999999999</v>
      </c>
      <c r="V11" s="369">
        <f>('List of Unique Machinary'!AA45+'List of Unique Machinary'!AA46)/2</f>
        <v>4186.7280000000001</v>
      </c>
      <c r="W11" s="391">
        <f>('List of Unique Machinary'!AB45+'List of Unique Machinary'!AB46)/2</f>
        <v>0</v>
      </c>
      <c r="X11" s="366">
        <f>('List of Unique Machinary'!AC45+'List of Unique Machinary'!AC46)/2</f>
        <v>0</v>
      </c>
      <c r="Y11" s="369">
        <f>('List of Unique Machinary'!AD45+'List of Unique Machinary'!AD46)/2</f>
        <v>0</v>
      </c>
      <c r="Z11" s="391">
        <f>('List of Unique Machinary'!AK45+'List of Unique Machinary'!AK46)/2</f>
        <v>0.19968750000000002</v>
      </c>
      <c r="AA11" s="366">
        <f>('List of Unique Machinary'!AL45+'List of Unique Machinary'!AL46)/2</f>
        <v>1.5975000000000001</v>
      </c>
      <c r="AB11" s="369">
        <f>('List of Unique Machinary'!AM45+'List of Unique Machinary'!AM46)/2</f>
        <v>41.535000000000004</v>
      </c>
      <c r="AC11" s="391">
        <f>('List of Unique Machinary'!AO45+'List of Unique Machinary'!AO46)/2</f>
        <v>3252.9891304347825</v>
      </c>
      <c r="AD11" s="366">
        <f>('List of Unique Machinary'!AP45+'List of Unique Machinary'!AP46)/2</f>
        <v>125.11496655518394</v>
      </c>
      <c r="AE11" s="369">
        <f>('List of Unique Machinary'!AQ45+'List of Unique Machinary'!AQ46)/2</f>
        <v>15.639370819397993</v>
      </c>
      <c r="AF11" s="391">
        <f>('List of Unique Machinary'!AR45+'List of Unique Machinary'!AR46)/2</f>
        <v>0</v>
      </c>
      <c r="AG11" s="366">
        <f>('List of Unique Machinary'!AS45+'List of Unique Machinary'!AS46)/2</f>
        <v>0</v>
      </c>
      <c r="AH11" s="369">
        <f>('List of Unique Machinary'!AT45+'List of Unique Machinary'!AT46)/2</f>
        <v>0</v>
      </c>
      <c r="AI11" s="27">
        <f t="shared" si="7"/>
        <v>46.643057860802607</v>
      </c>
      <c r="AK11" s="320" t="s">
        <v>691</v>
      </c>
      <c r="AL11" s="311" t="str">
        <f>VLOOKUP(AK11,'List of Unique Machinary'!$B$6:$C$71,2,0)</f>
        <v>02300420</v>
      </c>
      <c r="AM11" s="406" t="s">
        <v>1237</v>
      </c>
    </row>
    <row r="12" spans="3:39" x14ac:dyDescent="0.25">
      <c r="C12" s="21" t="str">
        <f t="shared" si="0"/>
        <v>03400405-002</v>
      </c>
      <c r="D12" s="21" t="s">
        <v>708</v>
      </c>
      <c r="E12" s="21" t="s">
        <v>1237</v>
      </c>
      <c r="F12" s="11" t="str">
        <f>VLOOKUP(D12,'Equip. List CSI'!$K$4:$N$159,4,0)</f>
        <v>03400405</v>
      </c>
      <c r="G12" s="358" t="s">
        <v>797</v>
      </c>
      <c r="H12" s="358" t="s">
        <v>1361</v>
      </c>
      <c r="I12" s="355">
        <v>1175343.75</v>
      </c>
      <c r="J12" s="159">
        <f t="shared" si="1"/>
        <v>117534.375</v>
      </c>
      <c r="K12" s="286">
        <v>91</v>
      </c>
      <c r="L12" s="287">
        <f t="shared" si="2"/>
        <v>11624.278846153846</v>
      </c>
      <c r="M12" s="159">
        <f t="shared" si="3"/>
        <v>447.08764792899404</v>
      </c>
      <c r="N12" s="361">
        <f t="shared" si="4"/>
        <v>55.885955991124256</v>
      </c>
      <c r="O12" s="11" t="str">
        <f>VLOOKUP(F12,'List of Unique Machinary'!$C$6:$L$71,10,0)</f>
        <v>Operator Crane</v>
      </c>
      <c r="P12" s="1" t="str">
        <f>VLOOKUP(O12,'Manpower List'!$F$5:$H$170,3,0)</f>
        <v>02200040</v>
      </c>
      <c r="Q12" s="366">
        <f>VLOOKUP(P12,'Manpower List'!$H$5:$Y$170,18,0)</f>
        <v>2220.5039046121597</v>
      </c>
      <c r="R12" s="366">
        <f t="shared" si="5"/>
        <v>85.403996331236911</v>
      </c>
      <c r="S12" s="385">
        <f t="shared" si="6"/>
        <v>10.675499541404614</v>
      </c>
      <c r="T12" s="391">
        <f>('List of Unique Machinary'!Y47+'List of Unique Machinary'!Y48+'List of Unique Machinary'!Y49+'List of Unique Machinary'!Y50)/4</f>
        <v>20.79</v>
      </c>
      <c r="U12" s="366">
        <f>('List of Unique Machinary'!Z47+'List of Unique Machinary'!Z48+'List of Unique Machinary'!Z49+'List of Unique Machinary'!Z50)/4</f>
        <v>166.32</v>
      </c>
      <c r="V12" s="369">
        <f>('List of Unique Machinary'!AA47+'List of Unique Machinary'!AA48+'List of Unique Machinary'!AA49+'List of Unique Machinary'!AA50)/4</f>
        <v>4324.32</v>
      </c>
      <c r="W12" s="391">
        <f>('List of Unique Machinary'!AB47+'List of Unique Machinary'!AB48+'List of Unique Machinary'!AB49+'List of Unique Machinary'!AB50)/4</f>
        <v>0</v>
      </c>
      <c r="X12" s="366">
        <f>('List of Unique Machinary'!AC47+'List of Unique Machinary'!AC48+'List of Unique Machinary'!AC49+'List of Unique Machinary'!AC50)/4</f>
        <v>0</v>
      </c>
      <c r="Y12" s="369">
        <f>('List of Unique Machinary'!AD47+'List of Unique Machinary'!AD48+'List of Unique Machinary'!AD49+'List of Unique Machinary'!AD50)/4</f>
        <v>0</v>
      </c>
      <c r="Z12" s="391">
        <f>('List of Unique Machinary'!AK47+'List of Unique Machinary'!AK48+'List of Unique Machinary'!AK49+'List of Unique Machinary'!AK50)/4</f>
        <v>0.20625000000000002</v>
      </c>
      <c r="AA12" s="366">
        <f>('List of Unique Machinary'!AL47+'List of Unique Machinary'!AL48+'List of Unique Machinary'!AL49+'List of Unique Machinary'!AL50)/4</f>
        <v>1.6500000000000001</v>
      </c>
      <c r="AB12" s="369">
        <f>('List of Unique Machinary'!AM47+'List of Unique Machinary'!AM48+'List of Unique Machinary'!AM49+'List of Unique Machinary'!AM50)/4</f>
        <v>42.900000000000006</v>
      </c>
      <c r="AC12" s="391">
        <f>('List of Unique Machinary'!AO47+'List of Unique Machinary'!AO48+'List of Unique Machinary'!AO49+'List of Unique Machinary'!AO50)/4</f>
        <v>11624.278846153848</v>
      </c>
      <c r="AD12" s="366">
        <f>('List of Unique Machinary'!AP47+'List of Unique Machinary'!AP48+'List of Unique Machinary'!AP49+'List of Unique Machinary'!AP50)/4</f>
        <v>447.0876479289941</v>
      </c>
      <c r="AE12" s="369">
        <f>('List of Unique Machinary'!AQ47+'List of Unique Machinary'!AQ48+'List of Unique Machinary'!AQ49+'List of Unique Machinary'!AQ50)/4</f>
        <v>55.885955991124263</v>
      </c>
      <c r="AF12" s="391">
        <f>('List of Unique Machinary'!AR47+'List of Unique Machinary'!AR48+'List of Unique Machinary'!AR49+'List of Unique Machinary'!AR50)/4</f>
        <v>0</v>
      </c>
      <c r="AG12" s="366">
        <f>('List of Unique Machinary'!AS47+'List of Unique Machinary'!AS48+'List of Unique Machinary'!AS49+'List of Unique Machinary'!AS50)/4</f>
        <v>0</v>
      </c>
      <c r="AH12" s="369">
        <f>('List of Unique Machinary'!AT47+'List of Unique Machinary'!AT48+'List of Unique Machinary'!AT49+'List of Unique Machinary'!AT50)/4</f>
        <v>0</v>
      </c>
      <c r="AI12" s="27">
        <f t="shared" si="7"/>
        <v>87.557705532528871</v>
      </c>
      <c r="AK12" s="320" t="s">
        <v>688</v>
      </c>
      <c r="AL12" s="311" t="str">
        <f>VLOOKUP(AK12,'List of Unique Machinary'!$B$6:$C$71,2,0)</f>
        <v>02300405</v>
      </c>
      <c r="AM12" s="406" t="s">
        <v>1237</v>
      </c>
    </row>
    <row r="13" spans="3:39" x14ac:dyDescent="0.25">
      <c r="C13" s="21" t="str">
        <f t="shared" si="0"/>
        <v>02100405-001</v>
      </c>
      <c r="D13" s="21" t="s">
        <v>713</v>
      </c>
      <c r="E13" s="21" t="s">
        <v>1237</v>
      </c>
      <c r="F13" s="11" t="str">
        <f>VLOOKUP(D13,'Equip. List CSI'!$K$4:$N$159,4,0)</f>
        <v>02100405</v>
      </c>
      <c r="G13" s="358" t="s">
        <v>796</v>
      </c>
      <c r="H13" s="358" t="s">
        <v>1356</v>
      </c>
      <c r="I13" s="355">
        <v>52920</v>
      </c>
      <c r="J13" s="159">
        <f t="shared" si="1"/>
        <v>5292</v>
      </c>
      <c r="K13" s="286">
        <v>60</v>
      </c>
      <c r="L13" s="287">
        <f t="shared" si="2"/>
        <v>793.8</v>
      </c>
      <c r="M13" s="159">
        <f t="shared" si="3"/>
        <v>30.530769230769231</v>
      </c>
      <c r="N13" s="361">
        <f t="shared" si="4"/>
        <v>3.8163461538461538</v>
      </c>
      <c r="O13" s="11" t="str">
        <f>VLOOKUP(F13,'List of Unique Machinary'!$C$6:$L$71,10,0)</f>
        <v>Pump Technician</v>
      </c>
      <c r="P13" s="1" t="str">
        <f>VLOOKUP(O13,'Manpower List'!$F$5:$H$170,3,0)</f>
        <v>15100020</v>
      </c>
      <c r="Q13" s="366">
        <f>VLOOKUP(P13,'Manpower List'!$H$5:$Y$170,18,0)</f>
        <v>2266.8055555555561</v>
      </c>
      <c r="R13" s="366">
        <f t="shared" si="5"/>
        <v>87.184829059829084</v>
      </c>
      <c r="S13" s="385">
        <f t="shared" si="6"/>
        <v>10.898103632478636</v>
      </c>
      <c r="T13" s="391">
        <f>'List of Unique Machinary'!Y29</f>
        <v>0</v>
      </c>
      <c r="U13" s="366">
        <f>'List of Unique Machinary'!Z29</f>
        <v>0</v>
      </c>
      <c r="V13" s="369">
        <f>'List of Unique Machinary'!AA29</f>
        <v>0</v>
      </c>
      <c r="W13" s="391">
        <f>'List of Unique Machinary'!AB29</f>
        <v>7.6500000000000012E-2</v>
      </c>
      <c r="X13" s="366">
        <f>'List of Unique Machinary'!AC29</f>
        <v>0.6120000000000001</v>
      </c>
      <c r="Y13" s="369">
        <f>'List of Unique Machinary'!AD29</f>
        <v>15.912000000000003</v>
      </c>
      <c r="Z13" s="391">
        <f>'List of Unique Machinary'!AK29</f>
        <v>6.5625000000000006E-3</v>
      </c>
      <c r="AA13" s="366">
        <f>'List of Unique Machinary'!AL29</f>
        <v>5.2500000000000005E-2</v>
      </c>
      <c r="AB13" s="369">
        <f>'List of Unique Machinary'!AM29</f>
        <v>1.3650000000000002</v>
      </c>
      <c r="AC13" s="391">
        <f>'List of Unique Machinary'!AO29</f>
        <v>742.09499999999991</v>
      </c>
      <c r="AD13" s="366">
        <f>'List of Unique Machinary'!AP29</f>
        <v>28.542115384615382</v>
      </c>
      <c r="AE13" s="369">
        <f>'List of Unique Machinary'!AQ29</f>
        <v>3.5677644230769228</v>
      </c>
      <c r="AF13" s="391">
        <f>'List of Unique Machinary'!AR29</f>
        <v>0</v>
      </c>
      <c r="AG13" s="366">
        <f>'List of Unique Machinary'!AS29</f>
        <v>0</v>
      </c>
      <c r="AH13" s="369">
        <f>'List of Unique Machinary'!AT29</f>
        <v>0</v>
      </c>
      <c r="AI13" s="27">
        <f t="shared" si="7"/>
        <v>14.548930555555557</v>
      </c>
      <c r="AK13" s="320" t="s">
        <v>705</v>
      </c>
      <c r="AL13" s="311" t="str">
        <f>VLOOKUP(AK13,'List of Unique Machinary'!$B$6:$C$71,2,0)</f>
        <v>07200405</v>
      </c>
      <c r="AM13" s="406" t="s">
        <v>1237</v>
      </c>
    </row>
    <row r="14" spans="3:39" ht="15.75" x14ac:dyDescent="0.25">
      <c r="C14" s="21" t="str">
        <f t="shared" si="0"/>
        <v>02200405-001</v>
      </c>
      <c r="D14" s="21" t="s">
        <v>701</v>
      </c>
      <c r="E14" s="21" t="s">
        <v>1237</v>
      </c>
      <c r="F14" s="11" t="str">
        <f>VLOOKUP(D14,'Equip. List CSI'!$K$4:$N$159,4,0)</f>
        <v>02200405</v>
      </c>
      <c r="G14" s="358" t="s">
        <v>796</v>
      </c>
      <c r="H14" s="358" t="s">
        <v>1362</v>
      </c>
      <c r="I14" s="355">
        <v>2162500</v>
      </c>
      <c r="J14" s="159">
        <f t="shared" si="1"/>
        <v>216250</v>
      </c>
      <c r="K14" s="286">
        <v>120</v>
      </c>
      <c r="L14" s="287">
        <f t="shared" si="2"/>
        <v>16218.75</v>
      </c>
      <c r="M14" s="159">
        <f t="shared" si="3"/>
        <v>623.79807692307691</v>
      </c>
      <c r="N14" s="361">
        <f t="shared" si="4"/>
        <v>77.974759615384613</v>
      </c>
      <c r="O14" s="11" t="str">
        <f>VLOOKUP(F14,'List of Unique Machinary'!$C$6:$L$71,10,0)</f>
        <v>Operator Dozer</v>
      </c>
      <c r="P14" s="1" t="str">
        <f>VLOOKUP(O14,'Manpower List'!$F$5:$H$170,3,0)</f>
        <v>02300030</v>
      </c>
      <c r="Q14" s="366">
        <f>VLOOKUP(P14,'Manpower List'!$H$5:$Y$170,18,0)</f>
        <v>2138.542249103943</v>
      </c>
      <c r="R14" s="366">
        <f t="shared" si="5"/>
        <v>82.251624965536266</v>
      </c>
      <c r="S14" s="385">
        <f t="shared" si="6"/>
        <v>10.281453120692033</v>
      </c>
      <c r="T14" s="391">
        <f>('List of Unique Machinary'!Y10+'List of Unique Machinary'!Y11)/2</f>
        <v>37.894500000000001</v>
      </c>
      <c r="U14" s="366">
        <f>('List of Unique Machinary'!Z10+'List of Unique Machinary'!Z11)/2</f>
        <v>303.15600000000001</v>
      </c>
      <c r="V14" s="369">
        <f>('List of Unique Machinary'!AA10+'List of Unique Machinary'!AA11)/2</f>
        <v>7882.0560000000005</v>
      </c>
      <c r="W14" s="391">
        <f>('List of Unique Machinary'!AB10+'List of Unique Machinary'!AB11)/2</f>
        <v>0</v>
      </c>
      <c r="X14" s="366">
        <f>('List of Unique Machinary'!AC10+'List of Unique Machinary'!AC11)/2</f>
        <v>0</v>
      </c>
      <c r="Y14" s="369">
        <f>('List of Unique Machinary'!AD10+'List of Unique Machinary'!AD11)/2</f>
        <v>0</v>
      </c>
      <c r="Z14" s="391">
        <f>('List of Unique Machinary'!AK10+'List of Unique Machinary'!AK11)/2</f>
        <v>0.37593750000000004</v>
      </c>
      <c r="AA14" s="366">
        <f>('List of Unique Machinary'!AL10+'List of Unique Machinary'!AL11)/2</f>
        <v>3.0075000000000003</v>
      </c>
      <c r="AB14" s="369">
        <f>('List of Unique Machinary'!AM10+'List of Unique Machinary'!AM11)/2</f>
        <v>78.195000000000007</v>
      </c>
      <c r="AC14" s="391">
        <f>('List of Unique Machinary'!AO10+'List of Unique Machinary'!AO11)/2</f>
        <v>16218.75</v>
      </c>
      <c r="AD14" s="366">
        <f>('List of Unique Machinary'!AP10+'List of Unique Machinary'!AP11)/2</f>
        <v>623.79807692307691</v>
      </c>
      <c r="AE14" s="369">
        <f>('List of Unique Machinary'!AQ10+'List of Unique Machinary'!AQ11)/2</f>
        <v>77.974759615384613</v>
      </c>
      <c r="AF14" s="391">
        <f>('List of Unique Machinary'!AR10+'List of Unique Machinary'!AR11)/2</f>
        <v>0</v>
      </c>
      <c r="AG14" s="366">
        <f>('List of Unique Machinary'!AS10+'List of Unique Machinary'!AS11)/2</f>
        <v>0</v>
      </c>
      <c r="AH14" s="369">
        <f>('List of Unique Machinary'!AT10+'List of Unique Machinary'!AT11)/2</f>
        <v>0</v>
      </c>
      <c r="AI14" s="27">
        <f t="shared" si="7"/>
        <v>126.52665023607665</v>
      </c>
      <c r="AK14" s="401" t="s">
        <v>695</v>
      </c>
      <c r="AL14" s="310" t="str">
        <f>VLOOKUP(AK14,'List of Unique Machinary'!$B$6:$C$71,2,0)</f>
        <v>02700435</v>
      </c>
      <c r="AM14" s="405" t="s">
        <v>1237</v>
      </c>
    </row>
    <row r="15" spans="3:39" ht="15.75" x14ac:dyDescent="0.25">
      <c r="C15" s="21" t="str">
        <f t="shared" si="0"/>
        <v>02200405-002</v>
      </c>
      <c r="D15" s="21" t="s">
        <v>701</v>
      </c>
      <c r="E15" s="21" t="s">
        <v>1237</v>
      </c>
      <c r="F15" s="11" t="str">
        <f>VLOOKUP(D15,'Equip. List CSI'!$K$4:$N$159,4,0)</f>
        <v>02200405</v>
      </c>
      <c r="G15" s="358" t="s">
        <v>797</v>
      </c>
      <c r="H15" s="358" t="s">
        <v>1363</v>
      </c>
      <c r="I15" s="355">
        <v>288750</v>
      </c>
      <c r="J15" s="159">
        <f t="shared" si="1"/>
        <v>28875</v>
      </c>
      <c r="K15" s="286">
        <v>80</v>
      </c>
      <c r="L15" s="287">
        <f t="shared" si="2"/>
        <v>3248.4375</v>
      </c>
      <c r="M15" s="159">
        <f t="shared" si="3"/>
        <v>124.93990384615384</v>
      </c>
      <c r="N15" s="361">
        <f t="shared" si="4"/>
        <v>15.61748798076923</v>
      </c>
      <c r="O15" s="11" t="str">
        <f>VLOOKUP(F15,'List of Unique Machinary'!$C$6:$L$71,10,0)</f>
        <v>Operator Dozer</v>
      </c>
      <c r="P15" s="1" t="str">
        <f>VLOOKUP(O15,'Manpower List'!$F$5:$H$170,3,0)</f>
        <v>02300030</v>
      </c>
      <c r="Q15" s="366">
        <f>VLOOKUP(P15,'Manpower List'!$H$5:$Y$170,18,0)</f>
        <v>2138.542249103943</v>
      </c>
      <c r="R15" s="366">
        <f t="shared" si="5"/>
        <v>82.251624965536266</v>
      </c>
      <c r="S15" s="385">
        <f t="shared" si="6"/>
        <v>10.281453120692033</v>
      </c>
      <c r="T15" s="391">
        <f>'List of Unique Machinary'!Y12</f>
        <v>32.886000000000003</v>
      </c>
      <c r="U15" s="366">
        <f>'List of Unique Machinary'!Z12</f>
        <v>263.08800000000002</v>
      </c>
      <c r="V15" s="369">
        <f>'List of Unique Machinary'!AA12</f>
        <v>6840.2880000000005</v>
      </c>
      <c r="W15" s="391">
        <f>'List of Unique Machinary'!AB12</f>
        <v>0</v>
      </c>
      <c r="X15" s="366">
        <f>'List of Unique Machinary'!AC12</f>
        <v>0</v>
      </c>
      <c r="Y15" s="369">
        <f>'List of Unique Machinary'!AD12</f>
        <v>0</v>
      </c>
      <c r="Z15" s="391">
        <f>'List of Unique Machinary'!AK12</f>
        <v>0.32625000000000004</v>
      </c>
      <c r="AA15" s="366">
        <f>'List of Unique Machinary'!AL12</f>
        <v>2.6100000000000003</v>
      </c>
      <c r="AB15" s="369">
        <f>'List of Unique Machinary'!AM12</f>
        <v>67.860000000000014</v>
      </c>
      <c r="AC15" s="391">
        <f>'List of Unique Machinary'!AO12</f>
        <v>1624.21875</v>
      </c>
      <c r="AD15" s="366">
        <f>'List of Unique Machinary'!AP12</f>
        <v>62.46995192307692</v>
      </c>
      <c r="AE15" s="369">
        <f>'List of Unique Machinary'!AQ12</f>
        <v>7.808743990384615</v>
      </c>
      <c r="AF15" s="391">
        <f>'List of Unique Machinary'!AR12</f>
        <v>324.84375</v>
      </c>
      <c r="AG15" s="366">
        <f>'List of Unique Machinary'!AS12</f>
        <v>12.493990384615385</v>
      </c>
      <c r="AH15" s="369">
        <f>'List of Unique Machinary'!AT12</f>
        <v>1.5617487980769231</v>
      </c>
      <c r="AI15" s="27">
        <f t="shared" si="7"/>
        <v>52.864195909153572</v>
      </c>
      <c r="AK15" s="401" t="s">
        <v>716</v>
      </c>
      <c r="AL15" s="310" t="str">
        <f>VLOOKUP(AK15,'List of Unique Machinary'!$B$6:$C$71,2,0)</f>
        <v>02300455</v>
      </c>
      <c r="AM15" s="405" t="s">
        <v>1237</v>
      </c>
    </row>
    <row r="16" spans="3:39" ht="15.75" x14ac:dyDescent="0.25">
      <c r="C16" s="21" t="str">
        <f t="shared" si="0"/>
        <v>02300420-001</v>
      </c>
      <c r="D16" s="21" t="s">
        <v>691</v>
      </c>
      <c r="E16" s="21" t="s">
        <v>1237</v>
      </c>
      <c r="F16" s="11" t="str">
        <f>VLOOKUP(D16,'Equip. List CSI'!$K$4:$N$159,4,0)</f>
        <v>02300420</v>
      </c>
      <c r="G16" s="358" t="s">
        <v>796</v>
      </c>
      <c r="H16" s="358" t="s">
        <v>1355</v>
      </c>
      <c r="I16" s="355">
        <f>('List of Unique Machinary'!F22+'List of Unique Machinary'!F23+'List of Unique Machinary'!F25+'List of Unique Machinary'!F26)/4</f>
        <v>124750</v>
      </c>
      <c r="J16" s="159">
        <f t="shared" si="1"/>
        <v>12475</v>
      </c>
      <c r="K16" s="286">
        <v>66</v>
      </c>
      <c r="L16" s="287">
        <f t="shared" si="2"/>
        <v>1701.1363636363637</v>
      </c>
      <c r="M16" s="159">
        <f t="shared" si="3"/>
        <v>65.42832167832168</v>
      </c>
      <c r="N16" s="361">
        <f t="shared" si="4"/>
        <v>8.17854020979021</v>
      </c>
      <c r="O16" s="11" t="str">
        <f>VLOOKUP(F16,'List of Unique Machinary'!$C$6:$L$71,10,0)</f>
        <v>Driver Dump Truck</v>
      </c>
      <c r="P16" s="1" t="str">
        <f>VLOOKUP(O16,'Manpower List'!$F$5:$H$170,3,0)</f>
        <v>02200005</v>
      </c>
      <c r="Q16" s="366">
        <f>VLOOKUP(P16,'Manpower List'!$H$5:$Y$170,18,0)</f>
        <v>1914.9930555555557</v>
      </c>
      <c r="R16" s="366">
        <f t="shared" si="5"/>
        <v>73.65357905982907</v>
      </c>
      <c r="S16" s="385">
        <f t="shared" si="6"/>
        <v>9.2066973824786338</v>
      </c>
      <c r="T16" s="391">
        <f>('List of Unique Machinary'!Y22+'List of Unique Machinary'!Y23+'List of Unique Machinary'!Y25+'List of Unique Machinary'!Y26)/4</f>
        <v>15.427125000000002</v>
      </c>
      <c r="U16" s="366">
        <f>('List of Unique Machinary'!Z22+'List of Unique Machinary'!Z23+'List of Unique Machinary'!Z25+'List of Unique Machinary'!Z26)/4</f>
        <v>123.41700000000002</v>
      </c>
      <c r="V16" s="369">
        <f>('List of Unique Machinary'!AA22+'List of Unique Machinary'!AA23+'List of Unique Machinary'!AA25+'List of Unique Machinary'!AA26)/4</f>
        <v>3208.8420000000006</v>
      </c>
      <c r="W16" s="391">
        <f>('List of Unique Machinary'!AB22+'List of Unique Machinary'!AB23+'List of Unique Machinary'!AB25+'List of Unique Machinary'!AB26)/4</f>
        <v>0</v>
      </c>
      <c r="X16" s="366">
        <f>('List of Unique Machinary'!AC22+'List of Unique Machinary'!AC23+'List of Unique Machinary'!AC25+'List of Unique Machinary'!AC26)/4</f>
        <v>0</v>
      </c>
      <c r="Y16" s="369">
        <f>('List of Unique Machinary'!AD22+'List of Unique Machinary'!AD23+'List of Unique Machinary'!AD25+'List of Unique Machinary'!AD26)/4</f>
        <v>0</v>
      </c>
      <c r="Z16" s="391">
        <f>('List of Unique Machinary'!AK22+'List of Unique Machinary'!AK23+'List of Unique Machinary'!AK25+'List of Unique Machinary'!AK26)/4</f>
        <v>0.153046875</v>
      </c>
      <c r="AA16" s="366">
        <f>('List of Unique Machinary'!AL22+'List of Unique Machinary'!AL23+'List of Unique Machinary'!AL25+'List of Unique Machinary'!AL26)/4</f>
        <v>1.224375</v>
      </c>
      <c r="AB16" s="369">
        <f>('List of Unique Machinary'!AM22+'List of Unique Machinary'!AM23+'List of Unique Machinary'!AM25+'List of Unique Machinary'!AM26)/4</f>
        <v>31.833750000000002</v>
      </c>
      <c r="AC16" s="391">
        <f>('List of Unique Machinary'!AO22+'List of Unique Machinary'!AO23+'List of Unique Machinary'!AO25+'List of Unique Machinary'!AO26)/4</f>
        <v>873.06818181818176</v>
      </c>
      <c r="AD16" s="366">
        <f>('List of Unique Machinary'!AP22+'List of Unique Machinary'!AP23+'List of Unique Machinary'!AP25+'List of Unique Machinary'!AP26)/4</f>
        <v>33.579545454545453</v>
      </c>
      <c r="AE16" s="369">
        <f>('List of Unique Machinary'!AQ22+'List of Unique Machinary'!AQ23+'List of Unique Machinary'!AQ25+'List of Unique Machinary'!AQ26)/4</f>
        <v>4.1974431818181817</v>
      </c>
      <c r="AF16" s="391">
        <f>('List of Unique Machinary'!AR22+'List of Unique Machinary'!AR23+'List of Unique Machinary'!AR25+'List of Unique Machinary'!AR26)/4</f>
        <v>174.61363636363637</v>
      </c>
      <c r="AG16" s="366">
        <f>('List of Unique Machinary'!AS22+'List of Unique Machinary'!AS23+'List of Unique Machinary'!AS25+'List of Unique Machinary'!AS26)/4</f>
        <v>6.7159090909090917</v>
      </c>
      <c r="AH16" s="369">
        <f>('List of Unique Machinary'!AT22+'List of Unique Machinary'!AT23+'List of Unique Machinary'!AT25+'List of Unique Machinary'!AT26)/4</f>
        <v>0.83948863636363646</v>
      </c>
      <c r="AI16" s="27">
        <f t="shared" si="7"/>
        <v>29.823801075660452</v>
      </c>
      <c r="AK16" s="401" t="s">
        <v>690</v>
      </c>
      <c r="AL16" s="310" t="str">
        <f>VLOOKUP(AK16,'List of Unique Machinary'!$B$6:$C$71,2,0)</f>
        <v>02300415</v>
      </c>
      <c r="AM16" s="405" t="s">
        <v>1237</v>
      </c>
    </row>
    <row r="17" spans="3:39" ht="15.75" x14ac:dyDescent="0.25">
      <c r="C17" s="21" t="str">
        <f t="shared" si="0"/>
        <v>02300420-002</v>
      </c>
      <c r="D17" s="21" t="s">
        <v>691</v>
      </c>
      <c r="E17" s="21" t="s">
        <v>1237</v>
      </c>
      <c r="F17" s="11" t="str">
        <f>VLOOKUP(D17,'Equip. List CSI'!$K$4:$N$159,4,0)</f>
        <v>02300420</v>
      </c>
      <c r="G17" s="358" t="s">
        <v>797</v>
      </c>
      <c r="H17" s="358" t="s">
        <v>1359</v>
      </c>
      <c r="I17" s="355">
        <v>52000</v>
      </c>
      <c r="J17" s="159">
        <f t="shared" si="1"/>
        <v>5200</v>
      </c>
      <c r="K17" s="286">
        <v>60</v>
      </c>
      <c r="L17" s="287">
        <f t="shared" si="2"/>
        <v>780</v>
      </c>
      <c r="M17" s="159">
        <f t="shared" si="3"/>
        <v>30</v>
      </c>
      <c r="N17" s="361">
        <f t="shared" si="4"/>
        <v>3.75</v>
      </c>
      <c r="O17" s="11" t="str">
        <f>VLOOKUP(F17,'List of Unique Machinary'!$C$6:$L$71,10,0)</f>
        <v>Driver Dump Truck</v>
      </c>
      <c r="P17" s="1" t="str">
        <f>VLOOKUP(O17,'Manpower List'!$F$5:$H$170,3,0)</f>
        <v>02200005</v>
      </c>
      <c r="Q17" s="366">
        <f>VLOOKUP(P17,'Manpower List'!$H$5:$Y$170,18,0)</f>
        <v>1914.9930555555557</v>
      </c>
      <c r="R17" s="366">
        <f t="shared" si="5"/>
        <v>73.65357905982907</v>
      </c>
      <c r="S17" s="385">
        <f t="shared" si="6"/>
        <v>9.2066973824786338</v>
      </c>
      <c r="T17" s="391">
        <f>'List of Unique Machinary'!Y24</f>
        <v>11.340000000000002</v>
      </c>
      <c r="U17" s="366">
        <f>'List of Unique Machinary'!Z24</f>
        <v>90.720000000000013</v>
      </c>
      <c r="V17" s="369">
        <f>'List of Unique Machinary'!AA24</f>
        <v>2358.7200000000003</v>
      </c>
      <c r="W17" s="391">
        <f>'List of Unique Machinary'!AB24</f>
        <v>0</v>
      </c>
      <c r="X17" s="366">
        <f>'List of Unique Machinary'!AC24</f>
        <v>0</v>
      </c>
      <c r="Y17" s="369">
        <f>'List of Unique Machinary'!AD24</f>
        <v>0</v>
      </c>
      <c r="Z17" s="391">
        <f>'List of Unique Machinary'!AK24</f>
        <v>0.11249999999999999</v>
      </c>
      <c r="AA17" s="366">
        <f>'List of Unique Machinary'!AL24</f>
        <v>0.89999999999999991</v>
      </c>
      <c r="AB17" s="369">
        <f>'List of Unique Machinary'!AM24</f>
        <v>23.4</v>
      </c>
      <c r="AC17" s="391">
        <f>'List of Unique Machinary'!AO24</f>
        <v>390</v>
      </c>
      <c r="AD17" s="366">
        <f>'List of Unique Machinary'!AP24</f>
        <v>15</v>
      </c>
      <c r="AE17" s="369">
        <f>'List of Unique Machinary'!AQ24</f>
        <v>1.875</v>
      </c>
      <c r="AF17" s="391">
        <f>'List of Unique Machinary'!AR24</f>
        <v>78</v>
      </c>
      <c r="AG17" s="366">
        <f>'List of Unique Machinary'!AS24</f>
        <v>3</v>
      </c>
      <c r="AH17" s="369">
        <f>'List of Unique Machinary'!AT24</f>
        <v>0.375</v>
      </c>
      <c r="AI17" s="27">
        <f t="shared" si="7"/>
        <v>22.909197382478634</v>
      </c>
      <c r="AK17" s="401" t="s">
        <v>697</v>
      </c>
      <c r="AL17" s="310" t="str">
        <f>VLOOKUP(AK17,'List of Unique Machinary'!$B$6:$C$71,2,0)</f>
        <v>02700415</v>
      </c>
      <c r="AM17" s="405" t="s">
        <v>1237</v>
      </c>
    </row>
    <row r="18" spans="3:39" ht="15.75" x14ac:dyDescent="0.25">
      <c r="C18" s="21" t="str">
        <f t="shared" si="0"/>
        <v>02300405-001</v>
      </c>
      <c r="D18" s="21" t="s">
        <v>688</v>
      </c>
      <c r="E18" s="21" t="s">
        <v>1237</v>
      </c>
      <c r="F18" s="11" t="str">
        <f>VLOOKUP(D18,'Equip. List CSI'!$K$4:$N$159,4,0)</f>
        <v>02300405</v>
      </c>
      <c r="G18" s="358" t="s">
        <v>796</v>
      </c>
      <c r="H18" s="358" t="s">
        <v>1355</v>
      </c>
      <c r="I18" s="355">
        <f>790000</f>
        <v>790000</v>
      </c>
      <c r="J18" s="159">
        <f t="shared" si="1"/>
        <v>79000</v>
      </c>
      <c r="K18" s="286">
        <v>96</v>
      </c>
      <c r="L18" s="287">
        <f t="shared" si="2"/>
        <v>7406.25</v>
      </c>
      <c r="M18" s="159">
        <f t="shared" si="3"/>
        <v>284.85576923076923</v>
      </c>
      <c r="N18" s="361">
        <f t="shared" si="4"/>
        <v>35.606971153846153</v>
      </c>
      <c r="O18" s="11" t="str">
        <f>VLOOKUP(F18,'List of Unique Machinary'!$C$6:$L$71,10,0)</f>
        <v>Operator Excavator</v>
      </c>
      <c r="P18" s="1" t="str">
        <f>VLOOKUP(O18,'Manpower List'!$F$5:$H$170,3,0)</f>
        <v>02300035</v>
      </c>
      <c r="Q18" s="366">
        <f>VLOOKUP(P18,'Manpower List'!$H$5:$Y$170,18,0)</f>
        <v>2019.9241725768322</v>
      </c>
      <c r="R18" s="366">
        <f t="shared" si="5"/>
        <v>77.68939125295509</v>
      </c>
      <c r="S18" s="385">
        <f t="shared" si="6"/>
        <v>9.7111739066193863</v>
      </c>
      <c r="T18" s="391">
        <f>'List of Unique Machinary'!Y9</f>
        <v>33.358499999999999</v>
      </c>
      <c r="U18" s="366">
        <f>'List of Unique Machinary'!Z9</f>
        <v>266.86799999999999</v>
      </c>
      <c r="V18" s="369">
        <f>'List of Unique Machinary'!AA9</f>
        <v>6938.5680000000002</v>
      </c>
      <c r="W18" s="391">
        <f>'List of Unique Machinary'!AB9</f>
        <v>0</v>
      </c>
      <c r="X18" s="366">
        <f>'List of Unique Machinary'!AC9</f>
        <v>0</v>
      </c>
      <c r="Y18" s="369">
        <f>'List of Unique Machinary'!AD9</f>
        <v>0</v>
      </c>
      <c r="Z18" s="391">
        <f>'List of Unique Machinary'!AK9</f>
        <v>0.3309375</v>
      </c>
      <c r="AA18" s="366">
        <f>'List of Unique Machinary'!AL9</f>
        <v>2.6475</v>
      </c>
      <c r="AB18" s="369">
        <f>'List of Unique Machinary'!AM9</f>
        <v>68.834999999999994</v>
      </c>
      <c r="AC18" s="391">
        <f>'List of Unique Machinary'!AO9</f>
        <v>7406.25</v>
      </c>
      <c r="AD18" s="366">
        <f>'List of Unique Machinary'!AP9</f>
        <v>284.85576923076923</v>
      </c>
      <c r="AE18" s="369">
        <f>'List of Unique Machinary'!AQ9</f>
        <v>35.606971153846153</v>
      </c>
      <c r="AF18" s="391">
        <f>'List of Unique Machinary'!AR9</f>
        <v>0</v>
      </c>
      <c r="AG18" s="366">
        <f>'List of Unique Machinary'!AS9</f>
        <v>0</v>
      </c>
      <c r="AH18" s="369">
        <f>'List of Unique Machinary'!AT9</f>
        <v>0</v>
      </c>
      <c r="AI18" s="27">
        <f t="shared" si="7"/>
        <v>79.007582560465536</v>
      </c>
      <c r="AK18" s="401" t="s">
        <v>696</v>
      </c>
      <c r="AL18" s="310" t="str">
        <f>VLOOKUP(AK18,'List of Unique Machinary'!$B$6:$C$71,2,0)</f>
        <v>02300440</v>
      </c>
      <c r="AM18" s="405" t="s">
        <v>1237</v>
      </c>
    </row>
    <row r="19" spans="3:39" ht="15.75" x14ac:dyDescent="0.25">
      <c r="C19" s="21" t="str">
        <f t="shared" si="0"/>
        <v>02300405-002</v>
      </c>
      <c r="D19" s="21" t="s">
        <v>688</v>
      </c>
      <c r="E19" s="21" t="s">
        <v>1237</v>
      </c>
      <c r="F19" s="11" t="str">
        <f>VLOOKUP(D19,'Equip. List CSI'!$K$4:$N$159,4,0)</f>
        <v>02300405</v>
      </c>
      <c r="G19" s="358" t="s">
        <v>797</v>
      </c>
      <c r="H19" s="358" t="s">
        <v>1359</v>
      </c>
      <c r="I19" s="355">
        <f>('List of Unique Machinary'!F8+'List of Unique Machinary'!F7+'List of Unique Machinary'!F6)/3</f>
        <v>410666.66666666669</v>
      </c>
      <c r="J19" s="159">
        <f t="shared" si="1"/>
        <v>41066.666666666672</v>
      </c>
      <c r="K19" s="286">
        <v>96</v>
      </c>
      <c r="L19" s="287">
        <f t="shared" si="2"/>
        <v>3850</v>
      </c>
      <c r="M19" s="159">
        <f t="shared" si="3"/>
        <v>148.07692307692307</v>
      </c>
      <c r="N19" s="361">
        <f t="shared" si="4"/>
        <v>18.509615384615383</v>
      </c>
      <c r="O19" s="11" t="str">
        <f>VLOOKUP(F19,'List of Unique Machinary'!$C$6:$L$71,10,0)</f>
        <v>Operator Excavator</v>
      </c>
      <c r="P19" s="1" t="str">
        <f>VLOOKUP(O19,'Manpower List'!$F$5:$H$170,3,0)</f>
        <v>02300035</v>
      </c>
      <c r="Q19" s="366">
        <f>VLOOKUP(P19,'Manpower List'!$H$5:$Y$170,18,0)</f>
        <v>2019.9241725768322</v>
      </c>
      <c r="R19" s="366">
        <f t="shared" si="5"/>
        <v>77.68939125295509</v>
      </c>
      <c r="S19" s="385">
        <f t="shared" si="6"/>
        <v>9.7111739066193863</v>
      </c>
      <c r="T19" s="391">
        <f>('List of Unique Machinary'!Y6+'List of Unique Machinary'!Y7+'List of Unique Machinary'!Y8)/3</f>
        <v>13.797000000000002</v>
      </c>
      <c r="U19" s="366">
        <f>('List of Unique Machinary'!Z6+'List of Unique Machinary'!Z7+'List of Unique Machinary'!Z8)/3</f>
        <v>110.37600000000002</v>
      </c>
      <c r="V19" s="369">
        <f>('List of Unique Machinary'!AA6+'List of Unique Machinary'!AA7+'List of Unique Machinary'!AA8)/3</f>
        <v>2869.7760000000003</v>
      </c>
      <c r="W19" s="391">
        <f>('List of Unique Machinary'!AB6+'List of Unique Machinary'!AB7+'List of Unique Machinary'!AB8)/3</f>
        <v>0</v>
      </c>
      <c r="X19" s="366">
        <f>('List of Unique Machinary'!AC6+'List of Unique Machinary'!AC7+'List of Unique Machinary'!AC8)/3</f>
        <v>0</v>
      </c>
      <c r="Y19" s="369">
        <f>('List of Unique Machinary'!AD6+'List of Unique Machinary'!AD7+'List of Unique Machinary'!AD8)/3</f>
        <v>0</v>
      </c>
      <c r="Z19" s="391">
        <f>('List of Unique Machinary'!AK6+'List of Unique Machinary'!AK7+'List of Unique Machinary'!AK8)/3</f>
        <v>0.136875</v>
      </c>
      <c r="AA19" s="366">
        <f>('List of Unique Machinary'!AL6+'List of Unique Machinary'!AL7+'List of Unique Machinary'!AL8)/3</f>
        <v>1.095</v>
      </c>
      <c r="AB19" s="369">
        <f>('List of Unique Machinary'!AM6+'List of Unique Machinary'!AM7+'List of Unique Machinary'!AM8)/3</f>
        <v>28.47</v>
      </c>
      <c r="AC19" s="391">
        <f>('List of Unique Machinary'!AO6+'List of Unique Machinary'!AO7+'List of Unique Machinary'!AO8)/3</f>
        <v>4488.5093167701862</v>
      </c>
      <c r="AD19" s="366">
        <f>('List of Unique Machinary'!AP6+'List of Unique Machinary'!AP7+'List of Unique Machinary'!AP8)/3</f>
        <v>172.63497372193024</v>
      </c>
      <c r="AE19" s="369">
        <f>('List of Unique Machinary'!AQ6+'List of Unique Machinary'!AQ7+'List of Unique Machinary'!AQ8)/3</f>
        <v>21.57937171524128</v>
      </c>
      <c r="AF19" s="391">
        <f>('List of Unique Machinary'!AR6+'List of Unique Machinary'!AR7+'List of Unique Machinary'!AR8)/3</f>
        <v>0</v>
      </c>
      <c r="AG19" s="366">
        <f>('List of Unique Machinary'!AS6+'List of Unique Machinary'!AS7+'List of Unique Machinary'!AS8)/3</f>
        <v>0</v>
      </c>
      <c r="AH19" s="369">
        <f>('List of Unique Machinary'!AT6+'List of Unique Machinary'!AT7+'List of Unique Machinary'!AT8)/3</f>
        <v>0</v>
      </c>
      <c r="AI19" s="27">
        <f t="shared" si="7"/>
        <v>45.224420621860673</v>
      </c>
      <c r="AK19" s="401" t="s">
        <v>699</v>
      </c>
      <c r="AL19" s="310" t="str">
        <f>VLOOKUP(AK19,'List of Unique Machinary'!$B$6:$C$71,2,0)</f>
        <v>02700420</v>
      </c>
      <c r="AM19" s="405" t="s">
        <v>1237</v>
      </c>
    </row>
    <row r="20" spans="3:39" ht="15.75" x14ac:dyDescent="0.25">
      <c r="C20" s="21" t="str">
        <f t="shared" si="0"/>
        <v>07200405-001</v>
      </c>
      <c r="D20" s="21" t="s">
        <v>705</v>
      </c>
      <c r="E20" s="21" t="s">
        <v>1237</v>
      </c>
      <c r="F20" s="11" t="str">
        <f>VLOOKUP(D20,'Equip. List CSI'!$K$4:$N$159,4,0)</f>
        <v>07200405</v>
      </c>
      <c r="G20" s="358" t="s">
        <v>796</v>
      </c>
      <c r="H20" s="358" t="s">
        <v>1356</v>
      </c>
      <c r="I20" s="355">
        <v>90000</v>
      </c>
      <c r="J20" s="159">
        <f t="shared" si="1"/>
        <v>9000</v>
      </c>
      <c r="K20" s="286">
        <v>60</v>
      </c>
      <c r="L20" s="287">
        <f t="shared" si="2"/>
        <v>1350</v>
      </c>
      <c r="M20" s="159">
        <f t="shared" si="3"/>
        <v>51.92307692307692</v>
      </c>
      <c r="N20" s="361">
        <f t="shared" si="4"/>
        <v>6.490384615384615</v>
      </c>
      <c r="O20" s="11" t="str">
        <f>VLOOKUP(F20,'List of Unique Machinary'!$C$6:$L$71,10,0)</f>
        <v>Technician</v>
      </c>
      <c r="P20" s="1" t="str">
        <f>VLOOKUP(O20,'Manpower List'!$F$5:$H$170,3,0)</f>
        <v>15900045</v>
      </c>
      <c r="Q20" s="366">
        <f>VLOOKUP(P20,'Manpower List'!$H$5:$Y$170,18,0)</f>
        <v>3401.9879629629631</v>
      </c>
      <c r="R20" s="366">
        <f t="shared" si="5"/>
        <v>130.84569088319088</v>
      </c>
      <c r="S20" s="385">
        <f t="shared" si="6"/>
        <v>16.35571136039886</v>
      </c>
      <c r="T20" s="391">
        <f>'List of Unique Machinary'!Z60</f>
        <v>0</v>
      </c>
      <c r="U20" s="366">
        <f>'List of Unique Machinary'!AA60</f>
        <v>0</v>
      </c>
      <c r="V20" s="369">
        <f>'List of Unique Machinary'!AB60</f>
        <v>7.6500000000000012E-2</v>
      </c>
      <c r="W20" s="391">
        <f>'List of Unique Machinary'!AC60</f>
        <v>0.6120000000000001</v>
      </c>
      <c r="X20" s="366">
        <f>'List of Unique Machinary'!AD60</f>
        <v>15.912000000000003</v>
      </c>
      <c r="Y20" s="369">
        <f>'List of Unique Machinary'!AE60</f>
        <v>7.4999999999999989E-3</v>
      </c>
      <c r="Z20" s="391">
        <f>'List of Unique Machinary'!AF60</f>
        <v>3.7499999999999994E-3</v>
      </c>
      <c r="AA20" s="366">
        <f>'List of Unique Machinary'!AG60</f>
        <v>2.5000000000000001E-3</v>
      </c>
      <c r="AB20" s="369">
        <f>'List of Unique Machinary'!AH60</f>
        <v>1.25E-3</v>
      </c>
      <c r="AC20" s="391">
        <f>'List of Unique Machinary'!AI60</f>
        <v>1.4999999999999998E-2</v>
      </c>
      <c r="AD20" s="366">
        <f>'List of Unique Machinary'!AJ60</f>
        <v>0.5</v>
      </c>
      <c r="AE20" s="369">
        <f>'List of Unique Machinary'!AK60</f>
        <v>9.3749999999999979E-3</v>
      </c>
      <c r="AF20" s="391">
        <f>'List of Unique Machinary'!AL60</f>
        <v>7.4999999999999983E-2</v>
      </c>
      <c r="AG20" s="366">
        <f>'List of Unique Machinary'!AM60</f>
        <v>1.9499999999999995</v>
      </c>
      <c r="AH20" s="369">
        <f>'List of Unique Machinary'!AN60</f>
        <v>1</v>
      </c>
      <c r="AI20" s="27">
        <f t="shared" si="7"/>
        <v>17.980836360398857</v>
      </c>
      <c r="AK20" s="401" t="s">
        <v>704</v>
      </c>
      <c r="AL20" s="310" t="str">
        <f>VLOOKUP(AK20,'List of Unique Machinary'!$B$6:$C$71,2,0)</f>
        <v>03300415</v>
      </c>
      <c r="AM20" s="405" t="s">
        <v>1237</v>
      </c>
    </row>
    <row r="21" spans="3:39" ht="15.75" x14ac:dyDescent="0.25">
      <c r="C21" s="21" t="str">
        <f t="shared" si="0"/>
        <v>02700435-001</v>
      </c>
      <c r="D21" s="21" t="s">
        <v>695</v>
      </c>
      <c r="E21" s="21" t="s">
        <v>1237</v>
      </c>
      <c r="F21" s="11" t="str">
        <f>VLOOKUP(D21,'Equip. List CSI'!$K$4:$N$159,4,0)</f>
        <v>02700435</v>
      </c>
      <c r="G21" s="358" t="s">
        <v>796</v>
      </c>
      <c r="H21" s="358" t="s">
        <v>1359</v>
      </c>
      <c r="I21" s="355">
        <v>890234.5</v>
      </c>
      <c r="J21" s="159">
        <f t="shared" si="1"/>
        <v>89023.450000000012</v>
      </c>
      <c r="K21" s="286">
        <v>92</v>
      </c>
      <c r="L21" s="287">
        <f t="shared" si="2"/>
        <v>8708.8157608695656</v>
      </c>
      <c r="M21" s="159">
        <f t="shared" si="3"/>
        <v>334.95445234113714</v>
      </c>
      <c r="N21" s="361">
        <f t="shared" si="4"/>
        <v>41.869306542642143</v>
      </c>
      <c r="O21" s="11" t="str">
        <f>VLOOKUP(F21,'List of Unique Machinary'!$C$6:$L$71,10,0)</f>
        <v>Grader Operator</v>
      </c>
      <c r="P21" s="1" t="str">
        <f>VLOOKUP(O21,'Manpower List'!$F$5:$H$170,3,0)</f>
        <v>02300020</v>
      </c>
      <c r="Q21" s="366">
        <f>VLOOKUP(P21,'Manpower List'!$H$5:$Y$170,18,0)</f>
        <v>1942.0555555555557</v>
      </c>
      <c r="R21" s="366">
        <f t="shared" si="5"/>
        <v>74.694444444444443</v>
      </c>
      <c r="S21" s="385">
        <f t="shared" si="6"/>
        <v>9.3368055555555554</v>
      </c>
      <c r="T21" s="391">
        <f>('List of Unique Machinary'!Y34+'List of Unique Machinary'!Y35)/2</f>
        <v>17.24625</v>
      </c>
      <c r="U21" s="366">
        <f>('List of Unique Machinary'!Z34+'List of Unique Machinary'!Z35)/2</f>
        <v>137.97</v>
      </c>
      <c r="V21" s="369">
        <f>('List of Unique Machinary'!AA34+'List of Unique Machinary'!AA35)/2</f>
        <v>3587.2200000000003</v>
      </c>
      <c r="W21" s="391">
        <f>('List of Unique Machinary'!AB34+'List of Unique Machinary'!AB35)/2</f>
        <v>0</v>
      </c>
      <c r="X21" s="366">
        <f>('List of Unique Machinary'!AC34+'List of Unique Machinary'!AC35)/2</f>
        <v>0</v>
      </c>
      <c r="Y21" s="369">
        <f>('List of Unique Machinary'!AD34+'List of Unique Machinary'!AD35)/2</f>
        <v>0</v>
      </c>
      <c r="Z21" s="391">
        <f>('List of Unique Machinary'!AK34+'List of Unique Machinary'!AK35)/2</f>
        <v>0.17109374999999999</v>
      </c>
      <c r="AA21" s="366">
        <f>('List of Unique Machinary'!AL34+'List of Unique Machinary'!AL35)/2</f>
        <v>1.3687499999999999</v>
      </c>
      <c r="AB21" s="369">
        <f>('List of Unique Machinary'!AM34+'List of Unique Machinary'!AM35)/2</f>
        <v>35.587500000000006</v>
      </c>
      <c r="AC21" s="391">
        <f>('List of Unique Machinary'!AO34+'List of Unique Machinary'!AO35)/2</f>
        <v>8708.8157608695656</v>
      </c>
      <c r="AD21" s="366">
        <f>('List of Unique Machinary'!AP34+'List of Unique Machinary'!AP35)/2</f>
        <v>334.95445234113714</v>
      </c>
      <c r="AE21" s="369">
        <f>('List of Unique Machinary'!AQ34+'List of Unique Machinary'!AQ35)/2</f>
        <v>41.869306542642143</v>
      </c>
      <c r="AF21" s="391">
        <f>('List of Unique Machinary'!AR34+'List of Unique Machinary'!AR35)/2</f>
        <v>870.88157608695656</v>
      </c>
      <c r="AG21" s="366">
        <f>('List of Unique Machinary'!AS34+'List of Unique Machinary'!AS35)/2</f>
        <v>33.495445234113717</v>
      </c>
      <c r="AH21" s="369">
        <f>('List of Unique Machinary'!AT34+'List of Unique Machinary'!AT35)/2</f>
        <v>4.1869306542642146</v>
      </c>
      <c r="AI21" s="27">
        <f t="shared" si="7"/>
        <v>72.81038650246191</v>
      </c>
      <c r="AK21" s="401" t="s">
        <v>702</v>
      </c>
      <c r="AL21" s="310" t="str">
        <f>VLOOKUP(AK21,'List of Unique Machinary'!$B$6:$C$71,2,0)</f>
        <v>03300405</v>
      </c>
      <c r="AM21" s="405" t="s">
        <v>1237</v>
      </c>
    </row>
    <row r="22" spans="3:39" ht="15.75" x14ac:dyDescent="0.25">
      <c r="C22" s="21" t="str">
        <f t="shared" si="0"/>
        <v>02700435-002</v>
      </c>
      <c r="D22" s="21" t="s">
        <v>695</v>
      </c>
      <c r="E22" s="21" t="s">
        <v>1237</v>
      </c>
      <c r="F22" s="11" t="str">
        <f>VLOOKUP(D22,'Equip. List CSI'!$K$4:$N$159,4,0)</f>
        <v>02700435</v>
      </c>
      <c r="G22" s="358" t="s">
        <v>797</v>
      </c>
      <c r="H22" s="358" t="s">
        <v>1355</v>
      </c>
      <c r="I22" s="355">
        <v>1464475</v>
      </c>
      <c r="J22" s="159">
        <f t="shared" si="1"/>
        <v>146447.5</v>
      </c>
      <c r="K22" s="286">
        <v>92</v>
      </c>
      <c r="L22" s="287">
        <f t="shared" si="2"/>
        <v>14326.385869565218</v>
      </c>
      <c r="M22" s="159">
        <f t="shared" si="3"/>
        <v>551.01484113712377</v>
      </c>
      <c r="N22" s="361">
        <f t="shared" si="4"/>
        <v>68.876855142140471</v>
      </c>
      <c r="O22" s="11" t="str">
        <f>VLOOKUP(F22,'List of Unique Machinary'!$C$6:$L$71,10,0)</f>
        <v>Grader Operator</v>
      </c>
      <c r="P22" s="1" t="str">
        <f>VLOOKUP(O22,'Manpower List'!$F$5:$H$170,3,0)</f>
        <v>02300020</v>
      </c>
      <c r="Q22" s="366">
        <f>VLOOKUP(P22,'Manpower List'!$H$5:$Y$170,18,0)</f>
        <v>1942.0555555555557</v>
      </c>
      <c r="R22" s="366">
        <f t="shared" si="5"/>
        <v>74.694444444444443</v>
      </c>
      <c r="S22" s="385">
        <f t="shared" si="6"/>
        <v>9.3368055555555554</v>
      </c>
      <c r="T22" s="391">
        <f>'List of Unique Machinary'!Y36</f>
        <v>20.79</v>
      </c>
      <c r="U22" s="366">
        <f>'List of Unique Machinary'!Z36</f>
        <v>166.32</v>
      </c>
      <c r="V22" s="369">
        <f>'List of Unique Machinary'!AA36</f>
        <v>4324.32</v>
      </c>
      <c r="W22" s="391">
        <f>'List of Unique Machinary'!AB36</f>
        <v>0</v>
      </c>
      <c r="X22" s="366">
        <f>'List of Unique Machinary'!AC36</f>
        <v>0</v>
      </c>
      <c r="Y22" s="369">
        <f>'List of Unique Machinary'!AD36</f>
        <v>0</v>
      </c>
      <c r="Z22" s="391">
        <f>'List of Unique Machinary'!AK36</f>
        <v>0.20625000000000002</v>
      </c>
      <c r="AA22" s="366">
        <f>'List of Unique Machinary'!AL36</f>
        <v>1.6500000000000001</v>
      </c>
      <c r="AB22" s="369">
        <f>'List of Unique Machinary'!AM36</f>
        <v>42.900000000000006</v>
      </c>
      <c r="AC22" s="391">
        <f>'List of Unique Machinary'!AO36</f>
        <v>14326.385869565218</v>
      </c>
      <c r="AD22" s="366">
        <f>'List of Unique Machinary'!AP36</f>
        <v>551.01484113712377</v>
      </c>
      <c r="AE22" s="369">
        <f>'List of Unique Machinary'!AQ36</f>
        <v>68.876855142140471</v>
      </c>
      <c r="AF22" s="391">
        <f>'List of Unique Machinary'!AR36</f>
        <v>1432.638586956522</v>
      </c>
      <c r="AG22" s="366">
        <f>'List of Unique Machinary'!AS36</f>
        <v>55.101484113712381</v>
      </c>
      <c r="AH22" s="369">
        <f>'List of Unique Machinary'!AT36</f>
        <v>6.8876855142140476</v>
      </c>
      <c r="AI22" s="27">
        <f t="shared" si="7"/>
        <v>106.09759621191007</v>
      </c>
      <c r="AK22" s="401" t="s">
        <v>703</v>
      </c>
      <c r="AL22" s="310" t="str">
        <f>VLOOKUP(AK22,'List of Unique Machinary'!$B$6:$C$71,2,0)</f>
        <v>03300410</v>
      </c>
      <c r="AM22" s="405" t="s">
        <v>1237</v>
      </c>
    </row>
    <row r="23" spans="3:39" ht="15.75" x14ac:dyDescent="0.25">
      <c r="C23" s="21" t="str">
        <f t="shared" si="0"/>
        <v>02300455-001</v>
      </c>
      <c r="D23" s="21" t="s">
        <v>716</v>
      </c>
      <c r="E23" s="21" t="s">
        <v>1237</v>
      </c>
      <c r="F23" s="11" t="str">
        <f>VLOOKUP(D23,'Equip. List CSI'!$K$4:$N$159,4,0)</f>
        <v>02300455</v>
      </c>
      <c r="G23" s="358" t="s">
        <v>796</v>
      </c>
      <c r="H23" s="358" t="s">
        <v>1356</v>
      </c>
      <c r="I23" s="355">
        <f>('List of Unique Machinary'!F71+'List of Unique Machinary'!F70)/2</f>
        <v>239000</v>
      </c>
      <c r="J23" s="159">
        <f t="shared" si="1"/>
        <v>23900</v>
      </c>
      <c r="K23" s="286">
        <v>72</v>
      </c>
      <c r="L23" s="287">
        <f t="shared" si="2"/>
        <v>2987.5</v>
      </c>
      <c r="M23" s="159">
        <f t="shared" si="3"/>
        <v>114.90384615384616</v>
      </c>
      <c r="N23" s="361">
        <f t="shared" si="4"/>
        <v>14.36298076923077</v>
      </c>
      <c r="O23" s="11" t="str">
        <f>VLOOKUP(F23,'List of Unique Machinary'!$C$6:$L$71,10,0)</f>
        <v>Operator Backhoe</v>
      </c>
      <c r="P23" s="1" t="str">
        <f>VLOOKUP(O23,'Manpower List'!$F$5:$H$170,3,0)</f>
        <v>02200030</v>
      </c>
      <c r="Q23" s="366">
        <f>VLOOKUP(P23,'Manpower List'!$H$5:$Y$170,18,0)</f>
        <v>1977.812134502924</v>
      </c>
      <c r="R23" s="366">
        <f t="shared" si="5"/>
        <v>76.069697480881686</v>
      </c>
      <c r="S23" s="385">
        <f t="shared" si="6"/>
        <v>9.5087121851102108</v>
      </c>
      <c r="T23" s="391">
        <f>('List of Unique Machinary'!Y70+'List of Unique Machinary'!Y71)/2</f>
        <v>8.7412499999999991</v>
      </c>
      <c r="U23" s="366">
        <f>('List of Unique Machinary'!Z70+'List of Unique Machinary'!Z71)/2</f>
        <v>69.929999999999993</v>
      </c>
      <c r="V23" s="369">
        <f>('List of Unique Machinary'!AA70+'List of Unique Machinary'!AA71)/2</f>
        <v>1818.1799999999998</v>
      </c>
      <c r="W23" s="391">
        <f>('List of Unique Machinary'!AB70+'List of Unique Machinary'!AB71)/2</f>
        <v>0</v>
      </c>
      <c r="X23" s="366">
        <f>('List of Unique Machinary'!AC70+'List of Unique Machinary'!AC71)/2</f>
        <v>0</v>
      </c>
      <c r="Y23" s="369">
        <f>('List of Unique Machinary'!AD70+'List of Unique Machinary'!AD71)/2</f>
        <v>0</v>
      </c>
      <c r="Z23" s="391">
        <f>('List of Unique Machinary'!AK70+'List of Unique Machinary'!AK71)/2</f>
        <v>8.6718749999999983E-2</v>
      </c>
      <c r="AA23" s="366">
        <f>('List of Unique Machinary'!AL70+'List of Unique Machinary'!AL71)/2</f>
        <v>0.69374999999999987</v>
      </c>
      <c r="AB23" s="369">
        <f>('List of Unique Machinary'!AM70+'List of Unique Machinary'!AM71)/2</f>
        <v>18.037499999999998</v>
      </c>
      <c r="AC23" s="391">
        <f>('List of Unique Machinary'!AO70+'List of Unique Machinary'!AO71)/2</f>
        <v>2650.5434782608695</v>
      </c>
      <c r="AD23" s="366">
        <f>('List of Unique Machinary'!AP70+'List of Unique Machinary'!AP71)/2</f>
        <v>101.94397993311037</v>
      </c>
      <c r="AE23" s="369">
        <f>('List of Unique Machinary'!AQ70+'List of Unique Machinary'!AQ71)/2</f>
        <v>12.742997491638796</v>
      </c>
      <c r="AF23" s="391">
        <f>('List of Unique Machinary'!AR70+'List of Unique Machinary'!AR71)/2</f>
        <v>265.05434782608694</v>
      </c>
      <c r="AG23" s="366">
        <f>('List of Unique Machinary'!AS70+'List of Unique Machinary'!AS71)/2</f>
        <v>10.194397993311037</v>
      </c>
      <c r="AH23" s="369">
        <f>('List of Unique Machinary'!AT70+'List of Unique Machinary'!AT71)/2</f>
        <v>1.2742997491638797</v>
      </c>
      <c r="AI23" s="27">
        <f t="shared" si="7"/>
        <v>32.353978175912886</v>
      </c>
      <c r="AK23" s="401" t="s">
        <v>689</v>
      </c>
      <c r="AL23" s="310" t="str">
        <f>VLOOKUP(AK23,'List of Unique Machinary'!$B$6:$C$71,2,0)</f>
        <v>02300410</v>
      </c>
      <c r="AM23" s="405" t="s">
        <v>1237</v>
      </c>
    </row>
    <row r="24" spans="3:39" ht="15.75" x14ac:dyDescent="0.25">
      <c r="C24" s="21" t="str">
        <f t="shared" si="0"/>
        <v>02300415-001</v>
      </c>
      <c r="D24" s="21" t="s">
        <v>690</v>
      </c>
      <c r="E24" s="21" t="s">
        <v>1237</v>
      </c>
      <c r="F24" s="11" t="str">
        <f>VLOOKUP(D24,'Equip. List CSI'!$K$4:$N$159,4,0)</f>
        <v>02300415</v>
      </c>
      <c r="G24" s="358" t="s">
        <v>796</v>
      </c>
      <c r="H24" s="358" t="s">
        <v>1355</v>
      </c>
      <c r="I24" s="355">
        <v>458740</v>
      </c>
      <c r="J24" s="159">
        <f t="shared" si="1"/>
        <v>45874</v>
      </c>
      <c r="K24" s="286">
        <v>96</v>
      </c>
      <c r="L24" s="287">
        <f t="shared" si="2"/>
        <v>4300.6875</v>
      </c>
      <c r="M24" s="159">
        <f t="shared" si="3"/>
        <v>165.41105769230768</v>
      </c>
      <c r="N24" s="361">
        <f t="shared" si="4"/>
        <v>20.67638221153846</v>
      </c>
      <c r="O24" s="11" t="str">
        <f>VLOOKUP(F24,'List of Unique Machinary'!$C$6:$L$71,10,0)</f>
        <v>Operator loader</v>
      </c>
      <c r="P24" s="1" t="str">
        <f>VLOOKUP(O24,'Manpower List'!$F$5:$H$170,3,0)</f>
        <v>02300055</v>
      </c>
      <c r="Q24" s="366">
        <f>VLOOKUP(P24,'Manpower List'!$H$5:$Y$170,18,0)</f>
        <v>2036.8226408090118</v>
      </c>
      <c r="R24" s="366">
        <f t="shared" si="5"/>
        <v>78.339332338808148</v>
      </c>
      <c r="S24" s="385">
        <f t="shared" si="6"/>
        <v>9.7924165423510185</v>
      </c>
      <c r="T24" s="391">
        <f>'List of Unique Machinary'!Y21</f>
        <v>27.121500000000001</v>
      </c>
      <c r="U24" s="366">
        <f>'List of Unique Machinary'!Z21</f>
        <v>216.97200000000001</v>
      </c>
      <c r="V24" s="369">
        <f>'List of Unique Machinary'!AA21</f>
        <v>5641.2719999999999</v>
      </c>
      <c r="W24" s="391">
        <f>'List of Unique Machinary'!AB21</f>
        <v>0</v>
      </c>
      <c r="X24" s="366">
        <f>'List of Unique Machinary'!AC21</f>
        <v>0</v>
      </c>
      <c r="Y24" s="369">
        <f>'List of Unique Machinary'!AD21</f>
        <v>0</v>
      </c>
      <c r="Z24" s="391">
        <f>'List of Unique Machinary'!AK21</f>
        <v>0.26906249999999998</v>
      </c>
      <c r="AA24" s="366">
        <f>'List of Unique Machinary'!AL21</f>
        <v>2.1524999999999999</v>
      </c>
      <c r="AB24" s="369">
        <f>'List of Unique Machinary'!AM21</f>
        <v>55.964999999999996</v>
      </c>
      <c r="AC24" s="391">
        <f>'List of Unique Machinary'!AO21</f>
        <v>3637.5</v>
      </c>
      <c r="AD24" s="366">
        <f>'List of Unique Machinary'!AP21</f>
        <v>139.90384615384616</v>
      </c>
      <c r="AE24" s="369">
        <f>'List of Unique Machinary'!AQ21</f>
        <v>17.48798076923077</v>
      </c>
      <c r="AF24" s="391">
        <f>'List of Unique Machinary'!AR21</f>
        <v>727.5</v>
      </c>
      <c r="AG24" s="366">
        <f>'List of Unique Machinary'!AS21</f>
        <v>27.98076923076923</v>
      </c>
      <c r="AH24" s="369">
        <f>'List of Unique Machinary'!AT21</f>
        <v>3.4975961538461537</v>
      </c>
      <c r="AI24" s="27">
        <f t="shared" si="7"/>
        <v>58.168555965427934</v>
      </c>
      <c r="AK24" s="401" t="s">
        <v>694</v>
      </c>
      <c r="AL24" s="310" t="str">
        <f>VLOOKUP(AK24,'List of Unique Machinary'!$B$6:$C$71,2,0)</f>
        <v>02300430</v>
      </c>
      <c r="AM24" s="405" t="s">
        <v>1237</v>
      </c>
    </row>
    <row r="25" spans="3:39" ht="15.75" x14ac:dyDescent="0.25">
      <c r="C25" s="21" t="str">
        <f t="shared" si="0"/>
        <v>02300415-002</v>
      </c>
      <c r="D25" s="21" t="s">
        <v>690</v>
      </c>
      <c r="E25" s="21" t="s">
        <v>1237</v>
      </c>
      <c r="F25" s="11" t="str">
        <f>VLOOKUP(D25,'Equip. List CSI'!$K$4:$N$159,4,0)</f>
        <v>02300415</v>
      </c>
      <c r="G25" s="358" t="s">
        <v>797</v>
      </c>
      <c r="H25" s="358" t="s">
        <v>1359</v>
      </c>
      <c r="I25" s="355">
        <v>970000</v>
      </c>
      <c r="J25" s="159">
        <f t="shared" si="1"/>
        <v>97000</v>
      </c>
      <c r="K25" s="286">
        <v>120</v>
      </c>
      <c r="L25" s="287">
        <f t="shared" si="2"/>
        <v>7275</v>
      </c>
      <c r="M25" s="159">
        <f t="shared" si="3"/>
        <v>279.80769230769232</v>
      </c>
      <c r="N25" s="361">
        <f t="shared" si="4"/>
        <v>34.97596153846154</v>
      </c>
      <c r="O25" s="11" t="str">
        <f>VLOOKUP(F25,'List of Unique Machinary'!$C$6:$L$71,10,0)</f>
        <v>Operator loader</v>
      </c>
      <c r="P25" s="1" t="str">
        <f>VLOOKUP(O25,'Manpower List'!$F$5:$H$170,3,0)</f>
        <v>02300055</v>
      </c>
      <c r="Q25" s="366">
        <f>VLOOKUP(P25,'Manpower List'!$H$5:$Y$170,18,0)</f>
        <v>2036.8226408090118</v>
      </c>
      <c r="R25" s="366">
        <f t="shared" si="5"/>
        <v>78.339332338808148</v>
      </c>
      <c r="S25" s="385">
        <f t="shared" si="6"/>
        <v>9.7924165423510185</v>
      </c>
      <c r="T25" s="391">
        <f>('List of Unique Machinary'!Y16+'List of Unique Machinary'!Y17+'List of Unique Machinary'!Y18+'List of Unique Machinary'!Y19+'List of Unique Machinary'!Y20)/5</f>
        <v>16.783200000000001</v>
      </c>
      <c r="U25" s="366">
        <f>('List of Unique Machinary'!Z16+'List of Unique Machinary'!Z17+'List of Unique Machinary'!Z18+'List of Unique Machinary'!Z19+'List of Unique Machinary'!Z20)/5</f>
        <v>134.26560000000001</v>
      </c>
      <c r="V25" s="369">
        <f>('List of Unique Machinary'!AA16+'List of Unique Machinary'!AA17+'List of Unique Machinary'!AA18+'List of Unique Machinary'!AA19+'List of Unique Machinary'!AA20)/5</f>
        <v>3490.9056000000005</v>
      </c>
      <c r="W25" s="391">
        <f>('List of Unique Machinary'!AB16+'List of Unique Machinary'!AB17+'List of Unique Machinary'!AB18+'List of Unique Machinary'!AB19+'List of Unique Machinary'!AB20)/5</f>
        <v>0</v>
      </c>
      <c r="X25" s="366">
        <f>('List of Unique Machinary'!AC16+'List of Unique Machinary'!AC17+'List of Unique Machinary'!AC18+'List of Unique Machinary'!AC19+'List of Unique Machinary'!AC20)/5</f>
        <v>0</v>
      </c>
      <c r="Y25" s="369">
        <f>('List of Unique Machinary'!AD16+'List of Unique Machinary'!AD17+'List of Unique Machinary'!AD18+'List of Unique Machinary'!AD19+'List of Unique Machinary'!AD20)/5</f>
        <v>0</v>
      </c>
      <c r="Z25" s="391">
        <f>('List of Unique Machinary'!AK16+'List of Unique Machinary'!AK17+'List of Unique Machinary'!AK18+'List of Unique Machinary'!AK19+'List of Unique Machinary'!AK20)/5</f>
        <v>0.16650000000000001</v>
      </c>
      <c r="AA25" s="366">
        <f>('List of Unique Machinary'!AL16+'List of Unique Machinary'!AL17+'List of Unique Machinary'!AL18+'List of Unique Machinary'!AL19+'List of Unique Machinary'!AL20)/5</f>
        <v>1.3320000000000001</v>
      </c>
      <c r="AB25" s="369">
        <f>('List of Unique Machinary'!AM16+'List of Unique Machinary'!AM17+'List of Unique Machinary'!AM18+'List of Unique Machinary'!AM19+'List of Unique Machinary'!AM20)/5</f>
        <v>34.631999999999998</v>
      </c>
      <c r="AC25" s="391">
        <f>('List of Unique Machinary'!AO16+'List of Unique Machinary'!AO17+'List of Unique Machinary'!AO18+'List of Unique Machinary'!AO19+'List of Unique Machinary'!AO20)/5</f>
        <v>2246.3406593406594</v>
      </c>
      <c r="AD25" s="366">
        <f>('List of Unique Machinary'!AP16+'List of Unique Machinary'!AP17+'List of Unique Machinary'!AP18+'List of Unique Machinary'!AP19+'List of Unique Machinary'!AP20)/5</f>
        <v>86.397717666948438</v>
      </c>
      <c r="AE25" s="369">
        <f>('List of Unique Machinary'!AQ16+'List of Unique Machinary'!AQ17+'List of Unique Machinary'!AQ18+'List of Unique Machinary'!AQ19+'List of Unique Machinary'!AQ20)/5</f>
        <v>10.799714708368555</v>
      </c>
      <c r="AF25" s="391">
        <f>('List of Unique Machinary'!AR16+'List of Unique Machinary'!AR17+'List of Unique Machinary'!AR18+'List of Unique Machinary'!AR19+'List of Unique Machinary'!AR20)/5</f>
        <v>449.26813186813189</v>
      </c>
      <c r="AG25" s="366">
        <f>('List of Unique Machinary'!AS16+'List of Unique Machinary'!AS17+'List of Unique Machinary'!AS18+'List of Unique Machinary'!AS19+'List of Unique Machinary'!AS20)/5</f>
        <v>17.279543533389688</v>
      </c>
      <c r="AH25" s="369">
        <f>('List of Unique Machinary'!AT16+'List of Unique Machinary'!AT17+'List of Unique Machinary'!AT18+'List of Unique Machinary'!AT19+'List of Unique Machinary'!AT20)/5</f>
        <v>2.159942941673711</v>
      </c>
      <c r="AI25" s="27">
        <f t="shared" si="7"/>
        <v>39.701774192393287</v>
      </c>
      <c r="AK25" s="401" t="s">
        <v>692</v>
      </c>
      <c r="AL25" s="310" t="str">
        <f>VLOOKUP(AK25,'List of Unique Machinary'!$B$6:$C$71,2,0)</f>
        <v>02300445</v>
      </c>
      <c r="AM25" s="405" t="s">
        <v>1237</v>
      </c>
    </row>
    <row r="26" spans="3:39" ht="15.75" x14ac:dyDescent="0.25">
      <c r="C26" s="21" t="str">
        <f t="shared" si="0"/>
        <v>02700415-001</v>
      </c>
      <c r="D26" s="21" t="s">
        <v>697</v>
      </c>
      <c r="E26" s="21" t="s">
        <v>1237</v>
      </c>
      <c r="F26" s="11" t="str">
        <f>VLOOKUP(D26,'Equip. List CSI'!$K$4:$N$159,4,0)</f>
        <v>02700415</v>
      </c>
      <c r="G26" s="358" t="s">
        <v>796</v>
      </c>
      <c r="H26" s="358" t="s">
        <v>1356</v>
      </c>
      <c r="I26" s="355">
        <v>114000</v>
      </c>
      <c r="J26" s="159">
        <f t="shared" si="1"/>
        <v>11400</v>
      </c>
      <c r="K26" s="286">
        <v>60</v>
      </c>
      <c r="L26" s="287">
        <f t="shared" si="2"/>
        <v>1710</v>
      </c>
      <c r="M26" s="159">
        <f t="shared" si="3"/>
        <v>65.769230769230774</v>
      </c>
      <c r="N26" s="361">
        <f t="shared" si="4"/>
        <v>8.2211538461538467</v>
      </c>
      <c r="O26" s="11" t="str">
        <f>VLOOKUP(F26,'List of Unique Machinary'!$C$6:$L$71,10,0)</f>
        <v>Heavy Duty Driver</v>
      </c>
      <c r="P26" s="1" t="str">
        <f>VLOOKUP(O26,'Manpower List'!$F$5:$H$170,3,0)</f>
        <v>02300025</v>
      </c>
      <c r="Q26" s="366">
        <f>VLOOKUP(P26,'Manpower List'!$H$5:$Y$170,18,0)</f>
        <v>1644.3680555555557</v>
      </c>
      <c r="R26" s="366">
        <f t="shared" si="5"/>
        <v>63.244925213675216</v>
      </c>
      <c r="S26" s="385">
        <f t="shared" si="6"/>
        <v>7.9056156517094021</v>
      </c>
      <c r="T26" s="391">
        <f>'List of Unique Machinary'!Y37</f>
        <v>0.94500000000000006</v>
      </c>
      <c r="U26" s="366">
        <f>'List of Unique Machinary'!Z37</f>
        <v>7.5600000000000005</v>
      </c>
      <c r="V26" s="369">
        <f>'List of Unique Machinary'!AA37</f>
        <v>196.56</v>
      </c>
      <c r="W26" s="391">
        <f>'List of Unique Machinary'!AB37</f>
        <v>0</v>
      </c>
      <c r="X26" s="366">
        <f>'List of Unique Machinary'!AC37</f>
        <v>0</v>
      </c>
      <c r="Y26" s="369">
        <f>'List of Unique Machinary'!AD37</f>
        <v>0</v>
      </c>
      <c r="Z26" s="391">
        <f>'List of Unique Machinary'!AK37</f>
        <v>9.3749999999999979E-3</v>
      </c>
      <c r="AA26" s="366">
        <f>'List of Unique Machinary'!AL37</f>
        <v>7.4999999999999983E-2</v>
      </c>
      <c r="AB26" s="369">
        <f>'List of Unique Machinary'!AM37</f>
        <v>1.9499999999999995</v>
      </c>
      <c r="AC26" s="391">
        <f>'List of Unique Machinary'!AO37</f>
        <v>858</v>
      </c>
      <c r="AD26" s="366">
        <f>'List of Unique Machinary'!AP37</f>
        <v>33</v>
      </c>
      <c r="AE26" s="369">
        <f>'List of Unique Machinary'!AQ37</f>
        <v>4.125</v>
      </c>
      <c r="AF26" s="391">
        <f>'List of Unique Machinary'!AR37</f>
        <v>171.60000000000002</v>
      </c>
      <c r="AG26" s="366">
        <f>'List of Unique Machinary'!AS37</f>
        <v>6.6000000000000005</v>
      </c>
      <c r="AH26" s="369">
        <f>'List of Unique Machinary'!AT37</f>
        <v>0.82500000000000007</v>
      </c>
      <c r="AI26" s="27">
        <f t="shared" si="7"/>
        <v>13.809990651709402</v>
      </c>
      <c r="AK26" s="401" t="s">
        <v>700</v>
      </c>
      <c r="AL26" s="310" t="str">
        <f>VLOOKUP(AK26,'List of Unique Machinary'!$B$6:$C$71,2,0)</f>
        <v>09900405</v>
      </c>
      <c r="AM26" s="405" t="s">
        <v>1237</v>
      </c>
    </row>
    <row r="27" spans="3:39" ht="16.5" thickBot="1" x14ac:dyDescent="0.3">
      <c r="C27" s="21" t="str">
        <f t="shared" si="0"/>
        <v>02300440-001</v>
      </c>
      <c r="D27" s="21" t="s">
        <v>696</v>
      </c>
      <c r="E27" s="21" t="s">
        <v>1237</v>
      </c>
      <c r="F27" s="11" t="str">
        <f>VLOOKUP(D27,'Equip. List CSI'!$K$4:$N$159,4,0)</f>
        <v>02300440</v>
      </c>
      <c r="G27" s="358" t="s">
        <v>796</v>
      </c>
      <c r="H27" s="358" t="s">
        <v>1356</v>
      </c>
      <c r="I27" s="355">
        <v>2500</v>
      </c>
      <c r="J27" s="159">
        <f t="shared" si="1"/>
        <v>250</v>
      </c>
      <c r="K27" s="286">
        <v>48</v>
      </c>
      <c r="L27" s="287">
        <f t="shared" si="2"/>
        <v>46.875</v>
      </c>
      <c r="M27" s="159">
        <f t="shared" si="3"/>
        <v>1.8028846153846154</v>
      </c>
      <c r="N27" s="361">
        <f t="shared" si="4"/>
        <v>0.22536057692307693</v>
      </c>
      <c r="O27" s="11" t="str">
        <f>VLOOKUP(F27,'List of Unique Machinary'!$C$6:$L$71,10,0)</f>
        <v>Labour</v>
      </c>
      <c r="P27" s="1" t="str">
        <f>VLOOKUP(O27,'Manpower List'!$F$5:$H$170,3,0)</f>
        <v>01700039</v>
      </c>
      <c r="Q27" s="366">
        <f>VLOOKUP(P27,'Manpower List'!$H$5:$Y$170,18,0)</f>
        <v>1737.2634926588446</v>
      </c>
      <c r="R27" s="366">
        <f t="shared" si="5"/>
        <v>66.817826640724789</v>
      </c>
      <c r="S27" s="385">
        <f t="shared" si="6"/>
        <v>8.3522283300905986</v>
      </c>
      <c r="T27" s="391">
        <f>('List of Unique Machinary'!Y42+'List of Unique Machinary'!Y43)/2</f>
        <v>0</v>
      </c>
      <c r="U27" s="366">
        <f>('List of Unique Machinary'!Z42+'List of Unique Machinary'!Z43)/2</f>
        <v>0</v>
      </c>
      <c r="V27" s="369">
        <f>('List of Unique Machinary'!AA42+'List of Unique Machinary'!AA43)/2</f>
        <v>0</v>
      </c>
      <c r="W27" s="391">
        <f>('List of Unique Machinary'!AB42+'List of Unique Machinary'!AB43)/2</f>
        <v>7.6500000000000012E-2</v>
      </c>
      <c r="X27" s="366">
        <f>('List of Unique Machinary'!AC42+'List of Unique Machinary'!AC43)/2</f>
        <v>0.6120000000000001</v>
      </c>
      <c r="Y27" s="369">
        <f>('List of Unique Machinary'!AD42+'List of Unique Machinary'!AD43)/2</f>
        <v>15.912000000000003</v>
      </c>
      <c r="Z27" s="391">
        <f>('List of Unique Machinary'!AK42+'List of Unique Machinary'!AK43)/2</f>
        <v>6.5625000000000006E-3</v>
      </c>
      <c r="AA27" s="366">
        <f>('List of Unique Machinary'!AL42+'List of Unique Machinary'!AL43)/2</f>
        <v>5.2500000000000005E-2</v>
      </c>
      <c r="AB27" s="369">
        <f>('List of Unique Machinary'!AM42+'List of Unique Machinary'!AM43)/2</f>
        <v>1.3650000000000002</v>
      </c>
      <c r="AC27" s="391">
        <f>('List of Unique Machinary'!AO42+'List of Unique Machinary'!AO43)/2</f>
        <v>42.796875</v>
      </c>
      <c r="AD27" s="366">
        <f>('List of Unique Machinary'!AP42+'List of Unique Machinary'!AP43)/2</f>
        <v>1.6460336538461537</v>
      </c>
      <c r="AE27" s="369">
        <f>('List of Unique Machinary'!AQ42+'List of Unique Machinary'!AQ43)/2</f>
        <v>0.20575420673076922</v>
      </c>
      <c r="AF27" s="391">
        <f>('List of Unique Machinary'!AR42+'List of Unique Machinary'!AR43)/2</f>
        <v>0</v>
      </c>
      <c r="AG27" s="366">
        <f>('List of Unique Machinary'!AS42+'List of Unique Machinary'!AS43)/2</f>
        <v>0</v>
      </c>
      <c r="AH27" s="369">
        <f>('List of Unique Machinary'!AT42+'List of Unique Machinary'!AT43)/2</f>
        <v>0</v>
      </c>
      <c r="AI27" s="27">
        <f t="shared" si="7"/>
        <v>8.6410450368213674</v>
      </c>
      <c r="AK27" s="402" t="s">
        <v>693</v>
      </c>
      <c r="AL27" s="410" t="str">
        <f>VLOOKUP(AK27,'List of Unique Machinary'!$B$6:$C$71,2,0)</f>
        <v>02300425</v>
      </c>
      <c r="AM27" s="407" t="s">
        <v>1237</v>
      </c>
    </row>
    <row r="28" spans="3:39" ht="15.75" x14ac:dyDescent="0.25">
      <c r="C28" s="21" t="str">
        <f t="shared" si="0"/>
        <v>02700420-001</v>
      </c>
      <c r="D28" s="21" t="s">
        <v>699</v>
      </c>
      <c r="E28" s="21" t="s">
        <v>1237</v>
      </c>
      <c r="F28" s="11" t="str">
        <f>VLOOKUP(D28,'Equip. List CSI'!$K$4:$N$159,4,0)</f>
        <v>02700420</v>
      </c>
      <c r="G28" s="358" t="s">
        <v>796</v>
      </c>
      <c r="H28" s="358" t="s">
        <v>1356</v>
      </c>
      <c r="I28" s="355">
        <v>114000</v>
      </c>
      <c r="J28" s="159">
        <f t="shared" si="1"/>
        <v>11400</v>
      </c>
      <c r="K28" s="286">
        <v>60</v>
      </c>
      <c r="L28" s="287">
        <f t="shared" si="2"/>
        <v>1710</v>
      </c>
      <c r="M28" s="159">
        <f t="shared" si="3"/>
        <v>65.769230769230774</v>
      </c>
      <c r="N28" s="361">
        <f t="shared" si="4"/>
        <v>8.2211538461538467</v>
      </c>
      <c r="O28" s="11" t="str">
        <f>VLOOKUP(F28,'List of Unique Machinary'!$C$6:$L$71,10,0)</f>
        <v>Heavy Duty Driver</v>
      </c>
      <c r="P28" s="1" t="str">
        <f>VLOOKUP(O28,'Manpower List'!$F$5:$H$170,3,0)</f>
        <v>02300025</v>
      </c>
      <c r="Q28" s="366">
        <f>VLOOKUP(P28,'Manpower List'!$H$5:$Y$170,18,0)</f>
        <v>1644.3680555555557</v>
      </c>
      <c r="R28" s="366">
        <f t="shared" si="5"/>
        <v>63.244925213675216</v>
      </c>
      <c r="S28" s="385">
        <f t="shared" si="6"/>
        <v>7.9056156517094021</v>
      </c>
      <c r="T28" s="391">
        <f>'List of Unique Machinary'!Y38</f>
        <v>0.94500000000000006</v>
      </c>
      <c r="U28" s="366">
        <f>'List of Unique Machinary'!Z38</f>
        <v>7.5600000000000005</v>
      </c>
      <c r="V28" s="369">
        <f>'List of Unique Machinary'!AA38</f>
        <v>196.56</v>
      </c>
      <c r="W28" s="391">
        <f>'List of Unique Machinary'!AB38</f>
        <v>0</v>
      </c>
      <c r="X28" s="366">
        <f>'List of Unique Machinary'!AC38</f>
        <v>0</v>
      </c>
      <c r="Y28" s="369">
        <f>'List of Unique Machinary'!AD38</f>
        <v>0</v>
      </c>
      <c r="Z28" s="391">
        <f>'List of Unique Machinary'!AK38</f>
        <v>9.3749999999999979E-3</v>
      </c>
      <c r="AA28" s="366">
        <f>'List of Unique Machinary'!AL38</f>
        <v>7.4999999999999983E-2</v>
      </c>
      <c r="AB28" s="369">
        <f>'List of Unique Machinary'!AM38</f>
        <v>1.9499999999999995</v>
      </c>
      <c r="AC28" s="391">
        <f>'List of Unique Machinary'!AO38</f>
        <v>858</v>
      </c>
      <c r="AD28" s="366">
        <f>'List of Unique Machinary'!AP38</f>
        <v>33</v>
      </c>
      <c r="AE28" s="369">
        <f>'List of Unique Machinary'!AQ38</f>
        <v>4.125</v>
      </c>
      <c r="AF28" s="391">
        <f>'List of Unique Machinary'!AR38</f>
        <v>171.60000000000002</v>
      </c>
      <c r="AG28" s="366">
        <f>'List of Unique Machinary'!AS38</f>
        <v>6.6000000000000005</v>
      </c>
      <c r="AH28" s="369">
        <f>'List of Unique Machinary'!AT38</f>
        <v>0.82500000000000007</v>
      </c>
      <c r="AI28" s="27">
        <f t="shared" si="7"/>
        <v>13.809990651709402</v>
      </c>
      <c r="AK28" s="397"/>
      <c r="AL28" s="398"/>
      <c r="AM28" s="398"/>
    </row>
    <row r="29" spans="3:39" x14ac:dyDescent="0.25">
      <c r="C29" s="21" t="str">
        <f t="shared" si="0"/>
        <v>03300415-001</v>
      </c>
      <c r="D29" s="21" t="s">
        <v>704</v>
      </c>
      <c r="E29" s="21" t="s">
        <v>1237</v>
      </c>
      <c r="F29" s="11" t="str">
        <f>VLOOKUP(D29,'Equip. List CSI'!$K$4:$N$159,4,0)</f>
        <v>03300415</v>
      </c>
      <c r="G29" s="358" t="s">
        <v>796</v>
      </c>
      <c r="H29" s="358" t="s">
        <v>1355</v>
      </c>
      <c r="I29" s="355">
        <v>530000</v>
      </c>
      <c r="J29" s="159">
        <f t="shared" si="1"/>
        <v>53000</v>
      </c>
      <c r="K29" s="286">
        <v>60</v>
      </c>
      <c r="L29" s="287">
        <f t="shared" si="2"/>
        <v>7950</v>
      </c>
      <c r="M29" s="159">
        <f t="shared" si="3"/>
        <v>305.76923076923077</v>
      </c>
      <c r="N29" s="361">
        <f t="shared" si="4"/>
        <v>38.221153846153847</v>
      </c>
      <c r="O29" s="11" t="str">
        <f>VLOOKUP(F29,'List of Unique Machinary'!$C$6:$L$71,10,0)</f>
        <v>Driver Concrete Mixer</v>
      </c>
      <c r="P29" s="1" t="str">
        <f>VLOOKUP(O29,'Manpower List'!$F$5:$H$170,3,0)</f>
        <v>03300015</v>
      </c>
      <c r="Q29" s="366">
        <f>VLOOKUP(P29,'Manpower List'!$H$5:$Y$170,18,0)</f>
        <v>1920.4055555555556</v>
      </c>
      <c r="R29" s="366">
        <f t="shared" si="5"/>
        <v>73.861752136752131</v>
      </c>
      <c r="S29" s="385">
        <f t="shared" si="6"/>
        <v>9.2327190170940163</v>
      </c>
      <c r="T29" s="391">
        <f>'List of Unique Machinary'!Y58</f>
        <v>8.9964000000000013</v>
      </c>
      <c r="U29" s="366">
        <f>'List of Unique Machinary'!Z58</f>
        <v>71.97120000000001</v>
      </c>
      <c r="V29" s="369">
        <f>'List of Unique Machinary'!AA58</f>
        <v>1871.2512000000002</v>
      </c>
      <c r="W29" s="391">
        <f>'List of Unique Machinary'!AB58</f>
        <v>0</v>
      </c>
      <c r="X29" s="366">
        <f>'List of Unique Machinary'!AC58</f>
        <v>0</v>
      </c>
      <c r="Y29" s="369">
        <f>'List of Unique Machinary'!AD58</f>
        <v>0</v>
      </c>
      <c r="Z29" s="391">
        <f>'List of Unique Machinary'!AK58</f>
        <v>8.9249999999999996E-2</v>
      </c>
      <c r="AA29" s="366">
        <f>'List of Unique Machinary'!AL58</f>
        <v>0.71399999999999997</v>
      </c>
      <c r="AB29" s="369">
        <f>'List of Unique Machinary'!AM58</f>
        <v>18.564</v>
      </c>
      <c r="AC29" s="391">
        <f>'List of Unique Machinary'!AO58</f>
        <v>4770</v>
      </c>
      <c r="AD29" s="366">
        <f>'List of Unique Machinary'!AP58</f>
        <v>183.46153846153845</v>
      </c>
      <c r="AE29" s="369">
        <f>'List of Unique Machinary'!AQ58</f>
        <v>22.932692307692307</v>
      </c>
      <c r="AF29" s="391">
        <f>'List of Unique Machinary'!AR58</f>
        <v>795</v>
      </c>
      <c r="AG29" s="366">
        <f>'List of Unique Machinary'!AS58</f>
        <v>30.576923076923077</v>
      </c>
      <c r="AH29" s="369">
        <f>'List of Unique Machinary'!AT58</f>
        <v>3.8221153846153846</v>
      </c>
      <c r="AI29" s="27">
        <f t="shared" si="7"/>
        <v>45.073176709401707</v>
      </c>
    </row>
    <row r="30" spans="3:39" x14ac:dyDescent="0.25">
      <c r="C30" s="21" t="str">
        <f t="shared" si="0"/>
        <v>03300415-002</v>
      </c>
      <c r="D30" s="21" t="s">
        <v>704</v>
      </c>
      <c r="E30" s="21" t="s">
        <v>1237</v>
      </c>
      <c r="F30" s="11" t="str">
        <f>VLOOKUP(D30,'Equip. List CSI'!$K$4:$N$159,4,0)</f>
        <v>03300415</v>
      </c>
      <c r="G30" s="358" t="s">
        <v>797</v>
      </c>
      <c r="H30" s="358" t="s">
        <v>1359</v>
      </c>
      <c r="I30" s="355">
        <v>210000</v>
      </c>
      <c r="J30" s="159">
        <f t="shared" si="1"/>
        <v>21000</v>
      </c>
      <c r="K30" s="286">
        <v>60</v>
      </c>
      <c r="L30" s="287">
        <f t="shared" si="2"/>
        <v>3150</v>
      </c>
      <c r="M30" s="159">
        <f t="shared" si="3"/>
        <v>121.15384615384616</v>
      </c>
      <c r="N30" s="361">
        <f t="shared" si="4"/>
        <v>15.14423076923077</v>
      </c>
      <c r="O30" s="11" t="str">
        <f>VLOOKUP(F30,'List of Unique Machinary'!$C$6:$L$71,10,0)</f>
        <v>Driver Concrete Mixer</v>
      </c>
      <c r="P30" s="1" t="str">
        <f>VLOOKUP(O30,'Manpower List'!$F$5:$H$170,3,0)</f>
        <v>03300015</v>
      </c>
      <c r="Q30" s="366">
        <f>VLOOKUP(P30,'Manpower List'!$H$5:$Y$170,18,0)</f>
        <v>1920.4055555555556</v>
      </c>
      <c r="R30" s="366">
        <f t="shared" si="5"/>
        <v>73.861752136752131</v>
      </c>
      <c r="S30" s="385">
        <f t="shared" si="6"/>
        <v>9.2327190170940163</v>
      </c>
      <c r="T30" s="391">
        <f>'List of Unique Machinary'!Y59</f>
        <v>4.4982000000000006</v>
      </c>
      <c r="U30" s="366">
        <f>'List of Unique Machinary'!Z59</f>
        <v>35.985600000000005</v>
      </c>
      <c r="V30" s="369">
        <f>'List of Unique Machinary'!AA59</f>
        <v>935.62560000000008</v>
      </c>
      <c r="W30" s="391">
        <f>'List of Unique Machinary'!AB59</f>
        <v>0</v>
      </c>
      <c r="X30" s="366">
        <f>'List of Unique Machinary'!AC59</f>
        <v>0</v>
      </c>
      <c r="Y30" s="369">
        <f>'List of Unique Machinary'!AD59</f>
        <v>0</v>
      </c>
      <c r="Z30" s="391">
        <f>'List of Unique Machinary'!AK59</f>
        <v>4.4624999999999998E-2</v>
      </c>
      <c r="AA30" s="366">
        <f>'List of Unique Machinary'!AL59</f>
        <v>0.35699999999999998</v>
      </c>
      <c r="AB30" s="369">
        <f>'List of Unique Machinary'!AM59</f>
        <v>9.282</v>
      </c>
      <c r="AC30" s="391">
        <f>'List of Unique Machinary'!AO59</f>
        <v>1890</v>
      </c>
      <c r="AD30" s="366">
        <f>'List of Unique Machinary'!AP59</f>
        <v>72.692307692307693</v>
      </c>
      <c r="AE30" s="369">
        <f>'List of Unique Machinary'!AQ59</f>
        <v>9.0865384615384617</v>
      </c>
      <c r="AF30" s="391">
        <f>'List of Unique Machinary'!AR59</f>
        <v>315</v>
      </c>
      <c r="AG30" s="366">
        <f>'List of Unique Machinary'!AS59</f>
        <v>12.115384615384615</v>
      </c>
      <c r="AH30" s="369">
        <f>'List of Unique Machinary'!AT59</f>
        <v>1.5144230769230769</v>
      </c>
      <c r="AI30" s="27">
        <f t="shared" si="7"/>
        <v>24.376505555555557</v>
      </c>
    </row>
    <row r="31" spans="3:39" x14ac:dyDescent="0.25">
      <c r="C31" s="21" t="str">
        <f t="shared" si="0"/>
        <v>03300405-001</v>
      </c>
      <c r="D31" s="21" t="s">
        <v>702</v>
      </c>
      <c r="E31" s="21" t="s">
        <v>1237</v>
      </c>
      <c r="F31" s="11" t="str">
        <f>VLOOKUP(D31,'Equip. List CSI'!$K$4:$N$159,4,0)</f>
        <v>03300405</v>
      </c>
      <c r="G31" s="358" t="s">
        <v>796</v>
      </c>
      <c r="H31" s="358" t="s">
        <v>1364</v>
      </c>
      <c r="I31" s="355">
        <f>('List of Unique Machinary'!F51+'List of Unique Machinary'!F53)/2</f>
        <v>1482310</v>
      </c>
      <c r="J31" s="159">
        <f t="shared" si="1"/>
        <v>148231</v>
      </c>
      <c r="K31" s="286">
        <v>91</v>
      </c>
      <c r="L31" s="287">
        <f t="shared" si="2"/>
        <v>14660.208791208792</v>
      </c>
      <c r="M31" s="159">
        <f t="shared" si="3"/>
        <v>563.8541842772612</v>
      </c>
      <c r="N31" s="361">
        <f t="shared" si="4"/>
        <v>70.48177303465765</v>
      </c>
      <c r="O31" s="11" t="str">
        <f>VLOOKUP(F31,'List of Unique Machinary'!$C$6:$L$71,10,0)</f>
        <v>Operator Batching Plant</v>
      </c>
      <c r="P31" s="1" t="str">
        <f>VLOOKUP(O31,'Manpower List'!$F$5:$H$170,3,0)</f>
        <v>02900040</v>
      </c>
      <c r="Q31" s="366">
        <f>VLOOKUP(P31,'Manpower List'!$H$5:$Y$170,18,0)</f>
        <v>4136.9305555555557</v>
      </c>
      <c r="R31" s="366">
        <f t="shared" si="5"/>
        <v>159.11271367521368</v>
      </c>
      <c r="S31" s="385">
        <f t="shared" si="6"/>
        <v>19.88908920940171</v>
      </c>
      <c r="T31" s="391">
        <f>('List of Unique Machinary'!Y51+'List of Unique Machinary'!Y53)/2</f>
        <v>0.7087500000000001</v>
      </c>
      <c r="U31" s="366">
        <f>('List of Unique Machinary'!Z51+'List of Unique Machinary'!Z53)/2</f>
        <v>5.6700000000000008</v>
      </c>
      <c r="V31" s="369">
        <f>('List of Unique Machinary'!AA51+'List of Unique Machinary'!AA53)/2</f>
        <v>147.42000000000002</v>
      </c>
      <c r="W31" s="391">
        <f>('List of Unique Machinary'!AB51+'List of Unique Machinary'!AB53)/2</f>
        <v>0</v>
      </c>
      <c r="X31" s="366">
        <f>('List of Unique Machinary'!AC51+'List of Unique Machinary'!AC53)/2</f>
        <v>0</v>
      </c>
      <c r="Y31" s="369">
        <f>('List of Unique Machinary'!AD51+'List of Unique Machinary'!AD53)/2</f>
        <v>0</v>
      </c>
      <c r="Z31" s="391">
        <f>('List of Unique Machinary'!AK51+'List of Unique Machinary'!AK53)/2</f>
        <v>7.0312499999999993E-3</v>
      </c>
      <c r="AA31" s="366">
        <f>('List of Unique Machinary'!AL51+'List of Unique Machinary'!AL53)/2</f>
        <v>5.6249999999999994E-2</v>
      </c>
      <c r="AB31" s="369">
        <f>('List of Unique Machinary'!AM51+'List of Unique Machinary'!AM53)/2</f>
        <v>1.4624999999999999</v>
      </c>
      <c r="AC31" s="391">
        <f>('List of Unique Machinary'!AO51+'List of Unique Machinary'!AO53)/2</f>
        <v>14660.208791208792</v>
      </c>
      <c r="AD31" s="366">
        <f>('List of Unique Machinary'!AP51+'List of Unique Machinary'!AP53)/2</f>
        <v>563.8541842772612</v>
      </c>
      <c r="AE31" s="369">
        <f>('List of Unique Machinary'!AQ51+'List of Unique Machinary'!AQ53)/2</f>
        <v>70.48177303465765</v>
      </c>
      <c r="AF31" s="391">
        <f>('List of Unique Machinary'!AR51+'List of Unique Machinary'!AR53)/2</f>
        <v>0</v>
      </c>
      <c r="AG31" s="366">
        <f>('List of Unique Machinary'!AS51+'List of Unique Machinary'!AS53)/2</f>
        <v>0</v>
      </c>
      <c r="AH31" s="369">
        <f>('List of Unique Machinary'!AT51+'List of Unique Machinary'!AT53)/2</f>
        <v>0</v>
      </c>
      <c r="AI31" s="27">
        <f t="shared" si="7"/>
        <v>91.086643494059359</v>
      </c>
    </row>
    <row r="32" spans="3:39" x14ac:dyDescent="0.25">
      <c r="C32" s="21" t="str">
        <f t="shared" si="0"/>
        <v>03300405-002</v>
      </c>
      <c r="D32" s="21" t="s">
        <v>702</v>
      </c>
      <c r="E32" s="21" t="s">
        <v>1237</v>
      </c>
      <c r="F32" s="11" t="str">
        <f>VLOOKUP(D32,'Equip. List CSI'!$K$4:$N$159,4,0)</f>
        <v>03300405</v>
      </c>
      <c r="G32" s="358" t="s">
        <v>797</v>
      </c>
      <c r="H32" s="358" t="s">
        <v>1365</v>
      </c>
      <c r="I32" s="355">
        <v>600000</v>
      </c>
      <c r="J32" s="159">
        <f t="shared" si="1"/>
        <v>60000</v>
      </c>
      <c r="K32" s="286">
        <v>91</v>
      </c>
      <c r="L32" s="287">
        <f t="shared" si="2"/>
        <v>5934.065934065934</v>
      </c>
      <c r="M32" s="159">
        <f t="shared" si="3"/>
        <v>228.23330515638207</v>
      </c>
      <c r="N32" s="361">
        <f t="shared" si="4"/>
        <v>28.529163144547759</v>
      </c>
      <c r="O32" s="11" t="str">
        <f>VLOOKUP(F32,'List of Unique Machinary'!$C$6:$L$71,10,0)</f>
        <v>Operator Batching Plant</v>
      </c>
      <c r="P32" s="1" t="str">
        <f>VLOOKUP(O32,'Manpower List'!$F$5:$H$170,3,0)</f>
        <v>02900040</v>
      </c>
      <c r="Q32" s="366">
        <f>VLOOKUP(P32,'Manpower List'!$H$5:$Y$170,18,0)</f>
        <v>4136.9305555555557</v>
      </c>
      <c r="R32" s="366">
        <f t="shared" si="5"/>
        <v>159.11271367521368</v>
      </c>
      <c r="S32" s="385">
        <f t="shared" si="6"/>
        <v>19.88908920940171</v>
      </c>
      <c r="T32" s="391">
        <f>'List of Unique Machinary'!Y52</f>
        <v>0.7087500000000001</v>
      </c>
      <c r="U32" s="366">
        <f>'List of Unique Machinary'!Z52</f>
        <v>5.6700000000000008</v>
      </c>
      <c r="V32" s="369">
        <f>'List of Unique Machinary'!AA52</f>
        <v>147.42000000000002</v>
      </c>
      <c r="W32" s="391">
        <f>'List of Unique Machinary'!AB52</f>
        <v>0</v>
      </c>
      <c r="X32" s="366">
        <f>'List of Unique Machinary'!AC52</f>
        <v>0</v>
      </c>
      <c r="Y32" s="369">
        <f>'List of Unique Machinary'!AD52</f>
        <v>0</v>
      </c>
      <c r="Z32" s="391">
        <f>'List of Unique Machinary'!AK52</f>
        <v>7.0312499999999993E-3</v>
      </c>
      <c r="AA32" s="366">
        <f>'List of Unique Machinary'!AL52</f>
        <v>5.6249999999999994E-2</v>
      </c>
      <c r="AB32" s="369">
        <f>'List of Unique Machinary'!AM52</f>
        <v>1.4624999999999999</v>
      </c>
      <c r="AC32" s="391">
        <f>'List of Unique Machinary'!AO52</f>
        <v>5934.065934065934</v>
      </c>
      <c r="AD32" s="366">
        <f>'List of Unique Machinary'!AP52</f>
        <v>228.23330515638207</v>
      </c>
      <c r="AE32" s="369">
        <f>'List of Unique Machinary'!AQ52</f>
        <v>28.529163144547759</v>
      </c>
      <c r="AF32" s="391">
        <f>'List of Unique Machinary'!AR52</f>
        <v>0</v>
      </c>
      <c r="AG32" s="366">
        <f>'List of Unique Machinary'!AS52</f>
        <v>0</v>
      </c>
      <c r="AH32" s="369">
        <f>'List of Unique Machinary'!AT52</f>
        <v>0</v>
      </c>
      <c r="AI32" s="27">
        <f t="shared" si="7"/>
        <v>49.134033603949469</v>
      </c>
    </row>
    <row r="33" spans="3:35" x14ac:dyDescent="0.25">
      <c r="C33" s="21" t="str">
        <f t="shared" si="0"/>
        <v>03300410-001</v>
      </c>
      <c r="D33" s="21" t="s">
        <v>703</v>
      </c>
      <c r="E33" s="21" t="s">
        <v>1237</v>
      </c>
      <c r="F33" s="11" t="str">
        <f>VLOOKUP(D33,'Equip. List CSI'!$K$4:$N$159,4,0)</f>
        <v>03300410</v>
      </c>
      <c r="G33" s="358" t="s">
        <v>796</v>
      </c>
      <c r="H33" s="358" t="s">
        <v>1364</v>
      </c>
      <c r="I33" s="355">
        <v>225000</v>
      </c>
      <c r="J33" s="159">
        <f t="shared" si="1"/>
        <v>22500</v>
      </c>
      <c r="K33" s="286">
        <v>72</v>
      </c>
      <c r="L33" s="287">
        <f t="shared" si="2"/>
        <v>2812.5</v>
      </c>
      <c r="M33" s="159">
        <f t="shared" si="3"/>
        <v>108.17307692307692</v>
      </c>
      <c r="N33" s="361">
        <f t="shared" si="4"/>
        <v>13.521634615384615</v>
      </c>
      <c r="O33" s="11" t="str">
        <f>VLOOKUP(F33,'List of Unique Machinary'!$C$6:$L$71,10,0)</f>
        <v>Operator - Concrete Pump</v>
      </c>
      <c r="P33" s="1" t="str">
        <f>VLOOKUP(O33,'Manpower List'!$F$5:$H$170,3,0)</f>
        <v>03300050</v>
      </c>
      <c r="Q33" s="366">
        <f>VLOOKUP(P33,'Manpower List'!$H$5:$Y$170,18,0)</f>
        <v>2461.6555555555556</v>
      </c>
      <c r="R33" s="366">
        <f t="shared" si="5"/>
        <v>94.679059829059824</v>
      </c>
      <c r="S33" s="385">
        <f t="shared" si="6"/>
        <v>11.834882478632478</v>
      </c>
      <c r="T33" s="391">
        <f>'List of Unique Machinary'!Y54</f>
        <v>0</v>
      </c>
      <c r="U33" s="366">
        <f>'List of Unique Machinary'!Z54</f>
        <v>0</v>
      </c>
      <c r="V33" s="369">
        <f>'List of Unique Machinary'!AA54</f>
        <v>0</v>
      </c>
      <c r="W33" s="391">
        <f>'List of Unique Machinary'!AB54</f>
        <v>7.6500000000000012E-2</v>
      </c>
      <c r="X33" s="366">
        <f>'List of Unique Machinary'!AC54</f>
        <v>0.6120000000000001</v>
      </c>
      <c r="Y33" s="369">
        <f>'List of Unique Machinary'!AD54</f>
        <v>15.912000000000003</v>
      </c>
      <c r="Z33" s="391">
        <f>'List of Unique Machinary'!AK54</f>
        <v>0.25687499999999996</v>
      </c>
      <c r="AA33" s="366">
        <f>'List of Unique Machinary'!AL54</f>
        <v>2.0549999999999997</v>
      </c>
      <c r="AB33" s="369">
        <f>'List of Unique Machinary'!AM54</f>
        <v>53.429999999999993</v>
      </c>
      <c r="AC33" s="391">
        <f>'List of Unique Machinary'!AO54</f>
        <v>2812.5</v>
      </c>
      <c r="AD33" s="366">
        <f>'List of Unique Machinary'!AP54</f>
        <v>108.17307692307692</v>
      </c>
      <c r="AE33" s="369">
        <f>'List of Unique Machinary'!AQ54</f>
        <v>13.521634615384615</v>
      </c>
      <c r="AF33" s="391">
        <f>'List of Unique Machinary'!AR54</f>
        <v>0</v>
      </c>
      <c r="AG33" s="366">
        <f>'List of Unique Machinary'!AS54</f>
        <v>0</v>
      </c>
      <c r="AH33" s="369">
        <f>'List of Unique Machinary'!AT54</f>
        <v>0</v>
      </c>
      <c r="AI33" s="27">
        <f t="shared" si="7"/>
        <v>25.68989209401709</v>
      </c>
    </row>
    <row r="34" spans="3:35" x14ac:dyDescent="0.25">
      <c r="C34" s="21" t="str">
        <f t="shared" si="0"/>
        <v>03300410-002</v>
      </c>
      <c r="D34" s="21" t="s">
        <v>703</v>
      </c>
      <c r="E34" s="21" t="s">
        <v>1237</v>
      </c>
      <c r="F34" s="11" t="str">
        <f>VLOOKUP(D34,'Equip. List CSI'!$K$4:$N$159,4,0)</f>
        <v>03300410</v>
      </c>
      <c r="G34" s="358" t="s">
        <v>797</v>
      </c>
      <c r="H34" s="358" t="s">
        <v>1365</v>
      </c>
      <c r="I34" s="355">
        <v>2030000</v>
      </c>
      <c r="J34" s="159">
        <f t="shared" si="1"/>
        <v>203000</v>
      </c>
      <c r="K34" s="286">
        <v>120</v>
      </c>
      <c r="L34" s="287">
        <f t="shared" si="2"/>
        <v>15225</v>
      </c>
      <c r="M34" s="159">
        <f t="shared" si="3"/>
        <v>585.57692307692309</v>
      </c>
      <c r="N34" s="361">
        <f t="shared" si="4"/>
        <v>73.197115384615387</v>
      </c>
      <c r="O34" s="11" t="str">
        <f>VLOOKUP(F34,'List of Unique Machinary'!$C$6:$L$71,10,0)</f>
        <v>Operator - Concrete Pump</v>
      </c>
      <c r="P34" s="1" t="str">
        <f>VLOOKUP(O34,'Manpower List'!$F$5:$H$170,3,0)</f>
        <v>03300050</v>
      </c>
      <c r="Q34" s="366">
        <f>VLOOKUP(P34,'Manpower List'!$H$5:$Y$170,18,0)</f>
        <v>2461.6555555555556</v>
      </c>
      <c r="R34" s="366">
        <f t="shared" si="5"/>
        <v>94.679059829059824</v>
      </c>
      <c r="S34" s="385">
        <f t="shared" si="6"/>
        <v>11.834882478632478</v>
      </c>
      <c r="T34" s="391">
        <f>('List of Unique Machinary'!Y55+'List of Unique Machinary'!Y56+'List of Unique Machinary'!Y57)/3</f>
        <v>25.893000000000001</v>
      </c>
      <c r="U34" s="366">
        <f>('List of Unique Machinary'!Z55+'List of Unique Machinary'!Z56+'List of Unique Machinary'!Z57)/3</f>
        <v>207.14400000000001</v>
      </c>
      <c r="V34" s="369">
        <f>('List of Unique Machinary'!AA55+'List of Unique Machinary'!AA56+'List of Unique Machinary'!AA57)/3</f>
        <v>5385.7440000000006</v>
      </c>
      <c r="W34" s="391">
        <f>('List of Unique Machinary'!AB55+'List of Unique Machinary'!AB56+'List of Unique Machinary'!AB57)/3</f>
        <v>0</v>
      </c>
      <c r="X34" s="366">
        <f>('List of Unique Machinary'!AC55+'List of Unique Machinary'!AC56+'List of Unique Machinary'!AC57)/3</f>
        <v>0</v>
      </c>
      <c r="Y34" s="369">
        <f>('List of Unique Machinary'!AD55+'List of Unique Machinary'!AD56+'List of Unique Machinary'!AD57)/3</f>
        <v>0</v>
      </c>
      <c r="Z34" s="391">
        <f>('List of Unique Machinary'!AK55+'List of Unique Machinary'!AK56+'List of Unique Machinary'!AK57)/3</f>
        <v>0.25687499999999996</v>
      </c>
      <c r="AA34" s="366">
        <f>('List of Unique Machinary'!AL55+'List of Unique Machinary'!AL56+'List of Unique Machinary'!AL57)/3</f>
        <v>2.0549999999999997</v>
      </c>
      <c r="AB34" s="369">
        <f>('List of Unique Machinary'!AM55+'List of Unique Machinary'!AM56+'List of Unique Machinary'!AM57)/3</f>
        <v>53.429999999999986</v>
      </c>
      <c r="AC34" s="391">
        <f>('List of Unique Machinary'!AO55+'List of Unique Machinary'!AO56+'List of Unique Machinary'!AO57)/3</f>
        <v>18233.860759493673</v>
      </c>
      <c r="AD34" s="366">
        <f>('List of Unique Machinary'!AP55+'List of Unique Machinary'!AP56+'List of Unique Machinary'!AP57)/3</f>
        <v>701.30233690360274</v>
      </c>
      <c r="AE34" s="369">
        <f>('List of Unique Machinary'!AQ55+'List of Unique Machinary'!AQ56+'List of Unique Machinary'!AQ57)/3</f>
        <v>87.662792112950342</v>
      </c>
      <c r="AF34" s="391">
        <f>('List of Unique Machinary'!AR55+'List of Unique Machinary'!AR56+'List of Unique Machinary'!AR57)/3</f>
        <v>1823.3860759493673</v>
      </c>
      <c r="AG34" s="366">
        <f>('List of Unique Machinary'!AS55+'List of Unique Machinary'!AS56+'List of Unique Machinary'!AS57)/3</f>
        <v>70.130233690360285</v>
      </c>
      <c r="AH34" s="369">
        <f>('List of Unique Machinary'!AT55+'List of Unique Machinary'!AT56+'List of Unique Machinary'!AT57)/3</f>
        <v>8.7662792112950356</v>
      </c>
      <c r="AI34" s="27">
        <f t="shared" si="7"/>
        <v>134.41382880287784</v>
      </c>
    </row>
    <row r="35" spans="3:35" x14ac:dyDescent="0.25">
      <c r="C35" s="21" t="str">
        <f t="shared" si="0"/>
        <v>02300410-001</v>
      </c>
      <c r="D35" s="21" t="s">
        <v>689</v>
      </c>
      <c r="E35" s="21" t="s">
        <v>1237</v>
      </c>
      <c r="F35" s="11" t="str">
        <f>VLOOKUP(D35,'Equip. List CSI'!$K$4:$N$159,4,0)</f>
        <v>02300410</v>
      </c>
      <c r="G35" s="358" t="s">
        <v>796</v>
      </c>
      <c r="H35" s="358" t="s">
        <v>1356</v>
      </c>
      <c r="I35" s="355">
        <f>('List of Unique Machinary'!F13+'List of Unique Machinary'!F14+'List of Unique Machinary'!F15)/3</f>
        <v>478000</v>
      </c>
      <c r="J35" s="159">
        <f t="shared" si="1"/>
        <v>47800</v>
      </c>
      <c r="K35" s="286">
        <v>90</v>
      </c>
      <c r="L35" s="287">
        <f t="shared" si="2"/>
        <v>4780</v>
      </c>
      <c r="M35" s="159">
        <f t="shared" si="3"/>
        <v>183.84615384615384</v>
      </c>
      <c r="N35" s="361">
        <f t="shared" si="4"/>
        <v>22.98076923076923</v>
      </c>
      <c r="O35" s="11" t="str">
        <f>VLOOKUP(F35,'List of Unique Machinary'!$C$6:$L$71,10,0)</f>
        <v>Operator Jack Hammer</v>
      </c>
      <c r="P35" s="1" t="str">
        <f>VLOOKUP(O35,'Manpower List'!$F$5:$H$170,3,0)</f>
        <v>02300050</v>
      </c>
      <c r="Q35" s="366">
        <f>VLOOKUP(P35,'Manpower List'!$H$5:$Y$170,18,0)</f>
        <v>1992.0555555555557</v>
      </c>
      <c r="R35" s="366">
        <f t="shared" si="5"/>
        <v>76.617521367521377</v>
      </c>
      <c r="S35" s="385">
        <f t="shared" si="6"/>
        <v>9.5771901709401721</v>
      </c>
      <c r="T35" s="391">
        <f>('List of Unique Machinary'!Y13+'List of Unique Machinary'!Y14+'List of Unique Machinary'!Y15)/3</f>
        <v>13.985999999999999</v>
      </c>
      <c r="U35" s="366">
        <f>('List of Unique Machinary'!Z13+'List of Unique Machinary'!Z14+'List of Unique Machinary'!Z15)/3</f>
        <v>111.88799999999999</v>
      </c>
      <c r="V35" s="369">
        <f>('List of Unique Machinary'!AA13+'List of Unique Machinary'!AA14+'List of Unique Machinary'!AA15)/3</f>
        <v>2909.0880000000002</v>
      </c>
      <c r="W35" s="391">
        <f>('List of Unique Machinary'!AB13+'List of Unique Machinary'!AB14+'List of Unique Machinary'!AB15)/3</f>
        <v>0</v>
      </c>
      <c r="X35" s="366">
        <f>('List of Unique Machinary'!AC13+'List of Unique Machinary'!AC14+'List of Unique Machinary'!AC15)/3</f>
        <v>0</v>
      </c>
      <c r="Y35" s="369">
        <f>('List of Unique Machinary'!AD13+'List of Unique Machinary'!AD14+'List of Unique Machinary'!AD15)/3</f>
        <v>0</v>
      </c>
      <c r="Z35" s="391">
        <f>('List of Unique Machinary'!AK13+'List of Unique Machinary'!AK14+'List of Unique Machinary'!AK15)/3</f>
        <v>0.13874999999999998</v>
      </c>
      <c r="AA35" s="366">
        <f>('List of Unique Machinary'!AL13+'List of Unique Machinary'!AL14+'List of Unique Machinary'!AL15)/3</f>
        <v>1.1099999999999999</v>
      </c>
      <c r="AB35" s="369">
        <f>('List of Unique Machinary'!AM13+'List of Unique Machinary'!AM14+'List of Unique Machinary'!AM15)/3</f>
        <v>28.859999999999996</v>
      </c>
      <c r="AC35" s="391">
        <f>('List of Unique Machinary'!AO13+'List of Unique Machinary'!AO14+'List of Unique Machinary'!AO15)/3</f>
        <v>6005.5555555555557</v>
      </c>
      <c r="AD35" s="366">
        <f>('List of Unique Machinary'!AP13+'List of Unique Machinary'!AP14+'List of Unique Machinary'!AP15)/3</f>
        <v>230.982905982906</v>
      </c>
      <c r="AE35" s="369">
        <f>('List of Unique Machinary'!AQ13+'List of Unique Machinary'!AQ14+'List of Unique Machinary'!AQ15)/3</f>
        <v>28.872863247863251</v>
      </c>
      <c r="AF35" s="391">
        <f>('List of Unique Machinary'!AR13+'List of Unique Machinary'!AR14+'List of Unique Machinary'!AR15)/3</f>
        <v>600.55555555555554</v>
      </c>
      <c r="AG35" s="366">
        <f>('List of Unique Machinary'!AS13+'List of Unique Machinary'!AS14+'List of Unique Machinary'!AS15)/3</f>
        <v>23.0982905982906</v>
      </c>
      <c r="AH35" s="369">
        <f>('List of Unique Machinary'!AT13+'List of Unique Machinary'!AT14+'List of Unique Machinary'!AT15)/3</f>
        <v>2.887286324786325</v>
      </c>
      <c r="AI35" s="27">
        <f t="shared" si="7"/>
        <v>55.46208974358975</v>
      </c>
    </row>
    <row r="36" spans="3:35" x14ac:dyDescent="0.25">
      <c r="C36" s="21" t="str">
        <f t="shared" si="0"/>
        <v>02300430-001</v>
      </c>
      <c r="D36" s="21" t="s">
        <v>694</v>
      </c>
      <c r="E36" s="21" t="s">
        <v>1237</v>
      </c>
      <c r="F36" s="11" t="str">
        <f>VLOOKUP(D36,'Equip. List CSI'!$K$4:$N$159,4,0)</f>
        <v>02300430</v>
      </c>
      <c r="G36" s="358" t="s">
        <v>796</v>
      </c>
      <c r="H36" s="358" t="s">
        <v>1356</v>
      </c>
      <c r="I36" s="355">
        <f>('List of Unique Machinary'!F32+'List of Unique Machinary'!F33)/2</f>
        <v>78200</v>
      </c>
      <c r="J36" s="159">
        <f t="shared" si="1"/>
        <v>7820</v>
      </c>
      <c r="K36" s="286">
        <v>66</v>
      </c>
      <c r="L36" s="287">
        <f t="shared" si="2"/>
        <v>1066.3636363636363</v>
      </c>
      <c r="M36" s="159">
        <f t="shared" si="3"/>
        <v>41.013986013986013</v>
      </c>
      <c r="N36" s="361">
        <f t="shared" si="4"/>
        <v>5.1267482517482517</v>
      </c>
      <c r="O36" s="11" t="str">
        <f>VLOOKUP(F36,'List of Unique Machinary'!$C$6:$L$71,10,0)</f>
        <v>Operator Roller</v>
      </c>
      <c r="P36" s="1" t="str">
        <f>VLOOKUP(O36,'Manpower List'!$F$5:$H$170,3,0)</f>
        <v>02300075</v>
      </c>
      <c r="Q36" s="366">
        <f>VLOOKUP(P36,'Manpower List'!$H$5:$Y$170,18,0)</f>
        <v>1447.5793964646466</v>
      </c>
      <c r="R36" s="366">
        <f t="shared" si="5"/>
        <v>55.676130633255639</v>
      </c>
      <c r="S36" s="385">
        <f t="shared" si="6"/>
        <v>6.9595163291569548</v>
      </c>
      <c r="T36" s="391">
        <f>('List of Unique Machinary'!Y32+'List of Unique Machinary'!Y33)/2</f>
        <v>0</v>
      </c>
      <c r="U36" s="366">
        <f>('List of Unique Machinary'!Z32+'List of Unique Machinary'!Z33)/2</f>
        <v>0</v>
      </c>
      <c r="V36" s="369">
        <f>('List of Unique Machinary'!AA32+'List of Unique Machinary'!AA33)/2</f>
        <v>0</v>
      </c>
      <c r="W36" s="391">
        <f>('List of Unique Machinary'!AB32+'List of Unique Machinary'!AB33)/2</f>
        <v>7.6500000000000012E-2</v>
      </c>
      <c r="X36" s="366">
        <f>('List of Unique Machinary'!AC32+'List of Unique Machinary'!AC33)/2</f>
        <v>0.6120000000000001</v>
      </c>
      <c r="Y36" s="369">
        <f>('List of Unique Machinary'!AD32+'List of Unique Machinary'!AD33)/2</f>
        <v>15.912000000000003</v>
      </c>
      <c r="Z36" s="391">
        <f>('List of Unique Machinary'!AK32+'List of Unique Machinary'!AK33)/2</f>
        <v>5.1562499999999997E-2</v>
      </c>
      <c r="AA36" s="366">
        <f>('List of Unique Machinary'!AL32+'List of Unique Machinary'!AL33)/2</f>
        <v>0.41249999999999998</v>
      </c>
      <c r="AB36" s="369">
        <f>('List of Unique Machinary'!AM32+'List of Unique Machinary'!AM33)/2</f>
        <v>10.725</v>
      </c>
      <c r="AC36" s="391">
        <f>('List of Unique Machinary'!AO32+'List of Unique Machinary'!AO33)/2</f>
        <v>1173</v>
      </c>
      <c r="AD36" s="366">
        <f>('List of Unique Machinary'!AP32+'List of Unique Machinary'!AP33)/2</f>
        <v>45.115384615384613</v>
      </c>
      <c r="AE36" s="369">
        <f>('List of Unique Machinary'!AQ32+'List of Unique Machinary'!AQ33)/2</f>
        <v>5.6394230769230766</v>
      </c>
      <c r="AF36" s="391">
        <f>('List of Unique Machinary'!AR32+'List of Unique Machinary'!AR33)/2</f>
        <v>0</v>
      </c>
      <c r="AG36" s="366">
        <f>('List of Unique Machinary'!AS32+'List of Unique Machinary'!AS33)/2</f>
        <v>0</v>
      </c>
      <c r="AH36" s="369">
        <f>('List of Unique Machinary'!AT32+'List of Unique Machinary'!AT33)/2</f>
        <v>0</v>
      </c>
      <c r="AI36" s="27">
        <f t="shared" si="7"/>
        <v>12.727001906080032</v>
      </c>
    </row>
    <row r="37" spans="3:35" x14ac:dyDescent="0.25">
      <c r="C37" s="21" t="str">
        <f t="shared" si="0"/>
        <v>02300445-001</v>
      </c>
      <c r="D37" s="21" t="s">
        <v>692</v>
      </c>
      <c r="E37" s="21" t="s">
        <v>1237</v>
      </c>
      <c r="F37" s="11" t="str">
        <f>VLOOKUP(D37,'Equip. List CSI'!$K$4:$N$159,4,0)</f>
        <v>02300445</v>
      </c>
      <c r="G37" s="358" t="s">
        <v>796</v>
      </c>
      <c r="H37" s="358" t="s">
        <v>1356</v>
      </c>
      <c r="I37" s="355">
        <v>2000000</v>
      </c>
      <c r="J37" s="159">
        <f t="shared" si="1"/>
        <v>200000</v>
      </c>
      <c r="K37" s="286">
        <v>120</v>
      </c>
      <c r="L37" s="287">
        <f t="shared" si="2"/>
        <v>15000</v>
      </c>
      <c r="M37" s="159">
        <f t="shared" si="3"/>
        <v>576.92307692307691</v>
      </c>
      <c r="N37" s="361">
        <f t="shared" si="4"/>
        <v>72.115384615384613</v>
      </c>
      <c r="O37" s="11" t="str">
        <f>VLOOKUP(F37,'List of Unique Machinary'!$C$6:$L$71,10,0)</f>
        <v>Operator</v>
      </c>
      <c r="P37" s="1" t="str">
        <f>VLOOKUP(O37,'Manpower List'!$F$5:$H$170,3,0)</f>
        <v>02200020</v>
      </c>
      <c r="Q37" s="366">
        <f>VLOOKUP(P37,'Manpower List'!$H$5:$Y$170,18,0)</f>
        <v>3993.8940690690692</v>
      </c>
      <c r="R37" s="366">
        <f t="shared" si="5"/>
        <v>153.61131034881035</v>
      </c>
      <c r="S37" s="385">
        <f t="shared" si="6"/>
        <v>19.201413793601294</v>
      </c>
      <c r="T37" s="391">
        <f>'List of Unique Machinary'!Y44</f>
        <v>56.70000000000001</v>
      </c>
      <c r="U37" s="366">
        <f>'List of Unique Machinary'!Z44</f>
        <v>453.60000000000008</v>
      </c>
      <c r="V37" s="369">
        <f>'List of Unique Machinary'!AA44</f>
        <v>11793.600000000002</v>
      </c>
      <c r="W37" s="391">
        <f>'List of Unique Machinary'!AB44</f>
        <v>0</v>
      </c>
      <c r="X37" s="366">
        <f>'List of Unique Machinary'!AC44</f>
        <v>0</v>
      </c>
      <c r="Y37" s="369">
        <f>'List of Unique Machinary'!AD44</f>
        <v>0</v>
      </c>
      <c r="Z37" s="391">
        <f>'List of Unique Machinary'!AK44</f>
        <v>0.5625</v>
      </c>
      <c r="AA37" s="366">
        <f>'List of Unique Machinary'!AL44</f>
        <v>4.5</v>
      </c>
      <c r="AB37" s="369">
        <f>'List of Unique Machinary'!AM44</f>
        <v>117</v>
      </c>
      <c r="AC37" s="391">
        <f>'List of Unique Machinary'!AO44</f>
        <v>15000</v>
      </c>
      <c r="AD37" s="366">
        <f>'List of Unique Machinary'!AP44</f>
        <v>576.92307692307691</v>
      </c>
      <c r="AE37" s="369">
        <f>'List of Unique Machinary'!AQ44</f>
        <v>72.115384615384613</v>
      </c>
      <c r="AF37" s="391">
        <f>'List of Unique Machinary'!AR44</f>
        <v>0</v>
      </c>
      <c r="AG37" s="366">
        <f>'List of Unique Machinary'!AS44</f>
        <v>0</v>
      </c>
      <c r="AH37" s="369">
        <f>'List of Unique Machinary'!AT44</f>
        <v>0</v>
      </c>
      <c r="AI37" s="27">
        <f t="shared" si="7"/>
        <v>148.57929840898592</v>
      </c>
    </row>
    <row r="38" spans="3:35" x14ac:dyDescent="0.25">
      <c r="C38" s="21" t="str">
        <f t="shared" si="0"/>
        <v>09900405-001</v>
      </c>
      <c r="D38" s="21" t="s">
        <v>700</v>
      </c>
      <c r="E38" s="21" t="s">
        <v>1237</v>
      </c>
      <c r="F38" s="11" t="str">
        <f>VLOOKUP(D38,'Equip. List CSI'!$K$4:$N$159,4,0)</f>
        <v>09900405</v>
      </c>
      <c r="G38" s="358" t="s">
        <v>796</v>
      </c>
      <c r="H38" s="358" t="s">
        <v>1356</v>
      </c>
      <c r="I38" s="355">
        <v>53941</v>
      </c>
      <c r="J38" s="159">
        <f t="shared" si="1"/>
        <v>5394.1</v>
      </c>
      <c r="K38" s="286">
        <v>60</v>
      </c>
      <c r="L38" s="287">
        <f t="shared" si="2"/>
        <v>809.11500000000001</v>
      </c>
      <c r="M38" s="159">
        <f t="shared" si="3"/>
        <v>31.119807692307692</v>
      </c>
      <c r="N38" s="361">
        <f t="shared" si="4"/>
        <v>3.8899759615384615</v>
      </c>
      <c r="O38" s="11" t="str">
        <f>VLOOKUP(F38,'List of Unique Machinary'!$C$6:$L$71,10,0)</f>
        <v>Painter Road</v>
      </c>
      <c r="P38" s="1" t="str">
        <f>VLOOKUP(O38,'Manpower List'!$F$5:$H$170,3,0)</f>
        <v>09900025</v>
      </c>
      <c r="Q38" s="366">
        <f>VLOOKUP(P38,'Manpower List'!$H$5:$Y$170,18,0)</f>
        <v>1617.3055555555557</v>
      </c>
      <c r="R38" s="366">
        <f t="shared" si="5"/>
        <v>62.20405982905983</v>
      </c>
      <c r="S38" s="385">
        <f t="shared" si="6"/>
        <v>7.7755074786324787</v>
      </c>
      <c r="T38" s="391">
        <f>'List of Unique Machinary'!Y63</f>
        <v>1.2285000000000001</v>
      </c>
      <c r="U38" s="366">
        <f>'List of Unique Machinary'!Z63</f>
        <v>9.8280000000000012</v>
      </c>
      <c r="V38" s="369">
        <f>'List of Unique Machinary'!AA63</f>
        <v>255.52800000000002</v>
      </c>
      <c r="W38" s="391">
        <f>'List of Unique Machinary'!AB63</f>
        <v>0</v>
      </c>
      <c r="X38" s="366">
        <f>'List of Unique Machinary'!AC63</f>
        <v>0</v>
      </c>
      <c r="Y38" s="369">
        <f>'List of Unique Machinary'!AD63</f>
        <v>0</v>
      </c>
      <c r="Z38" s="391">
        <f>'List of Unique Machinary'!AK63</f>
        <v>1.21875E-2</v>
      </c>
      <c r="AA38" s="366">
        <f>'List of Unique Machinary'!AL63</f>
        <v>9.7500000000000003E-2</v>
      </c>
      <c r="AB38" s="369">
        <f>'List of Unique Machinary'!AM63</f>
        <v>2.5350000000000001</v>
      </c>
      <c r="AC38" s="391">
        <f>'List of Unique Machinary'!AO63</f>
        <v>404.5575</v>
      </c>
      <c r="AD38" s="366">
        <f>'List of Unique Machinary'!AP63</f>
        <v>15.559903846153846</v>
      </c>
      <c r="AE38" s="369">
        <f>'List of Unique Machinary'!AQ63</f>
        <v>1.9449879807692307</v>
      </c>
      <c r="AF38" s="391">
        <f>'List of Unique Machinary'!AR63</f>
        <v>80.911500000000004</v>
      </c>
      <c r="AG38" s="366">
        <f>'List of Unique Machinary'!AS63</f>
        <v>3.1119807692307693</v>
      </c>
      <c r="AH38" s="369">
        <f>'List of Unique Machinary'!AT63</f>
        <v>0.38899759615384616</v>
      </c>
      <c r="AI38" s="27">
        <f t="shared" si="7"/>
        <v>11.350180555555555</v>
      </c>
    </row>
    <row r="39" spans="3:35" ht="15.75" thickBot="1" x14ac:dyDescent="0.3">
      <c r="C39" s="23" t="str">
        <f t="shared" si="0"/>
        <v>02300425-001</v>
      </c>
      <c r="D39" s="23" t="s">
        <v>693</v>
      </c>
      <c r="E39" s="23" t="s">
        <v>1237</v>
      </c>
      <c r="F39" s="14" t="str">
        <f>VLOOKUP(D39,'Equip. List CSI'!$K$4:$N$159,4,0)</f>
        <v>02300425</v>
      </c>
      <c r="G39" s="359" t="s">
        <v>796</v>
      </c>
      <c r="H39" s="359" t="s">
        <v>1356</v>
      </c>
      <c r="I39" s="356">
        <f>('List of Unique Machinary'!F27+'List of Unique Machinary'!F28)/2</f>
        <v>90000</v>
      </c>
      <c r="J39" s="350">
        <f t="shared" si="1"/>
        <v>9000</v>
      </c>
      <c r="K39" s="351">
        <v>60</v>
      </c>
      <c r="L39" s="352">
        <f t="shared" si="2"/>
        <v>1350</v>
      </c>
      <c r="M39" s="350">
        <f t="shared" si="3"/>
        <v>51.92307692307692</v>
      </c>
      <c r="N39" s="362">
        <f t="shared" si="4"/>
        <v>6.490384615384615</v>
      </c>
      <c r="O39" s="14" t="str">
        <f>VLOOKUP(F39,'List of Unique Machinary'!$C$6:$L$71,10,0)</f>
        <v>Heavy Duty Driver</v>
      </c>
      <c r="P39" s="15" t="str">
        <f>VLOOKUP(O39,'Manpower List'!$F$5:$H$170,3,0)</f>
        <v>02300025</v>
      </c>
      <c r="Q39" s="370">
        <f>VLOOKUP(P39,'Manpower List'!$H$5:$Y$170,18,0)</f>
        <v>1644.3680555555557</v>
      </c>
      <c r="R39" s="370">
        <f t="shared" si="5"/>
        <v>63.244925213675216</v>
      </c>
      <c r="S39" s="386">
        <f t="shared" si="6"/>
        <v>7.9056156517094021</v>
      </c>
      <c r="T39" s="393">
        <f>('List of Unique Machinary'!Y27+'List of Unique Machinary'!Y28)/2</f>
        <v>20.79</v>
      </c>
      <c r="U39" s="370">
        <f>('List of Unique Machinary'!Z27+'List of Unique Machinary'!Z28)/2</f>
        <v>166.32</v>
      </c>
      <c r="V39" s="371">
        <f>('List of Unique Machinary'!AA27+'List of Unique Machinary'!AA28)/2</f>
        <v>4324.32</v>
      </c>
      <c r="W39" s="393">
        <f>('List of Unique Machinary'!AB27+'List of Unique Machinary'!AB28)/2</f>
        <v>0</v>
      </c>
      <c r="X39" s="370">
        <f>('List of Unique Machinary'!AC27+'List of Unique Machinary'!AC28)/2</f>
        <v>0</v>
      </c>
      <c r="Y39" s="371">
        <f>('List of Unique Machinary'!AD27+'List of Unique Machinary'!AD28)/2</f>
        <v>0</v>
      </c>
      <c r="Z39" s="393">
        <f>('List of Unique Machinary'!AK27+'List of Unique Machinary'!AK28)/2</f>
        <v>0.20624999999999999</v>
      </c>
      <c r="AA39" s="370">
        <f>('List of Unique Machinary'!AL27+'List of Unique Machinary'!AL28)/2</f>
        <v>1.65</v>
      </c>
      <c r="AB39" s="371">
        <f>('List of Unique Machinary'!AM27+'List of Unique Machinary'!AM28)/2</f>
        <v>42.9</v>
      </c>
      <c r="AC39" s="393">
        <f>('List of Unique Machinary'!AO27+'List of Unique Machinary'!AO28)/2</f>
        <v>637.5</v>
      </c>
      <c r="AD39" s="370">
        <f>('List of Unique Machinary'!AP27+'List of Unique Machinary'!AP28)/2</f>
        <v>24.51923076923077</v>
      </c>
      <c r="AE39" s="371">
        <f>('List of Unique Machinary'!AQ27+'List of Unique Machinary'!AQ28)/2</f>
        <v>3.0649038461538463</v>
      </c>
      <c r="AF39" s="393">
        <f>('List of Unique Machinary'!AR27+'List of Unique Machinary'!AR28)/2</f>
        <v>127.5</v>
      </c>
      <c r="AG39" s="370">
        <f>('List of Unique Machinary'!AS27+'List of Unique Machinary'!AS28)/2</f>
        <v>4.9038461538461533</v>
      </c>
      <c r="AH39" s="371">
        <f>('List of Unique Machinary'!AT27+'List of Unique Machinary'!AT28)/2</f>
        <v>0.61298076923076916</v>
      </c>
      <c r="AI39" s="27">
        <f t="shared" si="7"/>
        <v>32.57975026709402</v>
      </c>
    </row>
  </sheetData>
  <autoFilter ref="D3:AI39" xr:uid="{00000000-0009-0000-0000-00000E000000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AY71"/>
  <sheetViews>
    <sheetView topLeftCell="A64" zoomScale="40" zoomScaleNormal="40" workbookViewId="0">
      <selection activeCell="AL69" sqref="AL69"/>
    </sheetView>
  </sheetViews>
  <sheetFormatPr defaultRowHeight="15" outlineLevelCol="1" x14ac:dyDescent="0.25"/>
  <cols>
    <col min="2" max="4" width="28.28515625" customWidth="1"/>
    <col min="5" max="5" width="78" customWidth="1"/>
    <col min="6" max="6" width="22" style="52" customWidth="1"/>
    <col min="7" max="7" width="21.42578125" style="52" hidden="1" customWidth="1"/>
    <col min="8" max="8" width="23.85546875" hidden="1" customWidth="1"/>
    <col min="9" max="11" width="23.140625" hidden="1" customWidth="1"/>
    <col min="12" max="12" width="31.28515625" hidden="1" customWidth="1"/>
    <col min="13" max="13" width="18.140625" hidden="1" customWidth="1" outlineLevel="1"/>
    <col min="14" max="14" width="19.28515625" hidden="1" customWidth="1" outlineLevel="1"/>
    <col min="15" max="15" width="16.42578125" hidden="1" customWidth="1"/>
    <col min="16" max="16" width="16.5703125" hidden="1" customWidth="1"/>
    <col min="17" max="19" width="16" hidden="1" customWidth="1" outlineLevel="1"/>
    <col min="20" max="20" width="18.42578125" hidden="1" customWidth="1" outlineLevel="1"/>
    <col min="21" max="21" width="17.140625" hidden="1" customWidth="1" outlineLevel="1"/>
    <col min="22" max="24" width="16.5703125" hidden="1" customWidth="1" outlineLevel="1"/>
    <col min="25" max="25" width="21.42578125" customWidth="1" collapsed="1"/>
    <col min="26" max="27" width="21.42578125" customWidth="1"/>
    <col min="28" max="30" width="22.28515625" customWidth="1"/>
    <col min="31" max="34" width="19.140625" hidden="1" customWidth="1" outlineLevel="1"/>
    <col min="35" max="35" width="22" hidden="1" customWidth="1" outlineLevel="1"/>
    <col min="36" max="36" width="16" hidden="1" customWidth="1" outlineLevel="1"/>
    <col min="37" max="37" width="22.42578125" customWidth="1" collapsed="1"/>
    <col min="38" max="38" width="23.140625" customWidth="1"/>
    <col min="39" max="39" width="23.7109375" customWidth="1"/>
    <col min="40" max="40" width="16" hidden="1" customWidth="1"/>
    <col min="41" max="46" width="18.140625" customWidth="1"/>
    <col min="47" max="49" width="20.5703125" customWidth="1"/>
    <col min="52" max="52" width="43.42578125" customWidth="1"/>
  </cols>
  <sheetData>
    <row r="2" spans="2:51" ht="47.25" thickBot="1" x14ac:dyDescent="0.75">
      <c r="B2" s="61" t="s">
        <v>717</v>
      </c>
    </row>
    <row r="3" spans="2:51" ht="36.75" thickBot="1" x14ac:dyDescent="0.6">
      <c r="B3" s="43"/>
      <c r="C3" s="43"/>
      <c r="D3" s="43"/>
      <c r="E3" s="43"/>
      <c r="F3" s="98" t="s">
        <v>833</v>
      </c>
      <c r="G3" s="53"/>
      <c r="H3" s="54"/>
      <c r="I3" s="54"/>
      <c r="J3" s="54"/>
      <c r="K3" s="55"/>
      <c r="L3" s="58" t="s">
        <v>834</v>
      </c>
      <c r="M3" s="54"/>
      <c r="N3" s="54"/>
      <c r="O3" s="55"/>
      <c r="P3" s="56" t="s">
        <v>875</v>
      </c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8" t="s">
        <v>725</v>
      </c>
      <c r="AO3" s="59"/>
      <c r="AP3" s="59"/>
      <c r="AQ3" s="59"/>
      <c r="AR3" s="59"/>
      <c r="AS3" s="59"/>
      <c r="AT3" s="60"/>
      <c r="AU3" s="97" t="s">
        <v>890</v>
      </c>
      <c r="AV3" s="74"/>
      <c r="AW3" s="75"/>
    </row>
    <row r="4" spans="2:51" ht="70.5" customHeight="1" thickBot="1" x14ac:dyDescent="0.3">
      <c r="B4" s="107" t="s">
        <v>718</v>
      </c>
      <c r="C4" s="108" t="s">
        <v>510</v>
      </c>
      <c r="D4" s="109" t="s">
        <v>719</v>
      </c>
      <c r="E4" s="110" t="s">
        <v>720</v>
      </c>
      <c r="F4" s="111" t="s">
        <v>822</v>
      </c>
      <c r="G4" s="112" t="s">
        <v>823</v>
      </c>
      <c r="H4" s="113" t="s">
        <v>721</v>
      </c>
      <c r="I4" s="113" t="s">
        <v>824</v>
      </c>
      <c r="J4" s="113" t="s">
        <v>825</v>
      </c>
      <c r="K4" s="114" t="s">
        <v>826</v>
      </c>
      <c r="L4" s="115" t="s">
        <v>821</v>
      </c>
      <c r="M4" s="116" t="s">
        <v>722</v>
      </c>
      <c r="N4" s="116" t="s">
        <v>723</v>
      </c>
      <c r="O4" s="117" t="s">
        <v>724</v>
      </c>
      <c r="P4" s="118" t="s">
        <v>844</v>
      </c>
      <c r="Q4" s="116" t="s">
        <v>838</v>
      </c>
      <c r="R4" s="116" t="s">
        <v>840</v>
      </c>
      <c r="S4" s="116" t="s">
        <v>842</v>
      </c>
      <c r="T4" s="116" t="s">
        <v>846</v>
      </c>
      <c r="U4" s="116" t="s">
        <v>848</v>
      </c>
      <c r="V4" s="116" t="s">
        <v>849</v>
      </c>
      <c r="W4" s="116" t="s">
        <v>851</v>
      </c>
      <c r="X4" s="116" t="s">
        <v>852</v>
      </c>
      <c r="Y4" s="116" t="s">
        <v>853</v>
      </c>
      <c r="Z4" s="116" t="s">
        <v>891</v>
      </c>
      <c r="AA4" s="116" t="s">
        <v>892</v>
      </c>
      <c r="AB4" s="116" t="s">
        <v>854</v>
      </c>
      <c r="AC4" s="116" t="s">
        <v>894</v>
      </c>
      <c r="AD4" s="116" t="s">
        <v>895</v>
      </c>
      <c r="AE4" s="116" t="s">
        <v>859</v>
      </c>
      <c r="AF4" s="116" t="s">
        <v>860</v>
      </c>
      <c r="AG4" s="116" t="s">
        <v>861</v>
      </c>
      <c r="AH4" s="116" t="s">
        <v>862</v>
      </c>
      <c r="AI4" s="116" t="s">
        <v>864</v>
      </c>
      <c r="AJ4" s="116" t="s">
        <v>863</v>
      </c>
      <c r="AK4" s="116" t="s">
        <v>865</v>
      </c>
      <c r="AL4" s="116" t="s">
        <v>898</v>
      </c>
      <c r="AM4" s="119" t="s">
        <v>899</v>
      </c>
      <c r="AN4" s="118" t="s">
        <v>876</v>
      </c>
      <c r="AO4" s="116" t="s">
        <v>879</v>
      </c>
      <c r="AP4" s="116" t="s">
        <v>880</v>
      </c>
      <c r="AQ4" s="116" t="s">
        <v>881</v>
      </c>
      <c r="AR4" s="116" t="s">
        <v>885</v>
      </c>
      <c r="AS4" s="116" t="s">
        <v>886</v>
      </c>
      <c r="AT4" s="117" t="s">
        <v>887</v>
      </c>
      <c r="AU4" s="120" t="s">
        <v>726</v>
      </c>
      <c r="AV4" s="121" t="s">
        <v>727</v>
      </c>
      <c r="AW4" s="122" t="s">
        <v>728</v>
      </c>
    </row>
    <row r="5" spans="2:51" ht="54" customHeight="1" thickBot="1" x14ac:dyDescent="0.3">
      <c r="B5" s="125"/>
      <c r="C5" s="126"/>
      <c r="D5" s="127"/>
      <c r="E5" s="128"/>
      <c r="F5" s="89" t="s">
        <v>827</v>
      </c>
      <c r="G5" s="90" t="s">
        <v>828</v>
      </c>
      <c r="H5" s="91" t="s">
        <v>829</v>
      </c>
      <c r="I5" s="91" t="s">
        <v>830</v>
      </c>
      <c r="J5" s="91" t="s">
        <v>831</v>
      </c>
      <c r="K5" s="92" t="s">
        <v>832</v>
      </c>
      <c r="L5" s="93"/>
      <c r="M5" s="91" t="s">
        <v>835</v>
      </c>
      <c r="N5" s="91" t="s">
        <v>836</v>
      </c>
      <c r="O5" s="92" t="s">
        <v>837</v>
      </c>
      <c r="P5" s="93" t="s">
        <v>845</v>
      </c>
      <c r="Q5" s="91" t="s">
        <v>839</v>
      </c>
      <c r="R5" s="91" t="s">
        <v>841</v>
      </c>
      <c r="S5" s="91" t="s">
        <v>843</v>
      </c>
      <c r="T5" s="91" t="s">
        <v>847</v>
      </c>
      <c r="U5" s="94" t="s">
        <v>850</v>
      </c>
      <c r="V5" s="94"/>
      <c r="W5" s="94" t="s">
        <v>855</v>
      </c>
      <c r="X5" s="94" t="s">
        <v>856</v>
      </c>
      <c r="Y5" s="96" t="s">
        <v>857</v>
      </c>
      <c r="Z5" s="94" t="s">
        <v>893</v>
      </c>
      <c r="AA5" s="94" t="s">
        <v>908</v>
      </c>
      <c r="AB5" s="94" t="s">
        <v>858</v>
      </c>
      <c r="AC5" s="94" t="s">
        <v>896</v>
      </c>
      <c r="AD5" s="94" t="s">
        <v>897</v>
      </c>
      <c r="AE5" s="94" t="s">
        <v>871</v>
      </c>
      <c r="AF5" s="94" t="s">
        <v>872</v>
      </c>
      <c r="AG5" s="94" t="s">
        <v>873</v>
      </c>
      <c r="AH5" s="94" t="s">
        <v>874</v>
      </c>
      <c r="AI5" s="94" t="s">
        <v>866</v>
      </c>
      <c r="AJ5" s="91" t="s">
        <v>867</v>
      </c>
      <c r="AK5" s="91" t="s">
        <v>868</v>
      </c>
      <c r="AL5" s="91" t="s">
        <v>901</v>
      </c>
      <c r="AM5" s="102" t="s">
        <v>900</v>
      </c>
      <c r="AN5" s="93" t="s">
        <v>877</v>
      </c>
      <c r="AO5" s="91" t="s">
        <v>878</v>
      </c>
      <c r="AP5" s="91" t="s">
        <v>882</v>
      </c>
      <c r="AQ5" s="91" t="s">
        <v>883</v>
      </c>
      <c r="AR5" s="91" t="s">
        <v>884</v>
      </c>
      <c r="AS5" s="91" t="s">
        <v>888</v>
      </c>
      <c r="AT5" s="92" t="s">
        <v>889</v>
      </c>
      <c r="AU5" s="95"/>
      <c r="AV5" s="79"/>
      <c r="AW5" s="80"/>
    </row>
    <row r="6" spans="2:51" ht="54" customHeight="1" x14ac:dyDescent="0.25">
      <c r="B6" s="86" t="s">
        <v>688</v>
      </c>
      <c r="C6" s="83" t="str">
        <f>VLOOKUP(B6,'Equip. List CSI'!$K$4:$N$159,4,0)</f>
        <v>02300405</v>
      </c>
      <c r="D6" s="123" t="s">
        <v>796</v>
      </c>
      <c r="E6" s="124" t="s">
        <v>729</v>
      </c>
      <c r="F6" s="81">
        <v>390000</v>
      </c>
      <c r="G6" s="82">
        <f>F6*0.1</f>
        <v>39000</v>
      </c>
      <c r="H6" s="83">
        <v>69</v>
      </c>
      <c r="I6" s="84">
        <f>(F6-G6)/H6</f>
        <v>5086.95652173913</v>
      </c>
      <c r="J6" s="84">
        <f>I6/26</f>
        <v>195.65217391304347</v>
      </c>
      <c r="K6" s="85">
        <f>J6/8</f>
        <v>24.456521739130434</v>
      </c>
      <c r="L6" s="86" t="s">
        <v>802</v>
      </c>
      <c r="M6" s="84">
        <f>VLOOKUP(L6,'Manual Manpower Database'!$G$5:$AY$160,45,0)</f>
        <v>2019.9241725768322</v>
      </c>
      <c r="N6" s="84">
        <f>M6/26</f>
        <v>77.68939125295509</v>
      </c>
      <c r="O6" s="85">
        <f>N6/8</f>
        <v>9.7111739066193863</v>
      </c>
      <c r="P6" s="87" t="s">
        <v>869</v>
      </c>
      <c r="Q6" s="83">
        <f>IF(P6="G",0.21,0.17)</f>
        <v>0.21</v>
      </c>
      <c r="R6" s="83">
        <v>148</v>
      </c>
      <c r="S6" s="83">
        <f>0.54</f>
        <v>0.54</v>
      </c>
      <c r="T6" s="83">
        <f>IF(P6="G",0.72,0.84)</f>
        <v>0.72</v>
      </c>
      <c r="U6" s="84">
        <f>IF(P6="G",(Q6*R6*S6)/T6,"")</f>
        <v>23.310000000000002</v>
      </c>
      <c r="V6" s="83" t="str">
        <f>IF(P6="D",Q6*R6*S6*T6,"")</f>
        <v/>
      </c>
      <c r="W6" s="83">
        <v>0.6</v>
      </c>
      <c r="X6" s="83">
        <v>0.45</v>
      </c>
      <c r="Y6" s="83">
        <f>IF(P6="G",U6*W6,0)</f>
        <v>13.986000000000001</v>
      </c>
      <c r="Z6" s="84">
        <f>Y6*8</f>
        <v>111.88800000000001</v>
      </c>
      <c r="AA6" s="84">
        <f>Z6*26</f>
        <v>2909.0880000000002</v>
      </c>
      <c r="AB6" s="83">
        <f>IF(P6="D",X6*Q6,0)</f>
        <v>0</v>
      </c>
      <c r="AC6" s="83">
        <f>AB6*8</f>
        <v>0</v>
      </c>
      <c r="AD6" s="83">
        <f>AC6*26</f>
        <v>0</v>
      </c>
      <c r="AE6" s="83">
        <f t="shared" ref="AE6:AE15" si="0">(0.0006*$R6)*1.25</f>
        <v>0.11099999999999999</v>
      </c>
      <c r="AF6" s="83">
        <f t="shared" ref="AF6:AF15" si="1">(0.0003*$R6)*1.25</f>
        <v>5.5499999999999994E-2</v>
      </c>
      <c r="AG6" s="83">
        <f t="shared" ref="AG6:AG15" si="2">(0.0002*$R6)*1.25</f>
        <v>3.7000000000000005E-2</v>
      </c>
      <c r="AH6" s="83">
        <f t="shared" ref="AH6:AH15" si="3">(0.0001*$R6)*1.25</f>
        <v>1.8500000000000003E-2</v>
      </c>
      <c r="AI6" s="83">
        <f>SUM(AE6:AH6)</f>
        <v>0.22199999999999998</v>
      </c>
      <c r="AJ6" s="83">
        <v>0.5</v>
      </c>
      <c r="AK6" s="83">
        <f t="shared" ref="AK6:AK37" si="4">(AJ6*AI6)*1.25</f>
        <v>0.13874999999999998</v>
      </c>
      <c r="AL6" s="83">
        <f>AK6*8</f>
        <v>1.1099999999999999</v>
      </c>
      <c r="AM6" s="103">
        <f>AL6*26</f>
        <v>28.859999999999996</v>
      </c>
      <c r="AN6" s="86">
        <v>1</v>
      </c>
      <c r="AO6" s="84">
        <f t="shared" ref="AO6:AO37" si="5">AN6*I6</f>
        <v>5086.95652173913</v>
      </c>
      <c r="AP6" s="84">
        <f>AO6/26</f>
        <v>195.65217391304347</v>
      </c>
      <c r="AQ6" s="84">
        <f>AP6/8</f>
        <v>24.456521739130434</v>
      </c>
      <c r="AR6" s="88"/>
      <c r="AS6" s="84"/>
      <c r="AT6" s="85"/>
      <c r="AU6" s="76">
        <f>I6+M6+AA6+AM6+AO6+AR6</f>
        <v>15131.785216055094</v>
      </c>
      <c r="AV6" s="77">
        <f>J6+N6+Z6+AC6+AP6+AS6+AL6</f>
        <v>581.99173907904208</v>
      </c>
      <c r="AW6" s="78">
        <f>K6+O6+AB6+Y6+AK6+AQ6+AT6</f>
        <v>72.74896738488026</v>
      </c>
      <c r="AY6" s="27"/>
    </row>
    <row r="7" spans="2:51" ht="54" customHeight="1" x14ac:dyDescent="0.25">
      <c r="B7" s="62" t="s">
        <v>688</v>
      </c>
      <c r="C7" s="63" t="str">
        <f>VLOOKUP(B7,'Equip. List CSI'!$K$4:$N$159,4,0)</f>
        <v>02300405</v>
      </c>
      <c r="D7" s="106" t="s">
        <v>797</v>
      </c>
      <c r="E7" s="105" t="s">
        <v>730</v>
      </c>
      <c r="F7" s="64">
        <v>480000</v>
      </c>
      <c r="G7" s="65">
        <f t="shared" ref="G7:G66" si="6">F7*0.1</f>
        <v>48000</v>
      </c>
      <c r="H7" s="63">
        <v>96</v>
      </c>
      <c r="I7" s="66">
        <f t="shared" ref="I7:I66" si="7">(F7-G7)/H7</f>
        <v>4500</v>
      </c>
      <c r="J7" s="66">
        <f t="shared" ref="J7:J66" si="8">I7/26</f>
        <v>173.07692307692307</v>
      </c>
      <c r="K7" s="67">
        <f t="shared" ref="K7:K66" si="9">J7/8</f>
        <v>21.634615384615383</v>
      </c>
      <c r="L7" s="62" t="s">
        <v>802</v>
      </c>
      <c r="M7" s="69">
        <f>VLOOKUP(L7,'Manual Manpower Database'!$G$5:$AY$160,45,0)</f>
        <v>2019.9241725768322</v>
      </c>
      <c r="N7" s="66">
        <f t="shared" ref="N7:N66" si="10">M7/26</f>
        <v>77.68939125295509</v>
      </c>
      <c r="O7" s="67">
        <f t="shared" ref="O7:O66" si="11">N7/8</f>
        <v>9.7111739066193863</v>
      </c>
      <c r="P7" s="68" t="s">
        <v>869</v>
      </c>
      <c r="Q7" s="63">
        <f t="shared" ref="Q7:Q70" si="12">IF(P7="G",0.21,0.17)</f>
        <v>0.21</v>
      </c>
      <c r="R7" s="63">
        <v>140</v>
      </c>
      <c r="S7" s="63">
        <f t="shared" ref="S7:S70" si="13">0.54</f>
        <v>0.54</v>
      </c>
      <c r="T7" s="63">
        <f t="shared" ref="T7:T70" si="14">IF(P7="G",0.72,0.84)</f>
        <v>0.72</v>
      </c>
      <c r="U7" s="66">
        <f t="shared" ref="U7:U70" si="15">IF(P7="G",(Q7*R7*S7)/T7,"")</f>
        <v>22.05</v>
      </c>
      <c r="V7" s="63" t="str">
        <f t="shared" ref="V7:V70" si="16">IF(P7="D",Q7*R7*S7*T7,"")</f>
        <v/>
      </c>
      <c r="W7" s="63">
        <v>0.6</v>
      </c>
      <c r="X7" s="63">
        <v>0.45</v>
      </c>
      <c r="Y7" s="63">
        <f t="shared" ref="Y7:Y69" si="17">IF(P7="G",U7*W7,0)</f>
        <v>13.23</v>
      </c>
      <c r="Z7" s="66">
        <f t="shared" ref="Z7:Z69" si="18">Y7*8</f>
        <v>105.84</v>
      </c>
      <c r="AA7" s="66">
        <f t="shared" ref="AA7:AA69" si="19">Z7*26</f>
        <v>2751.84</v>
      </c>
      <c r="AB7" s="63">
        <f t="shared" ref="AB7:AB69" si="20">IF(P7="D",X7*Q7,0)</f>
        <v>0</v>
      </c>
      <c r="AC7" s="63">
        <f t="shared" ref="AC7:AC69" si="21">AB7*8</f>
        <v>0</v>
      </c>
      <c r="AD7" s="63">
        <f t="shared" ref="AD7:AD69" si="22">AC7*26</f>
        <v>0</v>
      </c>
      <c r="AE7" s="63">
        <f t="shared" si="0"/>
        <v>0.10499999999999998</v>
      </c>
      <c r="AF7" s="63">
        <f t="shared" si="1"/>
        <v>5.2499999999999991E-2</v>
      </c>
      <c r="AG7" s="63">
        <f t="shared" si="2"/>
        <v>3.5000000000000003E-2</v>
      </c>
      <c r="AH7" s="63">
        <f t="shared" si="3"/>
        <v>1.7500000000000002E-2</v>
      </c>
      <c r="AI7" s="63">
        <f t="shared" ref="AI7:AI70" si="23">SUM(AE7:AH7)</f>
        <v>0.20999999999999996</v>
      </c>
      <c r="AJ7" s="63">
        <v>0.5</v>
      </c>
      <c r="AK7" s="63">
        <f t="shared" si="4"/>
        <v>0.13124999999999998</v>
      </c>
      <c r="AL7" s="63">
        <f t="shared" ref="AL7:AL69" si="24">AK7*8</f>
        <v>1.0499999999999998</v>
      </c>
      <c r="AM7" s="104">
        <f t="shared" ref="AM7:AM69" si="25">AL7*26</f>
        <v>27.299999999999997</v>
      </c>
      <c r="AN7" s="62">
        <v>1</v>
      </c>
      <c r="AO7" s="66">
        <f t="shared" si="5"/>
        <v>4500</v>
      </c>
      <c r="AP7" s="66">
        <f t="shared" ref="AP7:AP69" si="26">AO7/26</f>
        <v>173.07692307692307</v>
      </c>
      <c r="AQ7" s="66">
        <f t="shared" ref="AQ7:AQ69" si="27">AP7/8</f>
        <v>21.634615384615383</v>
      </c>
      <c r="AR7" s="69"/>
      <c r="AS7" s="66"/>
      <c r="AT7" s="67"/>
      <c r="AU7" s="72">
        <f t="shared" ref="AU7:AU69" si="28">I7+M7+AA7+AM7+AO7+AR7</f>
        <v>13799.064172576833</v>
      </c>
      <c r="AV7" s="51">
        <f t="shared" ref="AV7:AV69" si="29">J7+N7+Z7+AC7+AP7+AS7+AL7</f>
        <v>530.73323740680121</v>
      </c>
      <c r="AW7" s="73">
        <f t="shared" ref="AW7:AW69" si="30">K7+O7+AB7+Y7+AK7+AQ7+AT7</f>
        <v>66.341654675850151</v>
      </c>
    </row>
    <row r="8" spans="2:51" ht="54" customHeight="1" x14ac:dyDescent="0.25">
      <c r="B8" s="62" t="s">
        <v>688</v>
      </c>
      <c r="C8" s="63" t="str">
        <f>VLOOKUP(B8,'Equip. List CSI'!$K$4:$N$159,4,0)</f>
        <v>02300405</v>
      </c>
      <c r="D8" s="106" t="s">
        <v>798</v>
      </c>
      <c r="E8" s="105" t="s">
        <v>731</v>
      </c>
      <c r="F8" s="64">
        <v>362000</v>
      </c>
      <c r="G8" s="65">
        <f t="shared" si="6"/>
        <v>36200</v>
      </c>
      <c r="H8" s="63">
        <v>84</v>
      </c>
      <c r="I8" s="66">
        <f t="shared" si="7"/>
        <v>3878.5714285714284</v>
      </c>
      <c r="J8" s="66">
        <f t="shared" si="8"/>
        <v>149.17582417582418</v>
      </c>
      <c r="K8" s="67">
        <f t="shared" si="9"/>
        <v>18.646978021978022</v>
      </c>
      <c r="L8" s="62" t="s">
        <v>802</v>
      </c>
      <c r="M8" s="69">
        <f>VLOOKUP(L8,'Manual Manpower Database'!$G$5:$AY$160,45,0)</f>
        <v>2019.9241725768322</v>
      </c>
      <c r="N8" s="66">
        <f t="shared" si="10"/>
        <v>77.68939125295509</v>
      </c>
      <c r="O8" s="67">
        <f t="shared" si="11"/>
        <v>9.7111739066193863</v>
      </c>
      <c r="P8" s="68" t="s">
        <v>869</v>
      </c>
      <c r="Q8" s="63">
        <f t="shared" si="12"/>
        <v>0.21</v>
      </c>
      <c r="R8" s="63">
        <v>150</v>
      </c>
      <c r="S8" s="63">
        <f t="shared" si="13"/>
        <v>0.54</v>
      </c>
      <c r="T8" s="63">
        <f t="shared" si="14"/>
        <v>0.72</v>
      </c>
      <c r="U8" s="66">
        <f t="shared" si="15"/>
        <v>23.625000000000004</v>
      </c>
      <c r="V8" s="63" t="str">
        <f t="shared" si="16"/>
        <v/>
      </c>
      <c r="W8" s="63">
        <v>0.6</v>
      </c>
      <c r="X8" s="63">
        <v>0.45</v>
      </c>
      <c r="Y8" s="63">
        <f t="shared" si="17"/>
        <v>14.175000000000002</v>
      </c>
      <c r="Z8" s="66">
        <f t="shared" si="18"/>
        <v>113.40000000000002</v>
      </c>
      <c r="AA8" s="66">
        <f t="shared" si="19"/>
        <v>2948.4000000000005</v>
      </c>
      <c r="AB8" s="63">
        <f t="shared" si="20"/>
        <v>0</v>
      </c>
      <c r="AC8" s="63">
        <f t="shared" si="21"/>
        <v>0</v>
      </c>
      <c r="AD8" s="63">
        <f t="shared" si="22"/>
        <v>0</v>
      </c>
      <c r="AE8" s="63">
        <f t="shared" si="0"/>
        <v>0.11249999999999999</v>
      </c>
      <c r="AF8" s="63">
        <f t="shared" si="1"/>
        <v>5.6249999999999994E-2</v>
      </c>
      <c r="AG8" s="63">
        <f t="shared" si="2"/>
        <v>3.7500000000000006E-2</v>
      </c>
      <c r="AH8" s="63">
        <f t="shared" si="3"/>
        <v>1.8750000000000003E-2</v>
      </c>
      <c r="AI8" s="63">
        <f t="shared" si="23"/>
        <v>0.22499999999999998</v>
      </c>
      <c r="AJ8" s="63">
        <v>0.5</v>
      </c>
      <c r="AK8" s="63">
        <f t="shared" si="4"/>
        <v>0.140625</v>
      </c>
      <c r="AL8" s="63">
        <f t="shared" si="24"/>
        <v>1.125</v>
      </c>
      <c r="AM8" s="104">
        <f t="shared" si="25"/>
        <v>29.25</v>
      </c>
      <c r="AN8" s="62">
        <v>1</v>
      </c>
      <c r="AO8" s="66">
        <f t="shared" si="5"/>
        <v>3878.5714285714284</v>
      </c>
      <c r="AP8" s="66">
        <f t="shared" si="26"/>
        <v>149.17582417582418</v>
      </c>
      <c r="AQ8" s="66">
        <f t="shared" si="27"/>
        <v>18.646978021978022</v>
      </c>
      <c r="AR8" s="69"/>
      <c r="AS8" s="66"/>
      <c r="AT8" s="67"/>
      <c r="AU8" s="72">
        <f t="shared" si="28"/>
        <v>12754.71702971969</v>
      </c>
      <c r="AV8" s="51">
        <f t="shared" si="29"/>
        <v>490.56603960460347</v>
      </c>
      <c r="AW8" s="73">
        <f t="shared" si="30"/>
        <v>61.320754950575434</v>
      </c>
    </row>
    <row r="9" spans="2:51" ht="87.75" customHeight="1" x14ac:dyDescent="0.25">
      <c r="B9" s="62" t="s">
        <v>688</v>
      </c>
      <c r="C9" s="63" t="str">
        <f>VLOOKUP(B9,'Equip. List CSI'!$K$4:$N$159,4,0)</f>
        <v>02300405</v>
      </c>
      <c r="D9" s="106" t="s">
        <v>799</v>
      </c>
      <c r="E9" s="105" t="s">
        <v>732</v>
      </c>
      <c r="F9" s="64">
        <v>790000</v>
      </c>
      <c r="G9" s="65">
        <f t="shared" si="6"/>
        <v>79000</v>
      </c>
      <c r="H9" s="63">
        <v>96</v>
      </c>
      <c r="I9" s="66">
        <f t="shared" si="7"/>
        <v>7406.25</v>
      </c>
      <c r="J9" s="66">
        <f t="shared" si="8"/>
        <v>284.85576923076923</v>
      </c>
      <c r="K9" s="67">
        <f t="shared" si="9"/>
        <v>35.606971153846153</v>
      </c>
      <c r="L9" s="62" t="s">
        <v>802</v>
      </c>
      <c r="M9" s="69">
        <f>VLOOKUP(L9,'Manual Manpower Database'!$G$5:$AY$160,45,0)</f>
        <v>2019.9241725768322</v>
      </c>
      <c r="N9" s="66">
        <f t="shared" si="10"/>
        <v>77.68939125295509</v>
      </c>
      <c r="O9" s="67">
        <f t="shared" si="11"/>
        <v>9.7111739066193863</v>
      </c>
      <c r="P9" s="68" t="s">
        <v>869</v>
      </c>
      <c r="Q9" s="63">
        <f t="shared" si="12"/>
        <v>0.21</v>
      </c>
      <c r="R9" s="63">
        <v>353</v>
      </c>
      <c r="S9" s="63">
        <f t="shared" si="13"/>
        <v>0.54</v>
      </c>
      <c r="T9" s="63">
        <f t="shared" si="14"/>
        <v>0.72</v>
      </c>
      <c r="U9" s="66">
        <f t="shared" si="15"/>
        <v>55.597500000000004</v>
      </c>
      <c r="V9" s="63" t="str">
        <f t="shared" si="16"/>
        <v/>
      </c>
      <c r="W9" s="63">
        <v>0.6</v>
      </c>
      <c r="X9" s="63">
        <v>0.45</v>
      </c>
      <c r="Y9" s="63">
        <f t="shared" si="17"/>
        <v>33.358499999999999</v>
      </c>
      <c r="Z9" s="66">
        <f t="shared" si="18"/>
        <v>266.86799999999999</v>
      </c>
      <c r="AA9" s="66">
        <f t="shared" si="19"/>
        <v>6938.5680000000002</v>
      </c>
      <c r="AB9" s="63">
        <f t="shared" si="20"/>
        <v>0</v>
      </c>
      <c r="AC9" s="63">
        <f t="shared" si="21"/>
        <v>0</v>
      </c>
      <c r="AD9" s="63">
        <f t="shared" si="22"/>
        <v>0</v>
      </c>
      <c r="AE9" s="63">
        <f t="shared" si="0"/>
        <v>0.26474999999999999</v>
      </c>
      <c r="AF9" s="63">
        <f t="shared" si="1"/>
        <v>0.13237499999999999</v>
      </c>
      <c r="AG9" s="63">
        <f t="shared" si="2"/>
        <v>8.8250000000000009E-2</v>
      </c>
      <c r="AH9" s="63">
        <f t="shared" si="3"/>
        <v>4.4125000000000004E-2</v>
      </c>
      <c r="AI9" s="63">
        <f t="shared" si="23"/>
        <v>0.52949999999999997</v>
      </c>
      <c r="AJ9" s="63">
        <v>0.5</v>
      </c>
      <c r="AK9" s="63">
        <f t="shared" si="4"/>
        <v>0.3309375</v>
      </c>
      <c r="AL9" s="63">
        <f t="shared" si="24"/>
        <v>2.6475</v>
      </c>
      <c r="AM9" s="104">
        <f t="shared" si="25"/>
        <v>68.834999999999994</v>
      </c>
      <c r="AN9" s="62">
        <v>1</v>
      </c>
      <c r="AO9" s="66">
        <f t="shared" si="5"/>
        <v>7406.25</v>
      </c>
      <c r="AP9" s="66">
        <f t="shared" si="26"/>
        <v>284.85576923076923</v>
      </c>
      <c r="AQ9" s="66">
        <f t="shared" si="27"/>
        <v>35.606971153846153</v>
      </c>
      <c r="AR9" s="69"/>
      <c r="AS9" s="66"/>
      <c r="AT9" s="67"/>
      <c r="AU9" s="72">
        <f t="shared" si="28"/>
        <v>23839.827172576832</v>
      </c>
      <c r="AV9" s="51">
        <f t="shared" si="29"/>
        <v>916.91642971449369</v>
      </c>
      <c r="AW9" s="73">
        <f t="shared" si="30"/>
        <v>114.61455371431171</v>
      </c>
    </row>
    <row r="10" spans="2:51" ht="87.75" customHeight="1" x14ac:dyDescent="0.25">
      <c r="B10" s="62" t="s">
        <v>701</v>
      </c>
      <c r="C10" s="63" t="str">
        <f>VLOOKUP(B10,'Equip. List CSI'!$K$4:$N$159,4,0)</f>
        <v>02200405</v>
      </c>
      <c r="D10" s="106" t="s">
        <v>796</v>
      </c>
      <c r="E10" s="105" t="s">
        <v>733</v>
      </c>
      <c r="F10" s="70">
        <v>1900000</v>
      </c>
      <c r="G10" s="71">
        <f t="shared" si="6"/>
        <v>190000</v>
      </c>
      <c r="H10" s="63">
        <v>120</v>
      </c>
      <c r="I10" s="66">
        <f t="shared" si="7"/>
        <v>14250</v>
      </c>
      <c r="J10" s="66">
        <f t="shared" si="8"/>
        <v>548.07692307692309</v>
      </c>
      <c r="K10" s="67">
        <f t="shared" si="9"/>
        <v>68.509615384615387</v>
      </c>
      <c r="L10" s="62" t="s">
        <v>803</v>
      </c>
      <c r="M10" s="69">
        <f>VLOOKUP(L10,'Manual Manpower Database'!$G$5:$AY$160,45,0)</f>
        <v>2138.542249103943</v>
      </c>
      <c r="N10" s="66">
        <f t="shared" si="10"/>
        <v>82.251624965536266</v>
      </c>
      <c r="O10" s="67">
        <f t="shared" si="11"/>
        <v>10.281453120692033</v>
      </c>
      <c r="P10" s="68" t="s">
        <v>869</v>
      </c>
      <c r="Q10" s="63">
        <f t="shared" si="12"/>
        <v>0.21</v>
      </c>
      <c r="R10" s="63">
        <v>328</v>
      </c>
      <c r="S10" s="63">
        <f t="shared" si="13"/>
        <v>0.54</v>
      </c>
      <c r="T10" s="63">
        <f t="shared" si="14"/>
        <v>0.72</v>
      </c>
      <c r="U10" s="66">
        <f t="shared" si="15"/>
        <v>51.660000000000004</v>
      </c>
      <c r="V10" s="63" t="str">
        <f t="shared" si="16"/>
        <v/>
      </c>
      <c r="W10" s="63">
        <v>0.6</v>
      </c>
      <c r="X10" s="63">
        <v>0.45</v>
      </c>
      <c r="Y10" s="63">
        <f t="shared" si="17"/>
        <v>30.996000000000002</v>
      </c>
      <c r="Z10" s="66">
        <f t="shared" si="18"/>
        <v>247.96800000000002</v>
      </c>
      <c r="AA10" s="66">
        <f t="shared" si="19"/>
        <v>6447.1680000000006</v>
      </c>
      <c r="AB10" s="63">
        <f t="shared" si="20"/>
        <v>0</v>
      </c>
      <c r="AC10" s="63">
        <f t="shared" si="21"/>
        <v>0</v>
      </c>
      <c r="AD10" s="63">
        <f t="shared" si="22"/>
        <v>0</v>
      </c>
      <c r="AE10" s="63">
        <f t="shared" si="0"/>
        <v>0.24599999999999997</v>
      </c>
      <c r="AF10" s="63">
        <f t="shared" si="1"/>
        <v>0.12299999999999998</v>
      </c>
      <c r="AG10" s="63">
        <f t="shared" si="2"/>
        <v>8.2000000000000003E-2</v>
      </c>
      <c r="AH10" s="63">
        <f t="shared" si="3"/>
        <v>4.1000000000000002E-2</v>
      </c>
      <c r="AI10" s="63">
        <f t="shared" si="23"/>
        <v>0.49199999999999994</v>
      </c>
      <c r="AJ10" s="63">
        <v>0.5</v>
      </c>
      <c r="AK10" s="63">
        <f t="shared" si="4"/>
        <v>0.30749999999999994</v>
      </c>
      <c r="AL10" s="63">
        <f t="shared" si="24"/>
        <v>2.4599999999999995</v>
      </c>
      <c r="AM10" s="104">
        <f t="shared" si="25"/>
        <v>63.959999999999987</v>
      </c>
      <c r="AN10" s="62">
        <v>1</v>
      </c>
      <c r="AO10" s="66">
        <f t="shared" si="5"/>
        <v>14250</v>
      </c>
      <c r="AP10" s="66">
        <f t="shared" si="26"/>
        <v>548.07692307692309</v>
      </c>
      <c r="AQ10" s="66">
        <f t="shared" si="27"/>
        <v>68.509615384615387</v>
      </c>
      <c r="AR10" s="69"/>
      <c r="AS10" s="66"/>
      <c r="AT10" s="67"/>
      <c r="AU10" s="72">
        <f t="shared" si="28"/>
        <v>37149.670249103947</v>
      </c>
      <c r="AV10" s="51">
        <f t="shared" si="29"/>
        <v>1428.8334711193825</v>
      </c>
      <c r="AW10" s="73">
        <f t="shared" si="30"/>
        <v>178.60418388992281</v>
      </c>
    </row>
    <row r="11" spans="2:51" ht="87.75" customHeight="1" x14ac:dyDescent="0.25">
      <c r="B11" s="62" t="s">
        <v>701</v>
      </c>
      <c r="C11" s="63" t="str">
        <f>VLOOKUP(B11,'Equip. List CSI'!$K$4:$N$159,4,0)</f>
        <v>02200405</v>
      </c>
      <c r="D11" s="106" t="s">
        <v>797</v>
      </c>
      <c r="E11" s="105" t="s">
        <v>734</v>
      </c>
      <c r="F11" s="70">
        <v>2425000</v>
      </c>
      <c r="G11" s="71">
        <f t="shared" si="6"/>
        <v>242500</v>
      </c>
      <c r="H11" s="63">
        <v>120</v>
      </c>
      <c r="I11" s="66">
        <f t="shared" si="7"/>
        <v>18187.5</v>
      </c>
      <c r="J11" s="66">
        <f t="shared" si="8"/>
        <v>699.51923076923072</v>
      </c>
      <c r="K11" s="67">
        <f t="shared" si="9"/>
        <v>87.43990384615384</v>
      </c>
      <c r="L11" s="62" t="s">
        <v>803</v>
      </c>
      <c r="M11" s="69">
        <f>VLOOKUP(L11,'Manual Manpower Database'!$G$5:$AY$160,45,0)</f>
        <v>2138.542249103943</v>
      </c>
      <c r="N11" s="66">
        <f t="shared" si="10"/>
        <v>82.251624965536266</v>
      </c>
      <c r="O11" s="67">
        <f t="shared" si="11"/>
        <v>10.281453120692033</v>
      </c>
      <c r="P11" s="68" t="s">
        <v>869</v>
      </c>
      <c r="Q11" s="63">
        <f t="shared" si="12"/>
        <v>0.21</v>
      </c>
      <c r="R11" s="63">
        <v>474</v>
      </c>
      <c r="S11" s="63">
        <f t="shared" si="13"/>
        <v>0.54</v>
      </c>
      <c r="T11" s="63">
        <f t="shared" si="14"/>
        <v>0.72</v>
      </c>
      <c r="U11" s="66">
        <f t="shared" si="15"/>
        <v>74.655000000000001</v>
      </c>
      <c r="V11" s="63" t="str">
        <f t="shared" si="16"/>
        <v/>
      </c>
      <c r="W11" s="63">
        <v>0.6</v>
      </c>
      <c r="X11" s="63">
        <v>0.45</v>
      </c>
      <c r="Y11" s="63">
        <f t="shared" si="17"/>
        <v>44.792999999999999</v>
      </c>
      <c r="Z11" s="66">
        <f t="shared" si="18"/>
        <v>358.34399999999999</v>
      </c>
      <c r="AA11" s="66">
        <f t="shared" si="19"/>
        <v>9316.9439999999995</v>
      </c>
      <c r="AB11" s="63">
        <f t="shared" si="20"/>
        <v>0</v>
      </c>
      <c r="AC11" s="63">
        <f t="shared" si="21"/>
        <v>0</v>
      </c>
      <c r="AD11" s="63">
        <f t="shared" si="22"/>
        <v>0</v>
      </c>
      <c r="AE11" s="63">
        <f t="shared" si="0"/>
        <v>0.35549999999999998</v>
      </c>
      <c r="AF11" s="63">
        <f t="shared" si="1"/>
        <v>0.17774999999999999</v>
      </c>
      <c r="AG11" s="63">
        <f t="shared" si="2"/>
        <v>0.11850000000000001</v>
      </c>
      <c r="AH11" s="63">
        <f t="shared" si="3"/>
        <v>5.9250000000000004E-2</v>
      </c>
      <c r="AI11" s="63">
        <f t="shared" si="23"/>
        <v>0.71100000000000008</v>
      </c>
      <c r="AJ11" s="63">
        <v>0.5</v>
      </c>
      <c r="AK11" s="63">
        <f t="shared" si="4"/>
        <v>0.44437500000000008</v>
      </c>
      <c r="AL11" s="63">
        <f t="shared" si="24"/>
        <v>3.5550000000000006</v>
      </c>
      <c r="AM11" s="104">
        <f t="shared" si="25"/>
        <v>92.430000000000021</v>
      </c>
      <c r="AN11" s="62">
        <v>1</v>
      </c>
      <c r="AO11" s="66">
        <f t="shared" si="5"/>
        <v>18187.5</v>
      </c>
      <c r="AP11" s="66">
        <f t="shared" si="26"/>
        <v>699.51923076923072</v>
      </c>
      <c r="AQ11" s="66">
        <f t="shared" si="27"/>
        <v>87.43990384615384</v>
      </c>
      <c r="AR11" s="69"/>
      <c r="AS11" s="66"/>
      <c r="AT11" s="67"/>
      <c r="AU11" s="72">
        <f t="shared" si="28"/>
        <v>47922.916249103946</v>
      </c>
      <c r="AV11" s="51">
        <f t="shared" si="29"/>
        <v>1843.1890865039977</v>
      </c>
      <c r="AW11" s="73">
        <f t="shared" si="30"/>
        <v>230.39863581299971</v>
      </c>
    </row>
    <row r="12" spans="2:51" ht="54" customHeight="1" x14ac:dyDescent="0.25">
      <c r="B12" s="62" t="s">
        <v>701</v>
      </c>
      <c r="C12" s="63" t="str">
        <f>VLOOKUP(B12,'Equip. List CSI'!$K$4:$N$159,4,0)</f>
        <v>02200405</v>
      </c>
      <c r="D12" s="106" t="s">
        <v>798</v>
      </c>
      <c r="E12" s="105" t="s">
        <v>735</v>
      </c>
      <c r="F12" s="64">
        <f>77000*3.75</f>
        <v>288750</v>
      </c>
      <c r="G12" s="65">
        <f t="shared" si="6"/>
        <v>28875</v>
      </c>
      <c r="H12" s="63">
        <v>80</v>
      </c>
      <c r="I12" s="66">
        <f t="shared" si="7"/>
        <v>3248.4375</v>
      </c>
      <c r="J12" s="66">
        <f t="shared" si="8"/>
        <v>124.93990384615384</v>
      </c>
      <c r="K12" s="67">
        <f t="shared" si="9"/>
        <v>15.61748798076923</v>
      </c>
      <c r="L12" s="62" t="s">
        <v>803</v>
      </c>
      <c r="M12" s="69">
        <f>VLOOKUP(L12,'Manual Manpower Database'!$G$5:$AY$160,45,0)</f>
        <v>2138.542249103943</v>
      </c>
      <c r="N12" s="66">
        <f t="shared" si="10"/>
        <v>82.251624965536266</v>
      </c>
      <c r="O12" s="67">
        <f t="shared" si="11"/>
        <v>10.281453120692033</v>
      </c>
      <c r="P12" s="68" t="s">
        <v>869</v>
      </c>
      <c r="Q12" s="63">
        <f t="shared" si="12"/>
        <v>0.21</v>
      </c>
      <c r="R12" s="63">
        <v>348</v>
      </c>
      <c r="S12" s="63">
        <f t="shared" si="13"/>
        <v>0.54</v>
      </c>
      <c r="T12" s="63">
        <f t="shared" si="14"/>
        <v>0.72</v>
      </c>
      <c r="U12" s="66">
        <f t="shared" si="15"/>
        <v>54.81</v>
      </c>
      <c r="V12" s="63" t="str">
        <f t="shared" si="16"/>
        <v/>
      </c>
      <c r="W12" s="63">
        <v>0.6</v>
      </c>
      <c r="X12" s="63">
        <v>0.45</v>
      </c>
      <c r="Y12" s="63">
        <f t="shared" si="17"/>
        <v>32.886000000000003</v>
      </c>
      <c r="Z12" s="66">
        <f t="shared" si="18"/>
        <v>263.08800000000002</v>
      </c>
      <c r="AA12" s="66">
        <f t="shared" si="19"/>
        <v>6840.2880000000005</v>
      </c>
      <c r="AB12" s="63">
        <f t="shared" si="20"/>
        <v>0</v>
      </c>
      <c r="AC12" s="63">
        <f t="shared" si="21"/>
        <v>0</v>
      </c>
      <c r="AD12" s="63">
        <f t="shared" si="22"/>
        <v>0</v>
      </c>
      <c r="AE12" s="63">
        <f t="shared" si="0"/>
        <v>0.26100000000000001</v>
      </c>
      <c r="AF12" s="63">
        <f t="shared" si="1"/>
        <v>0.1305</v>
      </c>
      <c r="AG12" s="63">
        <f t="shared" si="2"/>
        <v>8.7000000000000008E-2</v>
      </c>
      <c r="AH12" s="63">
        <f t="shared" si="3"/>
        <v>4.3500000000000004E-2</v>
      </c>
      <c r="AI12" s="63">
        <f t="shared" si="23"/>
        <v>0.52200000000000002</v>
      </c>
      <c r="AJ12" s="63">
        <v>0.5</v>
      </c>
      <c r="AK12" s="63">
        <f t="shared" si="4"/>
        <v>0.32625000000000004</v>
      </c>
      <c r="AL12" s="63">
        <f t="shared" si="24"/>
        <v>2.6100000000000003</v>
      </c>
      <c r="AM12" s="104">
        <f t="shared" si="25"/>
        <v>67.860000000000014</v>
      </c>
      <c r="AN12" s="62">
        <v>0.5</v>
      </c>
      <c r="AO12" s="66">
        <f t="shared" si="5"/>
        <v>1624.21875</v>
      </c>
      <c r="AP12" s="66">
        <f t="shared" si="26"/>
        <v>62.46995192307692</v>
      </c>
      <c r="AQ12" s="66">
        <f t="shared" si="27"/>
        <v>7.808743990384615</v>
      </c>
      <c r="AR12" s="69">
        <f t="shared" ref="AR12:AR37" si="31">10%*I12</f>
        <v>324.84375</v>
      </c>
      <c r="AS12" s="66">
        <f t="shared" ref="AS12:AS69" si="32">AR12/26</f>
        <v>12.493990384615385</v>
      </c>
      <c r="AT12" s="67">
        <f t="shared" ref="AT12:AT69" si="33">AS12/8</f>
        <v>1.5617487980769231</v>
      </c>
      <c r="AU12" s="72">
        <f t="shared" si="28"/>
        <v>14244.190249103944</v>
      </c>
      <c r="AV12" s="51">
        <f t="shared" si="29"/>
        <v>547.85347111938245</v>
      </c>
      <c r="AW12" s="73">
        <f t="shared" si="30"/>
        <v>68.481683889922806</v>
      </c>
    </row>
    <row r="13" spans="2:51" ht="95.25" customHeight="1" x14ac:dyDescent="0.25">
      <c r="B13" s="62" t="s">
        <v>689</v>
      </c>
      <c r="C13" s="63" t="str">
        <f>VLOOKUP(B13,'Equip. List CSI'!$K$4:$N$159,4,0)</f>
        <v>02300410</v>
      </c>
      <c r="D13" s="106" t="s">
        <v>796</v>
      </c>
      <c r="E13" s="105" t="s">
        <v>736</v>
      </c>
      <c r="F13" s="64">
        <v>524000</v>
      </c>
      <c r="G13" s="65">
        <f t="shared" si="6"/>
        <v>52400</v>
      </c>
      <c r="H13" s="63">
        <v>108</v>
      </c>
      <c r="I13" s="66">
        <f t="shared" si="7"/>
        <v>4366.666666666667</v>
      </c>
      <c r="J13" s="66">
        <f t="shared" si="8"/>
        <v>167.94871794871796</v>
      </c>
      <c r="K13" s="67">
        <f t="shared" si="9"/>
        <v>20.993589743589745</v>
      </c>
      <c r="L13" s="62" t="s">
        <v>804</v>
      </c>
      <c r="M13" s="69">
        <f>VLOOKUP(L13,'Manual Manpower Database'!$G$5:$AY$160,45,0)</f>
        <v>1992.0555555555557</v>
      </c>
      <c r="N13" s="66">
        <f t="shared" si="10"/>
        <v>76.617521367521377</v>
      </c>
      <c r="O13" s="67">
        <f t="shared" si="11"/>
        <v>9.5771901709401721</v>
      </c>
      <c r="P13" s="68" t="s">
        <v>869</v>
      </c>
      <c r="Q13" s="63">
        <f t="shared" si="12"/>
        <v>0.21</v>
      </c>
      <c r="R13" s="63">
        <v>148</v>
      </c>
      <c r="S13" s="63">
        <v>0.54</v>
      </c>
      <c r="T13" s="63">
        <f t="shared" si="14"/>
        <v>0.72</v>
      </c>
      <c r="U13" s="66">
        <f t="shared" si="15"/>
        <v>23.310000000000002</v>
      </c>
      <c r="V13" s="63" t="str">
        <f t="shared" si="16"/>
        <v/>
      </c>
      <c r="W13" s="63">
        <v>0.6</v>
      </c>
      <c r="X13" s="63">
        <v>0.45</v>
      </c>
      <c r="Y13" s="63">
        <f t="shared" si="17"/>
        <v>13.986000000000001</v>
      </c>
      <c r="Z13" s="66">
        <f t="shared" si="18"/>
        <v>111.88800000000001</v>
      </c>
      <c r="AA13" s="66">
        <f t="shared" si="19"/>
        <v>2909.0880000000002</v>
      </c>
      <c r="AB13" s="63">
        <f t="shared" si="20"/>
        <v>0</v>
      </c>
      <c r="AC13" s="63">
        <f t="shared" si="21"/>
        <v>0</v>
      </c>
      <c r="AD13" s="63">
        <f t="shared" si="22"/>
        <v>0</v>
      </c>
      <c r="AE13" s="63">
        <f t="shared" si="0"/>
        <v>0.11099999999999999</v>
      </c>
      <c r="AF13" s="63">
        <f t="shared" si="1"/>
        <v>5.5499999999999994E-2</v>
      </c>
      <c r="AG13" s="63">
        <f t="shared" si="2"/>
        <v>3.7000000000000005E-2</v>
      </c>
      <c r="AH13" s="63">
        <f t="shared" si="3"/>
        <v>1.8500000000000003E-2</v>
      </c>
      <c r="AI13" s="63">
        <f t="shared" si="23"/>
        <v>0.22199999999999998</v>
      </c>
      <c r="AJ13" s="63">
        <v>0.5</v>
      </c>
      <c r="AK13" s="63">
        <f t="shared" si="4"/>
        <v>0.13874999999999998</v>
      </c>
      <c r="AL13" s="63">
        <f t="shared" si="24"/>
        <v>1.1099999999999999</v>
      </c>
      <c r="AM13" s="104">
        <f t="shared" si="25"/>
        <v>28.859999999999996</v>
      </c>
      <c r="AN13" s="62">
        <v>1</v>
      </c>
      <c r="AO13" s="66">
        <f t="shared" si="5"/>
        <v>4366.666666666667</v>
      </c>
      <c r="AP13" s="66">
        <f t="shared" si="26"/>
        <v>167.94871794871796</v>
      </c>
      <c r="AQ13" s="66">
        <f t="shared" si="27"/>
        <v>20.993589743589745</v>
      </c>
      <c r="AR13" s="69">
        <f t="shared" si="31"/>
        <v>436.66666666666674</v>
      </c>
      <c r="AS13" s="66">
        <f t="shared" si="32"/>
        <v>16.794871794871799</v>
      </c>
      <c r="AT13" s="67">
        <f t="shared" si="33"/>
        <v>2.0993589743589749</v>
      </c>
      <c r="AU13" s="72">
        <f t="shared" si="28"/>
        <v>14100.003555555557</v>
      </c>
      <c r="AV13" s="51">
        <f t="shared" si="29"/>
        <v>542.30782905982903</v>
      </c>
      <c r="AW13" s="73">
        <f t="shared" si="30"/>
        <v>67.788478632478643</v>
      </c>
    </row>
    <row r="14" spans="2:51" ht="111" customHeight="1" x14ac:dyDescent="0.25">
      <c r="B14" s="133" t="s">
        <v>689</v>
      </c>
      <c r="C14" s="63" t="str">
        <f>VLOOKUP(B14,'Equip. List CSI'!$K$4:$N$159,4,0)</f>
        <v>02300410</v>
      </c>
      <c r="D14" s="106" t="s">
        <v>797</v>
      </c>
      <c r="E14" s="105" t="s">
        <v>737</v>
      </c>
      <c r="F14" s="64">
        <f>F6+75000</f>
        <v>465000</v>
      </c>
      <c r="G14" s="65">
        <f t="shared" si="6"/>
        <v>46500</v>
      </c>
      <c r="H14" s="63">
        <v>60</v>
      </c>
      <c r="I14" s="66">
        <f t="shared" si="7"/>
        <v>6975</v>
      </c>
      <c r="J14" s="66">
        <f t="shared" si="8"/>
        <v>268.26923076923077</v>
      </c>
      <c r="K14" s="67">
        <f t="shared" si="9"/>
        <v>33.533653846153847</v>
      </c>
      <c r="L14" s="62" t="s">
        <v>804</v>
      </c>
      <c r="M14" s="69">
        <f>VLOOKUP(L14,'Manual Manpower Database'!$G$5:$AY$160,45,0)</f>
        <v>1992.0555555555557</v>
      </c>
      <c r="N14" s="66">
        <f t="shared" si="10"/>
        <v>76.617521367521377</v>
      </c>
      <c r="O14" s="67">
        <f t="shared" si="11"/>
        <v>9.5771901709401721</v>
      </c>
      <c r="P14" s="68" t="s">
        <v>869</v>
      </c>
      <c r="Q14" s="63">
        <f t="shared" si="12"/>
        <v>0.21</v>
      </c>
      <c r="R14" s="63">
        <v>148</v>
      </c>
      <c r="S14" s="63">
        <v>0.54</v>
      </c>
      <c r="T14" s="63">
        <f t="shared" si="14"/>
        <v>0.72</v>
      </c>
      <c r="U14" s="66">
        <f t="shared" si="15"/>
        <v>23.310000000000002</v>
      </c>
      <c r="V14" s="63" t="str">
        <f t="shared" si="16"/>
        <v/>
      </c>
      <c r="W14" s="63">
        <v>0.6</v>
      </c>
      <c r="X14" s="63">
        <v>0.45</v>
      </c>
      <c r="Y14" s="63">
        <f t="shared" si="17"/>
        <v>13.986000000000001</v>
      </c>
      <c r="Z14" s="66">
        <f t="shared" si="18"/>
        <v>111.88800000000001</v>
      </c>
      <c r="AA14" s="66">
        <f t="shared" si="19"/>
        <v>2909.0880000000002</v>
      </c>
      <c r="AB14" s="63">
        <f t="shared" si="20"/>
        <v>0</v>
      </c>
      <c r="AC14" s="63">
        <f t="shared" si="21"/>
        <v>0</v>
      </c>
      <c r="AD14" s="63">
        <f t="shared" si="22"/>
        <v>0</v>
      </c>
      <c r="AE14" s="63">
        <f t="shared" si="0"/>
        <v>0.11099999999999999</v>
      </c>
      <c r="AF14" s="63">
        <f t="shared" si="1"/>
        <v>5.5499999999999994E-2</v>
      </c>
      <c r="AG14" s="63">
        <f t="shared" si="2"/>
        <v>3.7000000000000005E-2</v>
      </c>
      <c r="AH14" s="63">
        <f t="shared" si="3"/>
        <v>1.8500000000000003E-2</v>
      </c>
      <c r="AI14" s="63">
        <f t="shared" si="23"/>
        <v>0.22199999999999998</v>
      </c>
      <c r="AJ14" s="63">
        <v>0.5</v>
      </c>
      <c r="AK14" s="63">
        <f t="shared" si="4"/>
        <v>0.13874999999999998</v>
      </c>
      <c r="AL14" s="63">
        <f t="shared" si="24"/>
        <v>1.1099999999999999</v>
      </c>
      <c r="AM14" s="104">
        <f t="shared" si="25"/>
        <v>28.859999999999996</v>
      </c>
      <c r="AN14" s="62">
        <v>1</v>
      </c>
      <c r="AO14" s="66">
        <f t="shared" si="5"/>
        <v>6975</v>
      </c>
      <c r="AP14" s="66">
        <f t="shared" si="26"/>
        <v>268.26923076923077</v>
      </c>
      <c r="AQ14" s="66">
        <f t="shared" si="27"/>
        <v>33.533653846153847</v>
      </c>
      <c r="AR14" s="69">
        <f t="shared" si="31"/>
        <v>697.5</v>
      </c>
      <c r="AS14" s="66">
        <f t="shared" si="32"/>
        <v>26.826923076923077</v>
      </c>
      <c r="AT14" s="67">
        <f t="shared" si="33"/>
        <v>3.3533653846153846</v>
      </c>
      <c r="AU14" s="72">
        <f t="shared" si="28"/>
        <v>19577.503555555555</v>
      </c>
      <c r="AV14" s="51">
        <f t="shared" si="29"/>
        <v>752.98090598290594</v>
      </c>
      <c r="AW14" s="73">
        <f t="shared" si="30"/>
        <v>94.122613247863256</v>
      </c>
    </row>
    <row r="15" spans="2:51" ht="99" customHeight="1" x14ac:dyDescent="0.25">
      <c r="B15" s="133" t="s">
        <v>689</v>
      </c>
      <c r="C15" s="63" t="str">
        <f>VLOOKUP(B15,'Equip. List CSI'!$K$4:$N$159,4,0)</f>
        <v>02300410</v>
      </c>
      <c r="D15" s="106" t="s">
        <v>798</v>
      </c>
      <c r="E15" s="105" t="s">
        <v>738</v>
      </c>
      <c r="F15" s="64">
        <f>F6+55000</f>
        <v>445000</v>
      </c>
      <c r="G15" s="65">
        <f t="shared" si="6"/>
        <v>44500</v>
      </c>
      <c r="H15" s="63">
        <v>60</v>
      </c>
      <c r="I15" s="66">
        <f t="shared" si="7"/>
        <v>6675</v>
      </c>
      <c r="J15" s="66">
        <f t="shared" si="8"/>
        <v>256.73076923076923</v>
      </c>
      <c r="K15" s="67">
        <f t="shared" si="9"/>
        <v>32.091346153846153</v>
      </c>
      <c r="L15" s="62" t="s">
        <v>804</v>
      </c>
      <c r="M15" s="69">
        <f>VLOOKUP(L15,'Manual Manpower Database'!$G$5:$AY$160,45,0)</f>
        <v>1992.0555555555557</v>
      </c>
      <c r="N15" s="66">
        <f t="shared" si="10"/>
        <v>76.617521367521377</v>
      </c>
      <c r="O15" s="67">
        <f t="shared" si="11"/>
        <v>9.5771901709401721</v>
      </c>
      <c r="P15" s="68" t="s">
        <v>869</v>
      </c>
      <c r="Q15" s="63">
        <f t="shared" si="12"/>
        <v>0.21</v>
      </c>
      <c r="R15" s="63">
        <v>148</v>
      </c>
      <c r="S15" s="63">
        <v>0.54</v>
      </c>
      <c r="T15" s="63">
        <f t="shared" si="14"/>
        <v>0.72</v>
      </c>
      <c r="U15" s="66">
        <f t="shared" si="15"/>
        <v>23.310000000000002</v>
      </c>
      <c r="V15" s="63" t="str">
        <f t="shared" si="16"/>
        <v/>
      </c>
      <c r="W15" s="63">
        <v>0.6</v>
      </c>
      <c r="X15" s="63">
        <v>0.45</v>
      </c>
      <c r="Y15" s="63">
        <f t="shared" si="17"/>
        <v>13.986000000000001</v>
      </c>
      <c r="Z15" s="66">
        <f t="shared" si="18"/>
        <v>111.88800000000001</v>
      </c>
      <c r="AA15" s="66">
        <f t="shared" si="19"/>
        <v>2909.0880000000002</v>
      </c>
      <c r="AB15" s="63">
        <f t="shared" si="20"/>
        <v>0</v>
      </c>
      <c r="AC15" s="63">
        <f t="shared" si="21"/>
        <v>0</v>
      </c>
      <c r="AD15" s="63">
        <f t="shared" si="22"/>
        <v>0</v>
      </c>
      <c r="AE15" s="63">
        <f t="shared" si="0"/>
        <v>0.11099999999999999</v>
      </c>
      <c r="AF15" s="63">
        <f t="shared" si="1"/>
        <v>5.5499999999999994E-2</v>
      </c>
      <c r="AG15" s="63">
        <f t="shared" si="2"/>
        <v>3.7000000000000005E-2</v>
      </c>
      <c r="AH15" s="63">
        <f t="shared" si="3"/>
        <v>1.8500000000000003E-2</v>
      </c>
      <c r="AI15" s="63">
        <f t="shared" si="23"/>
        <v>0.22199999999999998</v>
      </c>
      <c r="AJ15" s="63">
        <v>0.5</v>
      </c>
      <c r="AK15" s="63">
        <f t="shared" si="4"/>
        <v>0.13874999999999998</v>
      </c>
      <c r="AL15" s="63">
        <f t="shared" si="24"/>
        <v>1.1099999999999999</v>
      </c>
      <c r="AM15" s="104">
        <f t="shared" si="25"/>
        <v>28.859999999999996</v>
      </c>
      <c r="AN15" s="62">
        <v>1</v>
      </c>
      <c r="AO15" s="66">
        <f t="shared" si="5"/>
        <v>6675</v>
      </c>
      <c r="AP15" s="66">
        <f t="shared" si="26"/>
        <v>256.73076923076923</v>
      </c>
      <c r="AQ15" s="66">
        <f t="shared" si="27"/>
        <v>32.091346153846153</v>
      </c>
      <c r="AR15" s="69">
        <f t="shared" si="31"/>
        <v>667.5</v>
      </c>
      <c r="AS15" s="66">
        <f t="shared" si="32"/>
        <v>25.673076923076923</v>
      </c>
      <c r="AT15" s="67">
        <f t="shared" si="33"/>
        <v>3.2091346153846154</v>
      </c>
      <c r="AU15" s="72">
        <f t="shared" si="28"/>
        <v>18947.503555555555</v>
      </c>
      <c r="AV15" s="51">
        <f t="shared" si="29"/>
        <v>728.75013675213665</v>
      </c>
      <c r="AW15" s="73">
        <f t="shared" si="30"/>
        <v>91.093767094017096</v>
      </c>
    </row>
    <row r="16" spans="2:51" ht="70.5" customHeight="1" x14ac:dyDescent="0.25">
      <c r="B16" s="62" t="s">
        <v>690</v>
      </c>
      <c r="C16" s="63" t="str">
        <f>VLOOKUP(B16,'Equip. List CSI'!$K$4:$N$159,4,0)</f>
        <v>02300415</v>
      </c>
      <c r="D16" s="106" t="s">
        <v>796</v>
      </c>
      <c r="E16" s="105" t="s">
        <v>739</v>
      </c>
      <c r="F16" s="64">
        <v>470000</v>
      </c>
      <c r="G16" s="65">
        <f t="shared" si="6"/>
        <v>47000</v>
      </c>
      <c r="H16" s="63">
        <v>91</v>
      </c>
      <c r="I16" s="66">
        <f t="shared" si="7"/>
        <v>4648.3516483516487</v>
      </c>
      <c r="J16" s="66">
        <f t="shared" si="8"/>
        <v>178.78275570583264</v>
      </c>
      <c r="K16" s="67">
        <f t="shared" si="9"/>
        <v>22.34784446322908</v>
      </c>
      <c r="L16" s="62" t="s">
        <v>805</v>
      </c>
      <c r="M16" s="69">
        <f>VLOOKUP(L16,'Manual Manpower Database'!$G$5:$AY$160,45,0)</f>
        <v>2036.8226408090118</v>
      </c>
      <c r="N16" s="66">
        <f t="shared" si="10"/>
        <v>78.339332338808148</v>
      </c>
      <c r="O16" s="67">
        <f t="shared" si="11"/>
        <v>9.7924165423510185</v>
      </c>
      <c r="P16" s="68" t="s">
        <v>869</v>
      </c>
      <c r="Q16" s="63">
        <f t="shared" si="12"/>
        <v>0.21</v>
      </c>
      <c r="R16" s="63">
        <v>205</v>
      </c>
      <c r="S16" s="63">
        <f t="shared" si="13"/>
        <v>0.54</v>
      </c>
      <c r="T16" s="63">
        <f t="shared" si="14"/>
        <v>0.72</v>
      </c>
      <c r="U16" s="66">
        <f t="shared" si="15"/>
        <v>32.287500000000001</v>
      </c>
      <c r="V16" s="63" t="str">
        <f t="shared" si="16"/>
        <v/>
      </c>
      <c r="W16" s="63">
        <v>0.6</v>
      </c>
      <c r="X16" s="63">
        <v>0.45</v>
      </c>
      <c r="Y16" s="63">
        <f t="shared" si="17"/>
        <v>19.372499999999999</v>
      </c>
      <c r="Z16" s="66">
        <f t="shared" si="18"/>
        <v>154.97999999999999</v>
      </c>
      <c r="AA16" s="66">
        <f t="shared" si="19"/>
        <v>4029.4799999999996</v>
      </c>
      <c r="AB16" s="63">
        <f t="shared" si="20"/>
        <v>0</v>
      </c>
      <c r="AC16" s="63">
        <f t="shared" si="21"/>
        <v>0</v>
      </c>
      <c r="AD16" s="63">
        <f t="shared" si="22"/>
        <v>0</v>
      </c>
      <c r="AE16" s="63">
        <f t="shared" ref="AE16:AE47" si="34">(0.0006*$R16)*1.25</f>
        <v>0.15374999999999997</v>
      </c>
      <c r="AF16" s="63">
        <f t="shared" ref="AF16:AF47" si="35">(0.0003*$R16)*1.25</f>
        <v>7.6874999999999985E-2</v>
      </c>
      <c r="AG16" s="63">
        <f t="shared" ref="AG16:AG47" si="36">(0.0002*$R16)*1.25</f>
        <v>5.1250000000000004E-2</v>
      </c>
      <c r="AH16" s="63">
        <f t="shared" ref="AH16:AH47" si="37">(0.0001*$R16)*1.25</f>
        <v>2.5625000000000002E-2</v>
      </c>
      <c r="AI16" s="63">
        <f t="shared" si="23"/>
        <v>0.3075</v>
      </c>
      <c r="AJ16" s="63">
        <v>0.5</v>
      </c>
      <c r="AK16" s="63">
        <f t="shared" si="4"/>
        <v>0.19218750000000001</v>
      </c>
      <c r="AL16" s="63">
        <f t="shared" si="24"/>
        <v>1.5375000000000001</v>
      </c>
      <c r="AM16" s="104">
        <f t="shared" si="25"/>
        <v>39.975000000000001</v>
      </c>
      <c r="AN16" s="62">
        <v>0.5</v>
      </c>
      <c r="AO16" s="66">
        <f t="shared" si="5"/>
        <v>2324.1758241758243</v>
      </c>
      <c r="AP16" s="66">
        <f t="shared" si="26"/>
        <v>89.391377852916321</v>
      </c>
      <c r="AQ16" s="66">
        <f t="shared" si="27"/>
        <v>11.17392223161454</v>
      </c>
      <c r="AR16" s="69">
        <f t="shared" si="31"/>
        <v>464.8351648351649</v>
      </c>
      <c r="AS16" s="66">
        <f t="shared" si="32"/>
        <v>17.878275570583266</v>
      </c>
      <c r="AT16" s="67">
        <f t="shared" si="33"/>
        <v>2.2347844463229083</v>
      </c>
      <c r="AU16" s="72">
        <f t="shared" si="28"/>
        <v>13543.640278171652</v>
      </c>
      <c r="AV16" s="51">
        <f t="shared" si="29"/>
        <v>520.90924146814041</v>
      </c>
      <c r="AW16" s="73">
        <f t="shared" si="30"/>
        <v>65.113655183517551</v>
      </c>
    </row>
    <row r="17" spans="2:49" ht="70.5" customHeight="1" x14ac:dyDescent="0.25">
      <c r="B17" s="62" t="s">
        <v>690</v>
      </c>
      <c r="C17" s="63" t="str">
        <f>VLOOKUP(B17,'Equip. List CSI'!$K$4:$N$159,4,0)</f>
        <v>02300415</v>
      </c>
      <c r="D17" s="106" t="s">
        <v>797</v>
      </c>
      <c r="E17" s="105" t="s">
        <v>740</v>
      </c>
      <c r="F17" s="64">
        <v>580000</v>
      </c>
      <c r="G17" s="65">
        <f t="shared" si="6"/>
        <v>58000</v>
      </c>
      <c r="H17" s="63">
        <v>96</v>
      </c>
      <c r="I17" s="66">
        <f t="shared" si="7"/>
        <v>5437.5</v>
      </c>
      <c r="J17" s="66">
        <f t="shared" si="8"/>
        <v>209.13461538461539</v>
      </c>
      <c r="K17" s="67">
        <f t="shared" si="9"/>
        <v>26.141826923076923</v>
      </c>
      <c r="L17" s="62" t="s">
        <v>805</v>
      </c>
      <c r="M17" s="69">
        <f>VLOOKUP(L17,'Manual Manpower Database'!$G$5:$AY$160,45,0)</f>
        <v>2036.8226408090118</v>
      </c>
      <c r="N17" s="66">
        <f t="shared" si="10"/>
        <v>78.339332338808148</v>
      </c>
      <c r="O17" s="67">
        <f t="shared" si="11"/>
        <v>9.7924165423510185</v>
      </c>
      <c r="P17" s="68" t="s">
        <v>869</v>
      </c>
      <c r="Q17" s="63">
        <f t="shared" si="12"/>
        <v>0.21</v>
      </c>
      <c r="R17" s="63">
        <v>200</v>
      </c>
      <c r="S17" s="63">
        <f t="shared" si="13"/>
        <v>0.54</v>
      </c>
      <c r="T17" s="63">
        <f t="shared" si="14"/>
        <v>0.72</v>
      </c>
      <c r="U17" s="66">
        <f t="shared" si="15"/>
        <v>31.5</v>
      </c>
      <c r="V17" s="63" t="str">
        <f t="shared" si="16"/>
        <v/>
      </c>
      <c r="W17" s="63">
        <v>0.6</v>
      </c>
      <c r="X17" s="63">
        <v>0.45</v>
      </c>
      <c r="Y17" s="63">
        <f t="shared" si="17"/>
        <v>18.899999999999999</v>
      </c>
      <c r="Z17" s="66">
        <f t="shared" si="18"/>
        <v>151.19999999999999</v>
      </c>
      <c r="AA17" s="66">
        <f t="shared" si="19"/>
        <v>3931.2</v>
      </c>
      <c r="AB17" s="63">
        <f t="shared" si="20"/>
        <v>0</v>
      </c>
      <c r="AC17" s="63">
        <f t="shared" si="21"/>
        <v>0</v>
      </c>
      <c r="AD17" s="63">
        <f t="shared" si="22"/>
        <v>0</v>
      </c>
      <c r="AE17" s="63">
        <f t="shared" si="34"/>
        <v>0.15</v>
      </c>
      <c r="AF17" s="63">
        <f t="shared" si="35"/>
        <v>7.4999999999999997E-2</v>
      </c>
      <c r="AG17" s="63">
        <f t="shared" si="36"/>
        <v>0.05</v>
      </c>
      <c r="AH17" s="63">
        <f t="shared" si="37"/>
        <v>2.5000000000000001E-2</v>
      </c>
      <c r="AI17" s="63">
        <f t="shared" si="23"/>
        <v>0.3</v>
      </c>
      <c r="AJ17" s="63">
        <v>0.5</v>
      </c>
      <c r="AK17" s="63">
        <f t="shared" si="4"/>
        <v>0.1875</v>
      </c>
      <c r="AL17" s="63">
        <f t="shared" si="24"/>
        <v>1.5</v>
      </c>
      <c r="AM17" s="104">
        <f t="shared" si="25"/>
        <v>39</v>
      </c>
      <c r="AN17" s="62">
        <v>0.5</v>
      </c>
      <c r="AO17" s="66">
        <f t="shared" si="5"/>
        <v>2718.75</v>
      </c>
      <c r="AP17" s="66">
        <f t="shared" si="26"/>
        <v>104.56730769230769</v>
      </c>
      <c r="AQ17" s="66">
        <f t="shared" si="27"/>
        <v>13.070913461538462</v>
      </c>
      <c r="AR17" s="69">
        <f t="shared" si="31"/>
        <v>543.75</v>
      </c>
      <c r="AS17" s="66">
        <f t="shared" si="32"/>
        <v>20.91346153846154</v>
      </c>
      <c r="AT17" s="67">
        <f t="shared" si="33"/>
        <v>2.6141826923076925</v>
      </c>
      <c r="AU17" s="72">
        <f t="shared" si="28"/>
        <v>14707.022640809013</v>
      </c>
      <c r="AV17" s="51">
        <f t="shared" si="29"/>
        <v>565.65471695419274</v>
      </c>
      <c r="AW17" s="73">
        <f t="shared" si="30"/>
        <v>70.706839619274092</v>
      </c>
    </row>
    <row r="18" spans="2:49" ht="70.5" customHeight="1" x14ac:dyDescent="0.25">
      <c r="B18" s="62" t="s">
        <v>690</v>
      </c>
      <c r="C18" s="63" t="str">
        <f>VLOOKUP(B18,'Equip. List CSI'!$K$4:$N$159,4,0)</f>
        <v>02300415</v>
      </c>
      <c r="D18" s="106" t="s">
        <v>798</v>
      </c>
      <c r="E18" s="105" t="s">
        <v>741</v>
      </c>
      <c r="F18" s="64">
        <v>370000</v>
      </c>
      <c r="G18" s="65">
        <f t="shared" si="6"/>
        <v>37000</v>
      </c>
      <c r="H18" s="63">
        <v>91</v>
      </c>
      <c r="I18" s="66">
        <f t="shared" si="7"/>
        <v>3659.3406593406594</v>
      </c>
      <c r="J18" s="66">
        <f t="shared" si="8"/>
        <v>140.74387151310228</v>
      </c>
      <c r="K18" s="67">
        <f t="shared" si="9"/>
        <v>17.592983939137785</v>
      </c>
      <c r="L18" s="62" t="s">
        <v>805</v>
      </c>
      <c r="M18" s="69">
        <f>VLOOKUP(L18,'Manual Manpower Database'!$G$5:$AY$160,45,0)</f>
        <v>2036.8226408090118</v>
      </c>
      <c r="N18" s="66">
        <f t="shared" si="10"/>
        <v>78.339332338808148</v>
      </c>
      <c r="O18" s="67">
        <f t="shared" si="11"/>
        <v>9.7924165423510185</v>
      </c>
      <c r="P18" s="68" t="s">
        <v>869</v>
      </c>
      <c r="Q18" s="63">
        <f t="shared" si="12"/>
        <v>0.21</v>
      </c>
      <c r="R18" s="63">
        <v>161</v>
      </c>
      <c r="S18" s="63">
        <f t="shared" si="13"/>
        <v>0.54</v>
      </c>
      <c r="T18" s="63">
        <f t="shared" si="14"/>
        <v>0.72</v>
      </c>
      <c r="U18" s="66">
        <f t="shared" si="15"/>
        <v>25.357500000000005</v>
      </c>
      <c r="V18" s="63" t="str">
        <f t="shared" si="16"/>
        <v/>
      </c>
      <c r="W18" s="63">
        <v>0.6</v>
      </c>
      <c r="X18" s="63">
        <v>0.45</v>
      </c>
      <c r="Y18" s="63">
        <f t="shared" si="17"/>
        <v>15.214500000000003</v>
      </c>
      <c r="Z18" s="66">
        <f t="shared" si="18"/>
        <v>121.71600000000002</v>
      </c>
      <c r="AA18" s="66">
        <f t="shared" si="19"/>
        <v>3164.6160000000004</v>
      </c>
      <c r="AB18" s="63">
        <f t="shared" si="20"/>
        <v>0</v>
      </c>
      <c r="AC18" s="63">
        <f t="shared" si="21"/>
        <v>0</v>
      </c>
      <c r="AD18" s="63">
        <f t="shared" si="22"/>
        <v>0</v>
      </c>
      <c r="AE18" s="63">
        <f t="shared" si="34"/>
        <v>0.12075</v>
      </c>
      <c r="AF18" s="63">
        <f t="shared" si="35"/>
        <v>6.0374999999999998E-2</v>
      </c>
      <c r="AG18" s="63">
        <f t="shared" si="36"/>
        <v>4.0250000000000001E-2</v>
      </c>
      <c r="AH18" s="63">
        <f t="shared" si="37"/>
        <v>2.0125000000000001E-2</v>
      </c>
      <c r="AI18" s="63">
        <f t="shared" si="23"/>
        <v>0.24149999999999999</v>
      </c>
      <c r="AJ18" s="63">
        <v>0.5</v>
      </c>
      <c r="AK18" s="63">
        <f t="shared" si="4"/>
        <v>0.1509375</v>
      </c>
      <c r="AL18" s="63">
        <f t="shared" si="24"/>
        <v>1.2075</v>
      </c>
      <c r="AM18" s="104">
        <f t="shared" si="25"/>
        <v>31.395</v>
      </c>
      <c r="AN18" s="62">
        <v>0.5</v>
      </c>
      <c r="AO18" s="66">
        <f t="shared" si="5"/>
        <v>1829.6703296703297</v>
      </c>
      <c r="AP18" s="66">
        <f t="shared" si="26"/>
        <v>70.371935756551139</v>
      </c>
      <c r="AQ18" s="66">
        <f t="shared" si="27"/>
        <v>8.7964919695688923</v>
      </c>
      <c r="AR18" s="69">
        <f t="shared" si="31"/>
        <v>365.93406593406598</v>
      </c>
      <c r="AS18" s="66">
        <f t="shared" si="32"/>
        <v>14.07438715131023</v>
      </c>
      <c r="AT18" s="67">
        <f t="shared" si="33"/>
        <v>1.7592983939137787</v>
      </c>
      <c r="AU18" s="72">
        <f t="shared" si="28"/>
        <v>11087.778695754067</v>
      </c>
      <c r="AV18" s="51">
        <f t="shared" si="29"/>
        <v>426.45302675977177</v>
      </c>
      <c r="AW18" s="73">
        <f t="shared" si="30"/>
        <v>53.306628344971472</v>
      </c>
    </row>
    <row r="19" spans="2:49" ht="70.5" customHeight="1" x14ac:dyDescent="0.25">
      <c r="B19" s="62" t="s">
        <v>690</v>
      </c>
      <c r="C19" s="63" t="str">
        <f>VLOOKUP(B19,'Equip. List CSI'!$K$4:$N$159,4,0)</f>
        <v>02300415</v>
      </c>
      <c r="D19" s="106" t="s">
        <v>799</v>
      </c>
      <c r="E19" s="105" t="s">
        <v>742</v>
      </c>
      <c r="F19" s="64">
        <v>480000</v>
      </c>
      <c r="G19" s="65">
        <f t="shared" si="6"/>
        <v>48000</v>
      </c>
      <c r="H19" s="63">
        <v>96</v>
      </c>
      <c r="I19" s="66">
        <f t="shared" si="7"/>
        <v>4500</v>
      </c>
      <c r="J19" s="66">
        <f t="shared" si="8"/>
        <v>173.07692307692307</v>
      </c>
      <c r="K19" s="67">
        <f t="shared" si="9"/>
        <v>21.634615384615383</v>
      </c>
      <c r="L19" s="62" t="s">
        <v>805</v>
      </c>
      <c r="M19" s="69">
        <f>VLOOKUP(L19,'Manual Manpower Database'!$G$5:$AY$160,45,0)</f>
        <v>2036.8226408090118</v>
      </c>
      <c r="N19" s="66">
        <f t="shared" si="10"/>
        <v>78.339332338808148</v>
      </c>
      <c r="O19" s="67">
        <f t="shared" si="11"/>
        <v>9.7924165423510185</v>
      </c>
      <c r="P19" s="68" t="s">
        <v>869</v>
      </c>
      <c r="Q19" s="63">
        <f t="shared" si="12"/>
        <v>0.21</v>
      </c>
      <c r="R19" s="63">
        <v>160</v>
      </c>
      <c r="S19" s="63">
        <f t="shared" si="13"/>
        <v>0.54</v>
      </c>
      <c r="T19" s="63">
        <f t="shared" si="14"/>
        <v>0.72</v>
      </c>
      <c r="U19" s="66">
        <f t="shared" si="15"/>
        <v>25.200000000000003</v>
      </c>
      <c r="V19" s="63" t="str">
        <f t="shared" si="16"/>
        <v/>
      </c>
      <c r="W19" s="63">
        <v>0.6</v>
      </c>
      <c r="X19" s="63">
        <v>0.45</v>
      </c>
      <c r="Y19" s="63">
        <f t="shared" si="17"/>
        <v>15.120000000000001</v>
      </c>
      <c r="Z19" s="66">
        <f t="shared" si="18"/>
        <v>120.96000000000001</v>
      </c>
      <c r="AA19" s="66">
        <f t="shared" si="19"/>
        <v>3144.96</v>
      </c>
      <c r="AB19" s="63">
        <f t="shared" si="20"/>
        <v>0</v>
      </c>
      <c r="AC19" s="63">
        <f t="shared" si="21"/>
        <v>0</v>
      </c>
      <c r="AD19" s="63">
        <f t="shared" si="22"/>
        <v>0</v>
      </c>
      <c r="AE19" s="63">
        <f t="shared" si="34"/>
        <v>0.11999999999999998</v>
      </c>
      <c r="AF19" s="63">
        <f t="shared" si="35"/>
        <v>5.9999999999999991E-2</v>
      </c>
      <c r="AG19" s="63">
        <f t="shared" si="36"/>
        <v>0.04</v>
      </c>
      <c r="AH19" s="63">
        <f t="shared" si="37"/>
        <v>0.02</v>
      </c>
      <c r="AI19" s="63">
        <f t="shared" si="23"/>
        <v>0.23999999999999996</v>
      </c>
      <c r="AJ19" s="63">
        <v>0.5</v>
      </c>
      <c r="AK19" s="63">
        <f t="shared" si="4"/>
        <v>0.14999999999999997</v>
      </c>
      <c r="AL19" s="63">
        <f t="shared" si="24"/>
        <v>1.1999999999999997</v>
      </c>
      <c r="AM19" s="104">
        <f t="shared" si="25"/>
        <v>31.199999999999992</v>
      </c>
      <c r="AN19" s="62">
        <v>0.5</v>
      </c>
      <c r="AO19" s="66">
        <f t="shared" si="5"/>
        <v>2250</v>
      </c>
      <c r="AP19" s="66">
        <f t="shared" si="26"/>
        <v>86.538461538461533</v>
      </c>
      <c r="AQ19" s="66">
        <f t="shared" si="27"/>
        <v>10.817307692307692</v>
      </c>
      <c r="AR19" s="69">
        <f t="shared" si="31"/>
        <v>450</v>
      </c>
      <c r="AS19" s="66">
        <f t="shared" si="32"/>
        <v>17.307692307692307</v>
      </c>
      <c r="AT19" s="67">
        <f t="shared" si="33"/>
        <v>2.1634615384615383</v>
      </c>
      <c r="AU19" s="72">
        <f t="shared" si="28"/>
        <v>12412.982640809012</v>
      </c>
      <c r="AV19" s="51">
        <f t="shared" si="29"/>
        <v>477.42240926188504</v>
      </c>
      <c r="AW19" s="73">
        <f t="shared" si="30"/>
        <v>59.67780115773563</v>
      </c>
    </row>
    <row r="20" spans="2:49" ht="70.5" customHeight="1" x14ac:dyDescent="0.25">
      <c r="B20" s="62" t="s">
        <v>690</v>
      </c>
      <c r="C20" s="63" t="str">
        <f>VLOOKUP(B20,'Equip. List CSI'!$K$4:$N$159,4,0)</f>
        <v>02300415</v>
      </c>
      <c r="D20" s="106" t="s">
        <v>800</v>
      </c>
      <c r="E20" s="105" t="s">
        <v>743</v>
      </c>
      <c r="F20" s="64">
        <v>393700</v>
      </c>
      <c r="G20" s="65">
        <f t="shared" si="6"/>
        <v>39370</v>
      </c>
      <c r="H20" s="63">
        <v>84</v>
      </c>
      <c r="I20" s="66">
        <f t="shared" si="7"/>
        <v>4218.2142857142853</v>
      </c>
      <c r="J20" s="66">
        <f t="shared" si="8"/>
        <v>162.23901098901098</v>
      </c>
      <c r="K20" s="67">
        <f t="shared" si="9"/>
        <v>20.279876373626372</v>
      </c>
      <c r="L20" s="62" t="s">
        <v>805</v>
      </c>
      <c r="M20" s="69">
        <f>VLOOKUP(L20,'Manual Manpower Database'!$G$5:$AY$160,45,0)</f>
        <v>2036.8226408090118</v>
      </c>
      <c r="N20" s="66">
        <f t="shared" si="10"/>
        <v>78.339332338808148</v>
      </c>
      <c r="O20" s="67">
        <f t="shared" si="11"/>
        <v>9.7924165423510185</v>
      </c>
      <c r="P20" s="68" t="s">
        <v>869</v>
      </c>
      <c r="Q20" s="63">
        <f t="shared" si="12"/>
        <v>0.21</v>
      </c>
      <c r="R20" s="63">
        <v>162</v>
      </c>
      <c r="S20" s="63">
        <f t="shared" si="13"/>
        <v>0.54</v>
      </c>
      <c r="T20" s="63">
        <f t="shared" si="14"/>
        <v>0.72</v>
      </c>
      <c r="U20" s="66">
        <f t="shared" si="15"/>
        <v>25.515000000000001</v>
      </c>
      <c r="V20" s="63" t="str">
        <f t="shared" si="16"/>
        <v/>
      </c>
      <c r="W20" s="63">
        <v>0.6</v>
      </c>
      <c r="X20" s="63">
        <v>0.45</v>
      </c>
      <c r="Y20" s="63">
        <f t="shared" si="17"/>
        <v>15.308999999999999</v>
      </c>
      <c r="Z20" s="66">
        <f t="shared" si="18"/>
        <v>122.47199999999999</v>
      </c>
      <c r="AA20" s="66">
        <f t="shared" si="19"/>
        <v>3184.2719999999999</v>
      </c>
      <c r="AB20" s="63">
        <f t="shared" si="20"/>
        <v>0</v>
      </c>
      <c r="AC20" s="63">
        <f t="shared" si="21"/>
        <v>0</v>
      </c>
      <c r="AD20" s="63">
        <f t="shared" si="22"/>
        <v>0</v>
      </c>
      <c r="AE20" s="63">
        <f t="shared" si="34"/>
        <v>0.1215</v>
      </c>
      <c r="AF20" s="63">
        <f t="shared" si="35"/>
        <v>6.0749999999999998E-2</v>
      </c>
      <c r="AG20" s="63">
        <f t="shared" si="36"/>
        <v>4.0499999999999994E-2</v>
      </c>
      <c r="AH20" s="63">
        <f t="shared" si="37"/>
        <v>2.0249999999999997E-2</v>
      </c>
      <c r="AI20" s="63">
        <f t="shared" si="23"/>
        <v>0.24299999999999999</v>
      </c>
      <c r="AJ20" s="63">
        <v>0.5</v>
      </c>
      <c r="AK20" s="63">
        <f t="shared" si="4"/>
        <v>0.15187499999999998</v>
      </c>
      <c r="AL20" s="63">
        <f t="shared" si="24"/>
        <v>1.2149999999999999</v>
      </c>
      <c r="AM20" s="104">
        <f t="shared" si="25"/>
        <v>31.589999999999996</v>
      </c>
      <c r="AN20" s="62">
        <v>0.5</v>
      </c>
      <c r="AO20" s="66">
        <f t="shared" si="5"/>
        <v>2109.1071428571427</v>
      </c>
      <c r="AP20" s="66">
        <f t="shared" si="26"/>
        <v>81.119505494505489</v>
      </c>
      <c r="AQ20" s="66">
        <f t="shared" si="27"/>
        <v>10.139938186813186</v>
      </c>
      <c r="AR20" s="69">
        <f t="shared" si="31"/>
        <v>421.82142857142856</v>
      </c>
      <c r="AS20" s="66">
        <f t="shared" si="32"/>
        <v>16.223901098901099</v>
      </c>
      <c r="AT20" s="67">
        <f t="shared" si="33"/>
        <v>2.0279876373626373</v>
      </c>
      <c r="AU20" s="72">
        <f t="shared" si="28"/>
        <v>12001.827497951868</v>
      </c>
      <c r="AV20" s="51">
        <f t="shared" si="29"/>
        <v>461.60874992122569</v>
      </c>
      <c r="AW20" s="73">
        <f t="shared" si="30"/>
        <v>57.701093740153205</v>
      </c>
    </row>
    <row r="21" spans="2:49" ht="70.5" customHeight="1" x14ac:dyDescent="0.25">
      <c r="B21" s="62" t="s">
        <v>690</v>
      </c>
      <c r="C21" s="63" t="str">
        <f>VLOOKUP(B21,'Equip. List CSI'!$K$4:$N$159,4,0)</f>
        <v>02300415</v>
      </c>
      <c r="D21" s="106" t="s">
        <v>801</v>
      </c>
      <c r="E21" s="105" t="s">
        <v>744</v>
      </c>
      <c r="F21" s="64">
        <v>970000</v>
      </c>
      <c r="G21" s="65">
        <f t="shared" si="6"/>
        <v>97000</v>
      </c>
      <c r="H21" s="63">
        <v>120</v>
      </c>
      <c r="I21" s="66">
        <f t="shared" si="7"/>
        <v>7275</v>
      </c>
      <c r="J21" s="66">
        <f t="shared" si="8"/>
        <v>279.80769230769232</v>
      </c>
      <c r="K21" s="67">
        <f t="shared" si="9"/>
        <v>34.97596153846154</v>
      </c>
      <c r="L21" s="62" t="s">
        <v>805</v>
      </c>
      <c r="M21" s="69">
        <f>VLOOKUP(L21,'Manual Manpower Database'!$G$5:$AY$160,45,0)</f>
        <v>2036.8226408090118</v>
      </c>
      <c r="N21" s="66">
        <f t="shared" si="10"/>
        <v>78.339332338808148</v>
      </c>
      <c r="O21" s="67">
        <f t="shared" si="11"/>
        <v>9.7924165423510185</v>
      </c>
      <c r="P21" s="68" t="s">
        <v>869</v>
      </c>
      <c r="Q21" s="63">
        <f t="shared" si="12"/>
        <v>0.21</v>
      </c>
      <c r="R21" s="63">
        <v>287</v>
      </c>
      <c r="S21" s="63">
        <f t="shared" si="13"/>
        <v>0.54</v>
      </c>
      <c r="T21" s="63">
        <f t="shared" si="14"/>
        <v>0.72</v>
      </c>
      <c r="U21" s="66">
        <f t="shared" si="15"/>
        <v>45.202500000000001</v>
      </c>
      <c r="V21" s="63" t="str">
        <f t="shared" si="16"/>
        <v/>
      </c>
      <c r="W21" s="63">
        <v>0.6</v>
      </c>
      <c r="X21" s="63">
        <v>0.45</v>
      </c>
      <c r="Y21" s="63">
        <f t="shared" si="17"/>
        <v>27.121500000000001</v>
      </c>
      <c r="Z21" s="66">
        <f t="shared" si="18"/>
        <v>216.97200000000001</v>
      </c>
      <c r="AA21" s="66">
        <f t="shared" si="19"/>
        <v>5641.2719999999999</v>
      </c>
      <c r="AB21" s="63">
        <f t="shared" si="20"/>
        <v>0</v>
      </c>
      <c r="AC21" s="63">
        <f t="shared" si="21"/>
        <v>0</v>
      </c>
      <c r="AD21" s="63">
        <f t="shared" si="22"/>
        <v>0</v>
      </c>
      <c r="AE21" s="63">
        <f t="shared" si="34"/>
        <v>0.21525</v>
      </c>
      <c r="AF21" s="63">
        <f t="shared" si="35"/>
        <v>0.107625</v>
      </c>
      <c r="AG21" s="63">
        <f t="shared" si="36"/>
        <v>7.1749999999999994E-2</v>
      </c>
      <c r="AH21" s="63">
        <f t="shared" si="37"/>
        <v>3.5874999999999997E-2</v>
      </c>
      <c r="AI21" s="63">
        <f t="shared" si="23"/>
        <v>0.43049999999999999</v>
      </c>
      <c r="AJ21" s="63">
        <v>0.5</v>
      </c>
      <c r="AK21" s="63">
        <f t="shared" si="4"/>
        <v>0.26906249999999998</v>
      </c>
      <c r="AL21" s="63">
        <f t="shared" si="24"/>
        <v>2.1524999999999999</v>
      </c>
      <c r="AM21" s="104">
        <f t="shared" si="25"/>
        <v>55.964999999999996</v>
      </c>
      <c r="AN21" s="62">
        <v>0.5</v>
      </c>
      <c r="AO21" s="66">
        <f t="shared" si="5"/>
        <v>3637.5</v>
      </c>
      <c r="AP21" s="66">
        <f t="shared" si="26"/>
        <v>139.90384615384616</v>
      </c>
      <c r="AQ21" s="66">
        <f t="shared" si="27"/>
        <v>17.48798076923077</v>
      </c>
      <c r="AR21" s="69">
        <f t="shared" si="31"/>
        <v>727.5</v>
      </c>
      <c r="AS21" s="66">
        <f t="shared" si="32"/>
        <v>27.98076923076923</v>
      </c>
      <c r="AT21" s="67">
        <f t="shared" si="33"/>
        <v>3.4975961538461537</v>
      </c>
      <c r="AU21" s="72">
        <f t="shared" si="28"/>
        <v>19374.059640809013</v>
      </c>
      <c r="AV21" s="51">
        <f t="shared" si="29"/>
        <v>745.15614003111602</v>
      </c>
      <c r="AW21" s="73">
        <f t="shared" si="30"/>
        <v>93.144517503889503</v>
      </c>
    </row>
    <row r="22" spans="2:49" ht="70.5" customHeight="1" x14ac:dyDescent="0.25">
      <c r="B22" s="62" t="s">
        <v>691</v>
      </c>
      <c r="C22" s="63" t="str">
        <f>VLOOKUP(B22,'Equip. List CSI'!$K$4:$N$159,4,0)</f>
        <v>02300420</v>
      </c>
      <c r="D22" s="106" t="s">
        <v>796</v>
      </c>
      <c r="E22" s="105" t="s">
        <v>745</v>
      </c>
      <c r="F22" s="64">
        <v>132000</v>
      </c>
      <c r="G22" s="65">
        <f t="shared" si="6"/>
        <v>13200</v>
      </c>
      <c r="H22" s="63">
        <v>60</v>
      </c>
      <c r="I22" s="66">
        <f t="shared" si="7"/>
        <v>1980</v>
      </c>
      <c r="J22" s="66">
        <f t="shared" si="8"/>
        <v>76.15384615384616</v>
      </c>
      <c r="K22" s="67">
        <f t="shared" si="9"/>
        <v>9.5192307692307701</v>
      </c>
      <c r="L22" s="62" t="s">
        <v>806</v>
      </c>
      <c r="M22" s="69">
        <f>VLOOKUP(L22,'Manual Manpower Database'!$G$5:$AY$160,45,0)</f>
        <v>1914.9930555555557</v>
      </c>
      <c r="N22" s="66">
        <f t="shared" si="10"/>
        <v>73.65357905982907</v>
      </c>
      <c r="O22" s="67">
        <f t="shared" si="11"/>
        <v>9.2066973824786338</v>
      </c>
      <c r="P22" s="68" t="s">
        <v>869</v>
      </c>
      <c r="Q22" s="63">
        <f t="shared" si="12"/>
        <v>0.21</v>
      </c>
      <c r="R22" s="63">
        <v>215</v>
      </c>
      <c r="S22" s="63">
        <f t="shared" si="13"/>
        <v>0.54</v>
      </c>
      <c r="T22" s="63">
        <f t="shared" si="14"/>
        <v>0.72</v>
      </c>
      <c r="U22" s="66">
        <f t="shared" si="15"/>
        <v>33.862500000000004</v>
      </c>
      <c r="V22" s="63" t="str">
        <f t="shared" si="16"/>
        <v/>
      </c>
      <c r="W22" s="63">
        <v>0.6</v>
      </c>
      <c r="X22" s="63">
        <v>0.45</v>
      </c>
      <c r="Y22" s="63">
        <f t="shared" si="17"/>
        <v>20.317500000000003</v>
      </c>
      <c r="Z22" s="66">
        <f t="shared" si="18"/>
        <v>162.54000000000002</v>
      </c>
      <c r="AA22" s="66">
        <f t="shared" si="19"/>
        <v>4226.0400000000009</v>
      </c>
      <c r="AB22" s="63">
        <f t="shared" si="20"/>
        <v>0</v>
      </c>
      <c r="AC22" s="63">
        <f t="shared" si="21"/>
        <v>0</v>
      </c>
      <c r="AD22" s="63">
        <f t="shared" si="22"/>
        <v>0</v>
      </c>
      <c r="AE22" s="63">
        <f t="shared" si="34"/>
        <v>0.16124999999999998</v>
      </c>
      <c r="AF22" s="63">
        <f t="shared" si="35"/>
        <v>8.0624999999999988E-2</v>
      </c>
      <c r="AG22" s="63">
        <f t="shared" si="36"/>
        <v>5.3750000000000006E-2</v>
      </c>
      <c r="AH22" s="63">
        <f t="shared" si="37"/>
        <v>2.6875000000000003E-2</v>
      </c>
      <c r="AI22" s="63">
        <f t="shared" si="23"/>
        <v>0.32249999999999995</v>
      </c>
      <c r="AJ22" s="63">
        <v>0.5</v>
      </c>
      <c r="AK22" s="63">
        <f t="shared" si="4"/>
        <v>0.20156249999999998</v>
      </c>
      <c r="AL22" s="63">
        <f t="shared" si="24"/>
        <v>1.6124999999999998</v>
      </c>
      <c r="AM22" s="104">
        <f t="shared" si="25"/>
        <v>41.924999999999997</v>
      </c>
      <c r="AN22" s="62">
        <v>0.5</v>
      </c>
      <c r="AO22" s="66">
        <f t="shared" si="5"/>
        <v>990</v>
      </c>
      <c r="AP22" s="66">
        <f t="shared" si="26"/>
        <v>38.07692307692308</v>
      </c>
      <c r="AQ22" s="66">
        <f t="shared" si="27"/>
        <v>4.759615384615385</v>
      </c>
      <c r="AR22" s="69">
        <f t="shared" si="31"/>
        <v>198</v>
      </c>
      <c r="AS22" s="66">
        <f t="shared" si="32"/>
        <v>7.615384615384615</v>
      </c>
      <c r="AT22" s="67">
        <f t="shared" si="33"/>
        <v>0.95192307692307687</v>
      </c>
      <c r="AU22" s="72">
        <f t="shared" si="28"/>
        <v>9350.9580555555567</v>
      </c>
      <c r="AV22" s="51">
        <f t="shared" si="29"/>
        <v>359.652232905983</v>
      </c>
      <c r="AW22" s="73">
        <f t="shared" si="30"/>
        <v>44.956529113247875</v>
      </c>
    </row>
    <row r="23" spans="2:49" ht="85.5" customHeight="1" x14ac:dyDescent="0.25">
      <c r="B23" s="62" t="s">
        <v>691</v>
      </c>
      <c r="C23" s="63" t="str">
        <f>VLOOKUP(B23,'Equip. List CSI'!$K$4:$N$159,4,0)</f>
        <v>02300420</v>
      </c>
      <c r="D23" s="106" t="s">
        <v>797</v>
      </c>
      <c r="E23" s="105" t="s">
        <v>746</v>
      </c>
      <c r="F23" s="64">
        <v>102000</v>
      </c>
      <c r="G23" s="65">
        <f t="shared" si="6"/>
        <v>10200</v>
      </c>
      <c r="H23" s="63">
        <v>66</v>
      </c>
      <c r="I23" s="66">
        <f t="shared" si="7"/>
        <v>1390.909090909091</v>
      </c>
      <c r="J23" s="66">
        <f t="shared" si="8"/>
        <v>53.4965034965035</v>
      </c>
      <c r="K23" s="67">
        <f t="shared" si="9"/>
        <v>6.6870629370629375</v>
      </c>
      <c r="L23" s="62" t="s">
        <v>806</v>
      </c>
      <c r="M23" s="69">
        <f>VLOOKUP(L23,'Manual Manpower Database'!$G$5:$AY$160,45,0)</f>
        <v>1914.9930555555557</v>
      </c>
      <c r="N23" s="66">
        <f t="shared" si="10"/>
        <v>73.65357905982907</v>
      </c>
      <c r="O23" s="67">
        <f t="shared" si="11"/>
        <v>9.2066973824786338</v>
      </c>
      <c r="P23" s="68" t="s">
        <v>869</v>
      </c>
      <c r="Q23" s="63">
        <f t="shared" si="12"/>
        <v>0.21</v>
      </c>
      <c r="R23" s="63">
        <v>166</v>
      </c>
      <c r="S23" s="63">
        <f t="shared" si="13"/>
        <v>0.54</v>
      </c>
      <c r="T23" s="63">
        <f t="shared" si="14"/>
        <v>0.72</v>
      </c>
      <c r="U23" s="66">
        <f t="shared" si="15"/>
        <v>26.145000000000003</v>
      </c>
      <c r="V23" s="63" t="str">
        <f t="shared" si="16"/>
        <v/>
      </c>
      <c r="W23" s="63">
        <v>0.6</v>
      </c>
      <c r="X23" s="63">
        <v>0.45</v>
      </c>
      <c r="Y23" s="63">
        <f t="shared" si="17"/>
        <v>15.687000000000001</v>
      </c>
      <c r="Z23" s="66">
        <f t="shared" si="18"/>
        <v>125.49600000000001</v>
      </c>
      <c r="AA23" s="66">
        <f t="shared" si="19"/>
        <v>3262.8960000000002</v>
      </c>
      <c r="AB23" s="63">
        <f t="shared" si="20"/>
        <v>0</v>
      </c>
      <c r="AC23" s="63">
        <f t="shared" si="21"/>
        <v>0</v>
      </c>
      <c r="AD23" s="63">
        <f t="shared" si="22"/>
        <v>0</v>
      </c>
      <c r="AE23" s="63">
        <f t="shared" si="34"/>
        <v>0.1245</v>
      </c>
      <c r="AF23" s="63">
        <f t="shared" si="35"/>
        <v>6.225E-2</v>
      </c>
      <c r="AG23" s="63">
        <f t="shared" si="36"/>
        <v>4.1500000000000002E-2</v>
      </c>
      <c r="AH23" s="63">
        <f t="shared" si="37"/>
        <v>2.0750000000000001E-2</v>
      </c>
      <c r="AI23" s="63">
        <f t="shared" si="23"/>
        <v>0.249</v>
      </c>
      <c r="AJ23" s="63">
        <v>0.5</v>
      </c>
      <c r="AK23" s="63">
        <f t="shared" si="4"/>
        <v>0.15562500000000001</v>
      </c>
      <c r="AL23" s="63">
        <f t="shared" si="24"/>
        <v>1.2450000000000001</v>
      </c>
      <c r="AM23" s="104">
        <f t="shared" si="25"/>
        <v>32.370000000000005</v>
      </c>
      <c r="AN23" s="62">
        <v>0.5</v>
      </c>
      <c r="AO23" s="66">
        <f t="shared" si="5"/>
        <v>695.4545454545455</v>
      </c>
      <c r="AP23" s="66">
        <f t="shared" si="26"/>
        <v>26.74825174825175</v>
      </c>
      <c r="AQ23" s="66">
        <f t="shared" si="27"/>
        <v>3.3435314685314688</v>
      </c>
      <c r="AR23" s="69">
        <f t="shared" si="31"/>
        <v>139.09090909090909</v>
      </c>
      <c r="AS23" s="66">
        <f t="shared" si="32"/>
        <v>5.34965034965035</v>
      </c>
      <c r="AT23" s="67">
        <f t="shared" si="33"/>
        <v>0.66870629370629375</v>
      </c>
      <c r="AU23" s="72">
        <f t="shared" si="28"/>
        <v>7435.7136010101012</v>
      </c>
      <c r="AV23" s="51">
        <f t="shared" si="29"/>
        <v>285.98898465423468</v>
      </c>
      <c r="AW23" s="73">
        <f t="shared" si="30"/>
        <v>35.748623081779336</v>
      </c>
    </row>
    <row r="24" spans="2:49" ht="79.5" customHeight="1" x14ac:dyDescent="0.25">
      <c r="B24" s="62" t="s">
        <v>691</v>
      </c>
      <c r="C24" s="63" t="str">
        <f>VLOOKUP(B24,'Equip. List CSI'!$K$4:$N$159,4,0)</f>
        <v>02300420</v>
      </c>
      <c r="D24" s="106" t="s">
        <v>798</v>
      </c>
      <c r="E24" s="105" t="s">
        <v>747</v>
      </c>
      <c r="F24" s="64">
        <v>52000</v>
      </c>
      <c r="G24" s="65">
        <f t="shared" si="6"/>
        <v>5200</v>
      </c>
      <c r="H24" s="63">
        <v>60</v>
      </c>
      <c r="I24" s="66">
        <f t="shared" si="7"/>
        <v>780</v>
      </c>
      <c r="J24" s="66">
        <f t="shared" si="8"/>
        <v>30</v>
      </c>
      <c r="K24" s="67">
        <f t="shared" si="9"/>
        <v>3.75</v>
      </c>
      <c r="L24" s="62" t="s">
        <v>806</v>
      </c>
      <c r="M24" s="69">
        <f>VLOOKUP(L24,'Manual Manpower Database'!$G$5:$AY$160,45,0)</f>
        <v>1914.9930555555557</v>
      </c>
      <c r="N24" s="66">
        <f t="shared" si="10"/>
        <v>73.65357905982907</v>
      </c>
      <c r="O24" s="67">
        <f t="shared" si="11"/>
        <v>9.2066973824786338</v>
      </c>
      <c r="P24" s="68" t="s">
        <v>869</v>
      </c>
      <c r="Q24" s="63">
        <f t="shared" si="12"/>
        <v>0.21</v>
      </c>
      <c r="R24" s="63">
        <v>120</v>
      </c>
      <c r="S24" s="63">
        <f t="shared" si="13"/>
        <v>0.54</v>
      </c>
      <c r="T24" s="63">
        <f t="shared" si="14"/>
        <v>0.72</v>
      </c>
      <c r="U24" s="66">
        <f t="shared" si="15"/>
        <v>18.900000000000002</v>
      </c>
      <c r="V24" s="63" t="str">
        <f t="shared" si="16"/>
        <v/>
      </c>
      <c r="W24" s="63">
        <v>0.6</v>
      </c>
      <c r="X24" s="63">
        <v>0.45</v>
      </c>
      <c r="Y24" s="63">
        <f t="shared" si="17"/>
        <v>11.340000000000002</v>
      </c>
      <c r="Z24" s="66">
        <f t="shared" si="18"/>
        <v>90.720000000000013</v>
      </c>
      <c r="AA24" s="66">
        <f t="shared" si="19"/>
        <v>2358.7200000000003</v>
      </c>
      <c r="AB24" s="63">
        <f t="shared" si="20"/>
        <v>0</v>
      </c>
      <c r="AC24" s="63">
        <f t="shared" si="21"/>
        <v>0</v>
      </c>
      <c r="AD24" s="63">
        <f t="shared" si="22"/>
        <v>0</v>
      </c>
      <c r="AE24" s="63">
        <f t="shared" si="34"/>
        <v>0.09</v>
      </c>
      <c r="AF24" s="63">
        <f t="shared" si="35"/>
        <v>4.4999999999999998E-2</v>
      </c>
      <c r="AG24" s="63">
        <f t="shared" si="36"/>
        <v>0.03</v>
      </c>
      <c r="AH24" s="63">
        <f t="shared" si="37"/>
        <v>1.4999999999999999E-2</v>
      </c>
      <c r="AI24" s="63">
        <f t="shared" si="23"/>
        <v>0.18</v>
      </c>
      <c r="AJ24" s="63">
        <v>0.5</v>
      </c>
      <c r="AK24" s="63">
        <f t="shared" si="4"/>
        <v>0.11249999999999999</v>
      </c>
      <c r="AL24" s="63">
        <f t="shared" si="24"/>
        <v>0.89999999999999991</v>
      </c>
      <c r="AM24" s="104">
        <f t="shared" si="25"/>
        <v>23.4</v>
      </c>
      <c r="AN24" s="62">
        <v>0.5</v>
      </c>
      <c r="AO24" s="66">
        <f t="shared" si="5"/>
        <v>390</v>
      </c>
      <c r="AP24" s="66">
        <f t="shared" si="26"/>
        <v>15</v>
      </c>
      <c r="AQ24" s="66">
        <f t="shared" si="27"/>
        <v>1.875</v>
      </c>
      <c r="AR24" s="69">
        <f t="shared" si="31"/>
        <v>78</v>
      </c>
      <c r="AS24" s="66">
        <f t="shared" si="32"/>
        <v>3</v>
      </c>
      <c r="AT24" s="67">
        <f t="shared" si="33"/>
        <v>0.375</v>
      </c>
      <c r="AU24" s="72">
        <f t="shared" si="28"/>
        <v>5545.1130555555555</v>
      </c>
      <c r="AV24" s="51">
        <f t="shared" si="29"/>
        <v>213.27357905982907</v>
      </c>
      <c r="AW24" s="73">
        <f t="shared" si="30"/>
        <v>26.659197382478634</v>
      </c>
    </row>
    <row r="25" spans="2:49" ht="70.5" customHeight="1" x14ac:dyDescent="0.25">
      <c r="B25" s="62" t="s">
        <v>691</v>
      </c>
      <c r="C25" s="63" t="str">
        <f>VLOOKUP(B25,'Equip. List CSI'!$K$4:$N$159,4,0)</f>
        <v>02300420</v>
      </c>
      <c r="D25" s="106" t="s">
        <v>799</v>
      </c>
      <c r="E25" s="105" t="s">
        <v>748</v>
      </c>
      <c r="F25" s="64">
        <v>120000</v>
      </c>
      <c r="G25" s="65">
        <f t="shared" si="6"/>
        <v>12000</v>
      </c>
      <c r="H25" s="63">
        <v>66</v>
      </c>
      <c r="I25" s="66">
        <f t="shared" si="7"/>
        <v>1636.3636363636363</v>
      </c>
      <c r="J25" s="66">
        <f t="shared" si="8"/>
        <v>62.937062937062933</v>
      </c>
      <c r="K25" s="67">
        <f t="shared" si="9"/>
        <v>7.8671328671328666</v>
      </c>
      <c r="L25" s="62" t="s">
        <v>806</v>
      </c>
      <c r="M25" s="69">
        <f>VLOOKUP(L25,'Manual Manpower Database'!$G$5:$AY$160,45,0)</f>
        <v>1914.9930555555557</v>
      </c>
      <c r="N25" s="66">
        <f t="shared" si="10"/>
        <v>73.65357905982907</v>
      </c>
      <c r="O25" s="67">
        <f t="shared" si="11"/>
        <v>9.2066973824786338</v>
      </c>
      <c r="P25" s="68" t="s">
        <v>869</v>
      </c>
      <c r="Q25" s="63">
        <f t="shared" si="12"/>
        <v>0.21</v>
      </c>
      <c r="R25" s="63">
        <v>121</v>
      </c>
      <c r="S25" s="63">
        <f t="shared" si="13"/>
        <v>0.54</v>
      </c>
      <c r="T25" s="63">
        <f t="shared" si="14"/>
        <v>0.72</v>
      </c>
      <c r="U25" s="66">
        <f t="shared" si="15"/>
        <v>19.057500000000001</v>
      </c>
      <c r="V25" s="63" t="str">
        <f t="shared" si="16"/>
        <v/>
      </c>
      <c r="W25" s="63">
        <v>0.6</v>
      </c>
      <c r="X25" s="63">
        <v>0.45</v>
      </c>
      <c r="Y25" s="63">
        <f t="shared" si="17"/>
        <v>11.4345</v>
      </c>
      <c r="Z25" s="66">
        <f t="shared" si="18"/>
        <v>91.475999999999999</v>
      </c>
      <c r="AA25" s="66">
        <f t="shared" si="19"/>
        <v>2378.3760000000002</v>
      </c>
      <c r="AB25" s="63">
        <f t="shared" si="20"/>
        <v>0</v>
      </c>
      <c r="AC25" s="63">
        <f t="shared" si="21"/>
        <v>0</v>
      </c>
      <c r="AD25" s="63">
        <f t="shared" si="22"/>
        <v>0</v>
      </c>
      <c r="AE25" s="63">
        <f t="shared" si="34"/>
        <v>9.0749999999999997E-2</v>
      </c>
      <c r="AF25" s="63">
        <f t="shared" si="35"/>
        <v>4.5374999999999999E-2</v>
      </c>
      <c r="AG25" s="63">
        <f t="shared" si="36"/>
        <v>3.0250000000000003E-2</v>
      </c>
      <c r="AH25" s="63">
        <f t="shared" si="37"/>
        <v>1.5125000000000001E-2</v>
      </c>
      <c r="AI25" s="63">
        <f t="shared" si="23"/>
        <v>0.18149999999999999</v>
      </c>
      <c r="AJ25" s="63">
        <v>0.5</v>
      </c>
      <c r="AK25" s="63">
        <f t="shared" si="4"/>
        <v>0.1134375</v>
      </c>
      <c r="AL25" s="63">
        <f t="shared" si="24"/>
        <v>0.90749999999999997</v>
      </c>
      <c r="AM25" s="104">
        <f t="shared" si="25"/>
        <v>23.594999999999999</v>
      </c>
      <c r="AN25" s="62">
        <v>0.5</v>
      </c>
      <c r="AO25" s="66">
        <f t="shared" si="5"/>
        <v>818.18181818181813</v>
      </c>
      <c r="AP25" s="66">
        <f t="shared" si="26"/>
        <v>31.468531468531467</v>
      </c>
      <c r="AQ25" s="66">
        <f t="shared" si="27"/>
        <v>3.9335664335664333</v>
      </c>
      <c r="AR25" s="69">
        <f t="shared" si="31"/>
        <v>163.63636363636363</v>
      </c>
      <c r="AS25" s="66">
        <f t="shared" si="32"/>
        <v>6.2937062937062933</v>
      </c>
      <c r="AT25" s="67">
        <f t="shared" si="33"/>
        <v>0.78671328671328666</v>
      </c>
      <c r="AU25" s="72">
        <f t="shared" si="28"/>
        <v>6935.1458737373741</v>
      </c>
      <c r="AV25" s="51">
        <f t="shared" si="29"/>
        <v>266.73637975912976</v>
      </c>
      <c r="AW25" s="73">
        <f t="shared" si="30"/>
        <v>33.34204746989122</v>
      </c>
    </row>
    <row r="26" spans="2:49" ht="70.5" customHeight="1" x14ac:dyDescent="0.25">
      <c r="B26" s="62" t="s">
        <v>691</v>
      </c>
      <c r="C26" s="63" t="str">
        <f>VLOOKUP(B26,'Equip. List CSI'!$K$4:$N$159,4,0)</f>
        <v>02300420</v>
      </c>
      <c r="D26" s="106" t="s">
        <v>800</v>
      </c>
      <c r="E26" s="105" t="s">
        <v>749</v>
      </c>
      <c r="F26" s="64">
        <v>145000</v>
      </c>
      <c r="G26" s="65">
        <f t="shared" si="6"/>
        <v>14500</v>
      </c>
      <c r="H26" s="63">
        <v>66</v>
      </c>
      <c r="I26" s="66">
        <f t="shared" si="7"/>
        <v>1977.2727272727273</v>
      </c>
      <c r="J26" s="66">
        <f t="shared" si="8"/>
        <v>76.048951048951054</v>
      </c>
      <c r="K26" s="67">
        <f t="shared" si="9"/>
        <v>9.5061188811188817</v>
      </c>
      <c r="L26" s="62" t="s">
        <v>806</v>
      </c>
      <c r="M26" s="69">
        <f>VLOOKUP(L26,'Manual Manpower Database'!$G$5:$AY$160,45,0)</f>
        <v>1914.9930555555557</v>
      </c>
      <c r="N26" s="66">
        <f t="shared" si="10"/>
        <v>73.65357905982907</v>
      </c>
      <c r="O26" s="67">
        <f t="shared" si="11"/>
        <v>9.2066973824786338</v>
      </c>
      <c r="P26" s="68" t="s">
        <v>869</v>
      </c>
      <c r="Q26" s="63">
        <f t="shared" si="12"/>
        <v>0.21</v>
      </c>
      <c r="R26" s="63">
        <v>151</v>
      </c>
      <c r="S26" s="63">
        <f t="shared" si="13"/>
        <v>0.54</v>
      </c>
      <c r="T26" s="63">
        <f t="shared" si="14"/>
        <v>0.72</v>
      </c>
      <c r="U26" s="66">
        <f t="shared" si="15"/>
        <v>23.782500000000002</v>
      </c>
      <c r="V26" s="63" t="str">
        <f t="shared" si="16"/>
        <v/>
      </c>
      <c r="W26" s="63">
        <v>0.6</v>
      </c>
      <c r="X26" s="63">
        <v>0.45</v>
      </c>
      <c r="Y26" s="63">
        <f t="shared" si="17"/>
        <v>14.269500000000001</v>
      </c>
      <c r="Z26" s="66">
        <f t="shared" si="18"/>
        <v>114.15600000000001</v>
      </c>
      <c r="AA26" s="66">
        <f t="shared" si="19"/>
        <v>2968.056</v>
      </c>
      <c r="AB26" s="63">
        <f t="shared" si="20"/>
        <v>0</v>
      </c>
      <c r="AC26" s="63">
        <f t="shared" si="21"/>
        <v>0</v>
      </c>
      <c r="AD26" s="63">
        <f t="shared" si="22"/>
        <v>0</v>
      </c>
      <c r="AE26" s="63">
        <f t="shared" si="34"/>
        <v>0.11324999999999999</v>
      </c>
      <c r="AF26" s="63">
        <f t="shared" si="35"/>
        <v>5.6624999999999995E-2</v>
      </c>
      <c r="AG26" s="63">
        <f t="shared" si="36"/>
        <v>3.7749999999999999E-2</v>
      </c>
      <c r="AH26" s="63">
        <f t="shared" si="37"/>
        <v>1.8874999999999999E-2</v>
      </c>
      <c r="AI26" s="63">
        <f t="shared" si="23"/>
        <v>0.22650000000000001</v>
      </c>
      <c r="AJ26" s="63">
        <v>0.5</v>
      </c>
      <c r="AK26" s="63">
        <f t="shared" si="4"/>
        <v>0.14156250000000001</v>
      </c>
      <c r="AL26" s="63">
        <f t="shared" si="24"/>
        <v>1.1325000000000001</v>
      </c>
      <c r="AM26" s="104">
        <f t="shared" si="25"/>
        <v>29.445</v>
      </c>
      <c r="AN26" s="62">
        <v>0.5</v>
      </c>
      <c r="AO26" s="66">
        <f t="shared" si="5"/>
        <v>988.63636363636363</v>
      </c>
      <c r="AP26" s="66">
        <f t="shared" si="26"/>
        <v>38.024475524475527</v>
      </c>
      <c r="AQ26" s="66">
        <f t="shared" si="27"/>
        <v>4.7530594405594409</v>
      </c>
      <c r="AR26" s="69">
        <f t="shared" si="31"/>
        <v>197.72727272727275</v>
      </c>
      <c r="AS26" s="66">
        <f t="shared" si="32"/>
        <v>7.6048951048951059</v>
      </c>
      <c r="AT26" s="67">
        <f t="shared" si="33"/>
        <v>0.95061188811188824</v>
      </c>
      <c r="AU26" s="72">
        <f t="shared" si="28"/>
        <v>8076.1304191919198</v>
      </c>
      <c r="AV26" s="51">
        <f t="shared" si="29"/>
        <v>310.62040073815075</v>
      </c>
      <c r="AW26" s="73">
        <f t="shared" si="30"/>
        <v>38.827550092268844</v>
      </c>
    </row>
    <row r="27" spans="2:49" ht="81.75" customHeight="1" x14ac:dyDescent="0.25">
      <c r="B27" s="62" t="s">
        <v>693</v>
      </c>
      <c r="C27" s="63" t="str">
        <f>VLOOKUP(B27,'Equip. List CSI'!$K$4:$N$159,4,0)</f>
        <v>02300425</v>
      </c>
      <c r="D27" s="106" t="s">
        <v>796</v>
      </c>
      <c r="E27" s="105" t="s">
        <v>750</v>
      </c>
      <c r="F27" s="64">
        <v>110000</v>
      </c>
      <c r="G27" s="65">
        <f t="shared" si="6"/>
        <v>11000</v>
      </c>
      <c r="H27" s="63">
        <v>66</v>
      </c>
      <c r="I27" s="66">
        <f t="shared" si="7"/>
        <v>1500</v>
      </c>
      <c r="J27" s="66">
        <f t="shared" si="8"/>
        <v>57.692307692307693</v>
      </c>
      <c r="K27" s="67">
        <f t="shared" si="9"/>
        <v>7.2115384615384617</v>
      </c>
      <c r="L27" s="62" t="s">
        <v>807</v>
      </c>
      <c r="M27" s="69">
        <f>VLOOKUP(L27,'Manual Manpower Database'!$G$5:$AY$160,45,0)</f>
        <v>1644.3680555555557</v>
      </c>
      <c r="N27" s="66">
        <f t="shared" si="10"/>
        <v>63.244925213675216</v>
      </c>
      <c r="O27" s="67">
        <f t="shared" si="11"/>
        <v>7.9056156517094021</v>
      </c>
      <c r="P27" s="68" t="s">
        <v>869</v>
      </c>
      <c r="Q27" s="63">
        <f t="shared" si="12"/>
        <v>0.21</v>
      </c>
      <c r="R27" s="63">
        <v>240</v>
      </c>
      <c r="S27" s="63">
        <f t="shared" si="13"/>
        <v>0.54</v>
      </c>
      <c r="T27" s="63">
        <f t="shared" si="14"/>
        <v>0.72</v>
      </c>
      <c r="U27" s="66">
        <f t="shared" si="15"/>
        <v>37.800000000000004</v>
      </c>
      <c r="V27" s="63" t="str">
        <f t="shared" si="16"/>
        <v/>
      </c>
      <c r="W27" s="63">
        <v>0.6</v>
      </c>
      <c r="X27" s="63">
        <v>0.45</v>
      </c>
      <c r="Y27" s="63">
        <f t="shared" si="17"/>
        <v>22.680000000000003</v>
      </c>
      <c r="Z27" s="66">
        <f t="shared" si="18"/>
        <v>181.44000000000003</v>
      </c>
      <c r="AA27" s="66">
        <f t="shared" si="19"/>
        <v>4717.4400000000005</v>
      </c>
      <c r="AB27" s="63">
        <f t="shared" si="20"/>
        <v>0</v>
      </c>
      <c r="AC27" s="63">
        <f t="shared" si="21"/>
        <v>0</v>
      </c>
      <c r="AD27" s="63">
        <f t="shared" si="22"/>
        <v>0</v>
      </c>
      <c r="AE27" s="63">
        <f t="shared" si="34"/>
        <v>0.18</v>
      </c>
      <c r="AF27" s="63">
        <f t="shared" si="35"/>
        <v>0.09</v>
      </c>
      <c r="AG27" s="63">
        <f t="shared" si="36"/>
        <v>0.06</v>
      </c>
      <c r="AH27" s="63">
        <f t="shared" si="37"/>
        <v>0.03</v>
      </c>
      <c r="AI27" s="63">
        <f t="shared" si="23"/>
        <v>0.36</v>
      </c>
      <c r="AJ27" s="63">
        <v>0.5</v>
      </c>
      <c r="AK27" s="63">
        <f t="shared" si="4"/>
        <v>0.22499999999999998</v>
      </c>
      <c r="AL27" s="63">
        <f t="shared" si="24"/>
        <v>1.7999999999999998</v>
      </c>
      <c r="AM27" s="104">
        <f t="shared" si="25"/>
        <v>46.8</v>
      </c>
      <c r="AN27" s="62">
        <v>0.5</v>
      </c>
      <c r="AO27" s="66">
        <f t="shared" si="5"/>
        <v>750</v>
      </c>
      <c r="AP27" s="66">
        <f t="shared" si="26"/>
        <v>28.846153846153847</v>
      </c>
      <c r="AQ27" s="66">
        <f t="shared" si="27"/>
        <v>3.6057692307692308</v>
      </c>
      <c r="AR27" s="69">
        <f t="shared" si="31"/>
        <v>150</v>
      </c>
      <c r="AS27" s="66">
        <f t="shared" si="32"/>
        <v>5.7692307692307692</v>
      </c>
      <c r="AT27" s="67">
        <f t="shared" si="33"/>
        <v>0.72115384615384615</v>
      </c>
      <c r="AU27" s="72">
        <f t="shared" si="28"/>
        <v>8808.6080555555563</v>
      </c>
      <c r="AV27" s="51">
        <f t="shared" si="29"/>
        <v>338.79261752136762</v>
      </c>
      <c r="AW27" s="73">
        <f t="shared" si="30"/>
        <v>42.349077190170952</v>
      </c>
    </row>
    <row r="28" spans="2:49" ht="81.75" customHeight="1" x14ac:dyDescent="0.25">
      <c r="B28" s="62" t="s">
        <v>693</v>
      </c>
      <c r="C28" s="63" t="str">
        <f>VLOOKUP(B28,'Equip. List CSI'!$K$4:$N$159,4,0)</f>
        <v>02300425</v>
      </c>
      <c r="D28" s="106" t="s">
        <v>797</v>
      </c>
      <c r="E28" s="105" t="s">
        <v>751</v>
      </c>
      <c r="F28" s="64">
        <v>70000</v>
      </c>
      <c r="G28" s="65">
        <f t="shared" si="6"/>
        <v>7000</v>
      </c>
      <c r="H28" s="63">
        <v>60</v>
      </c>
      <c r="I28" s="66">
        <f t="shared" si="7"/>
        <v>1050</v>
      </c>
      <c r="J28" s="66">
        <f t="shared" si="8"/>
        <v>40.384615384615387</v>
      </c>
      <c r="K28" s="67">
        <f t="shared" si="9"/>
        <v>5.0480769230769234</v>
      </c>
      <c r="L28" s="62" t="s">
        <v>807</v>
      </c>
      <c r="M28" s="69">
        <f>VLOOKUP(L28,'Manual Manpower Database'!$G$5:$AY$160,45,0)</f>
        <v>1644.3680555555557</v>
      </c>
      <c r="N28" s="66">
        <f t="shared" si="10"/>
        <v>63.244925213675216</v>
      </c>
      <c r="O28" s="67">
        <f t="shared" si="11"/>
        <v>7.9056156517094021</v>
      </c>
      <c r="P28" s="68" t="s">
        <v>869</v>
      </c>
      <c r="Q28" s="63">
        <f t="shared" si="12"/>
        <v>0.21</v>
      </c>
      <c r="R28" s="63">
        <v>200</v>
      </c>
      <c r="S28" s="63">
        <f t="shared" si="13"/>
        <v>0.54</v>
      </c>
      <c r="T28" s="63">
        <f t="shared" si="14"/>
        <v>0.72</v>
      </c>
      <c r="U28" s="66">
        <f t="shared" si="15"/>
        <v>31.5</v>
      </c>
      <c r="V28" s="63" t="str">
        <f t="shared" si="16"/>
        <v/>
      </c>
      <c r="W28" s="63">
        <v>0.6</v>
      </c>
      <c r="X28" s="63">
        <v>0.45</v>
      </c>
      <c r="Y28" s="63">
        <f t="shared" si="17"/>
        <v>18.899999999999999</v>
      </c>
      <c r="Z28" s="66">
        <f t="shared" si="18"/>
        <v>151.19999999999999</v>
      </c>
      <c r="AA28" s="66">
        <f t="shared" si="19"/>
        <v>3931.2</v>
      </c>
      <c r="AB28" s="63">
        <f t="shared" si="20"/>
        <v>0</v>
      </c>
      <c r="AC28" s="63">
        <f t="shared" si="21"/>
        <v>0</v>
      </c>
      <c r="AD28" s="63">
        <f t="shared" si="22"/>
        <v>0</v>
      </c>
      <c r="AE28" s="63">
        <f t="shared" si="34"/>
        <v>0.15</v>
      </c>
      <c r="AF28" s="63">
        <f t="shared" si="35"/>
        <v>7.4999999999999997E-2</v>
      </c>
      <c r="AG28" s="63">
        <f t="shared" si="36"/>
        <v>0.05</v>
      </c>
      <c r="AH28" s="63">
        <f t="shared" si="37"/>
        <v>2.5000000000000001E-2</v>
      </c>
      <c r="AI28" s="63">
        <f t="shared" si="23"/>
        <v>0.3</v>
      </c>
      <c r="AJ28" s="63">
        <v>0.5</v>
      </c>
      <c r="AK28" s="63">
        <f t="shared" si="4"/>
        <v>0.1875</v>
      </c>
      <c r="AL28" s="63">
        <f t="shared" si="24"/>
        <v>1.5</v>
      </c>
      <c r="AM28" s="104">
        <f t="shared" si="25"/>
        <v>39</v>
      </c>
      <c r="AN28" s="62">
        <v>0.5</v>
      </c>
      <c r="AO28" s="66">
        <f t="shared" si="5"/>
        <v>525</v>
      </c>
      <c r="AP28" s="66">
        <f t="shared" si="26"/>
        <v>20.192307692307693</v>
      </c>
      <c r="AQ28" s="66">
        <f t="shared" si="27"/>
        <v>2.5240384615384617</v>
      </c>
      <c r="AR28" s="69">
        <f t="shared" si="31"/>
        <v>105</v>
      </c>
      <c r="AS28" s="66">
        <f t="shared" si="32"/>
        <v>4.0384615384615383</v>
      </c>
      <c r="AT28" s="67">
        <f t="shared" si="33"/>
        <v>0.50480769230769229</v>
      </c>
      <c r="AU28" s="72">
        <f t="shared" si="28"/>
        <v>7294.5680555555555</v>
      </c>
      <c r="AV28" s="51">
        <f t="shared" si="29"/>
        <v>280.5603098290598</v>
      </c>
      <c r="AW28" s="73">
        <f t="shared" si="30"/>
        <v>35.070038728632476</v>
      </c>
    </row>
    <row r="29" spans="2:49" ht="81.75" customHeight="1" x14ac:dyDescent="0.25">
      <c r="B29" s="62" t="s">
        <v>713</v>
      </c>
      <c r="C29" s="63" t="str">
        <f>VLOOKUP(B29,'Equip. List CSI'!$K$4:$N$159,4,0)</f>
        <v>02100405</v>
      </c>
      <c r="D29" s="106" t="s">
        <v>796</v>
      </c>
      <c r="E29" s="105" t="s">
        <v>752</v>
      </c>
      <c r="F29" s="64">
        <v>49473</v>
      </c>
      <c r="G29" s="65">
        <f t="shared" si="6"/>
        <v>4947.3</v>
      </c>
      <c r="H29" s="63">
        <v>60</v>
      </c>
      <c r="I29" s="66">
        <f t="shared" si="7"/>
        <v>742.09499999999991</v>
      </c>
      <c r="J29" s="66">
        <f t="shared" si="8"/>
        <v>28.542115384615382</v>
      </c>
      <c r="K29" s="67">
        <f t="shared" si="9"/>
        <v>3.5677644230769228</v>
      </c>
      <c r="L29" s="62" t="s">
        <v>808</v>
      </c>
      <c r="M29" s="69">
        <f>VLOOKUP(L29,'Manual Manpower Database'!$G$5:$AY$160,45,0)</f>
        <v>2266.8055555555561</v>
      </c>
      <c r="N29" s="66">
        <f t="shared" si="10"/>
        <v>87.184829059829084</v>
      </c>
      <c r="O29" s="67">
        <f t="shared" si="11"/>
        <v>10.898103632478636</v>
      </c>
      <c r="P29" s="68" t="s">
        <v>870</v>
      </c>
      <c r="Q29" s="63">
        <f t="shared" si="12"/>
        <v>0.17</v>
      </c>
      <c r="R29" s="63">
        <v>7</v>
      </c>
      <c r="S29" s="63">
        <f t="shared" si="13"/>
        <v>0.54</v>
      </c>
      <c r="T29" s="63">
        <f t="shared" si="14"/>
        <v>0.84</v>
      </c>
      <c r="U29" s="66" t="str">
        <f t="shared" si="15"/>
        <v/>
      </c>
      <c r="V29" s="66">
        <f t="shared" si="16"/>
        <v>0.53978400000000015</v>
      </c>
      <c r="W29" s="63">
        <v>0.6</v>
      </c>
      <c r="X29" s="63">
        <v>0.45</v>
      </c>
      <c r="Y29" s="63">
        <f t="shared" si="17"/>
        <v>0</v>
      </c>
      <c r="Z29" s="66">
        <f t="shared" si="18"/>
        <v>0</v>
      </c>
      <c r="AA29" s="66">
        <f t="shared" si="19"/>
        <v>0</v>
      </c>
      <c r="AB29" s="63">
        <f t="shared" si="20"/>
        <v>7.6500000000000012E-2</v>
      </c>
      <c r="AC29" s="63">
        <f t="shared" si="21"/>
        <v>0.6120000000000001</v>
      </c>
      <c r="AD29" s="63">
        <f t="shared" si="22"/>
        <v>15.912000000000003</v>
      </c>
      <c r="AE29" s="63">
        <f t="shared" si="34"/>
        <v>5.2499999999999995E-3</v>
      </c>
      <c r="AF29" s="63">
        <f t="shared" si="35"/>
        <v>2.6249999999999997E-3</v>
      </c>
      <c r="AG29" s="63">
        <f t="shared" si="36"/>
        <v>1.75E-3</v>
      </c>
      <c r="AH29" s="63">
        <f t="shared" si="37"/>
        <v>8.7500000000000002E-4</v>
      </c>
      <c r="AI29" s="63">
        <f t="shared" si="23"/>
        <v>1.0500000000000001E-2</v>
      </c>
      <c r="AJ29" s="63">
        <v>0.5</v>
      </c>
      <c r="AK29" s="63">
        <f t="shared" si="4"/>
        <v>6.5625000000000006E-3</v>
      </c>
      <c r="AL29" s="63">
        <f t="shared" si="24"/>
        <v>5.2500000000000005E-2</v>
      </c>
      <c r="AM29" s="104">
        <f t="shared" si="25"/>
        <v>1.3650000000000002</v>
      </c>
      <c r="AN29" s="62">
        <v>1</v>
      </c>
      <c r="AO29" s="66">
        <f t="shared" si="5"/>
        <v>742.09499999999991</v>
      </c>
      <c r="AP29" s="66">
        <f t="shared" si="26"/>
        <v>28.542115384615382</v>
      </c>
      <c r="AQ29" s="66">
        <f t="shared" si="27"/>
        <v>3.5677644230769228</v>
      </c>
      <c r="AR29" s="69"/>
      <c r="AS29" s="66"/>
      <c r="AT29" s="67"/>
      <c r="AU29" s="72">
        <f t="shared" si="28"/>
        <v>3752.3605555555555</v>
      </c>
      <c r="AV29" s="51">
        <f t="shared" si="29"/>
        <v>144.93355982905985</v>
      </c>
      <c r="AW29" s="73">
        <f t="shared" si="30"/>
        <v>18.116694978632481</v>
      </c>
    </row>
    <row r="30" spans="2:49" ht="81.75" customHeight="1" x14ac:dyDescent="0.25">
      <c r="B30" s="62" t="s">
        <v>713</v>
      </c>
      <c r="C30" s="63" t="str">
        <f>VLOOKUP(B30,'Equip. List CSI'!$K$4:$N$159,4,0)</f>
        <v>02100405</v>
      </c>
      <c r="D30" s="106" t="s">
        <v>797</v>
      </c>
      <c r="E30" s="105" t="s">
        <v>753</v>
      </c>
      <c r="F30" s="64">
        <v>52920</v>
      </c>
      <c r="G30" s="65">
        <f t="shared" si="6"/>
        <v>5292</v>
      </c>
      <c r="H30" s="63">
        <v>60</v>
      </c>
      <c r="I30" s="66">
        <f t="shared" si="7"/>
        <v>793.8</v>
      </c>
      <c r="J30" s="66">
        <f t="shared" si="8"/>
        <v>30.530769230769231</v>
      </c>
      <c r="K30" s="67">
        <f t="shared" si="9"/>
        <v>3.8163461538461538</v>
      </c>
      <c r="L30" s="62" t="s">
        <v>808</v>
      </c>
      <c r="M30" s="69">
        <f>VLOOKUP(L30,'Manual Manpower Database'!$G$5:$AY$160,45,0)</f>
        <v>2266.8055555555561</v>
      </c>
      <c r="N30" s="66">
        <f t="shared" si="10"/>
        <v>87.184829059829084</v>
      </c>
      <c r="O30" s="67">
        <f t="shared" si="11"/>
        <v>10.898103632478636</v>
      </c>
      <c r="P30" s="68" t="s">
        <v>870</v>
      </c>
      <c r="Q30" s="63">
        <f t="shared" si="12"/>
        <v>0.17</v>
      </c>
      <c r="R30" s="63">
        <v>7</v>
      </c>
      <c r="S30" s="63">
        <f t="shared" si="13"/>
        <v>0.54</v>
      </c>
      <c r="T30" s="63">
        <f t="shared" si="14"/>
        <v>0.84</v>
      </c>
      <c r="U30" s="66" t="str">
        <f t="shared" si="15"/>
        <v/>
      </c>
      <c r="V30" s="66">
        <f t="shared" si="16"/>
        <v>0.53978400000000015</v>
      </c>
      <c r="W30" s="63">
        <v>0.6</v>
      </c>
      <c r="X30" s="63">
        <v>0.45</v>
      </c>
      <c r="Y30" s="63">
        <f t="shared" si="17"/>
        <v>0</v>
      </c>
      <c r="Z30" s="66">
        <f t="shared" si="18"/>
        <v>0</v>
      </c>
      <c r="AA30" s="66">
        <f t="shared" si="19"/>
        <v>0</v>
      </c>
      <c r="AB30" s="63">
        <f t="shared" si="20"/>
        <v>7.6500000000000012E-2</v>
      </c>
      <c r="AC30" s="63">
        <f t="shared" si="21"/>
        <v>0.6120000000000001</v>
      </c>
      <c r="AD30" s="63">
        <f t="shared" si="22"/>
        <v>15.912000000000003</v>
      </c>
      <c r="AE30" s="63">
        <f t="shared" si="34"/>
        <v>5.2499999999999995E-3</v>
      </c>
      <c r="AF30" s="63">
        <f t="shared" si="35"/>
        <v>2.6249999999999997E-3</v>
      </c>
      <c r="AG30" s="63">
        <f t="shared" si="36"/>
        <v>1.75E-3</v>
      </c>
      <c r="AH30" s="63">
        <f t="shared" si="37"/>
        <v>8.7500000000000002E-4</v>
      </c>
      <c r="AI30" s="63">
        <f t="shared" si="23"/>
        <v>1.0500000000000001E-2</v>
      </c>
      <c r="AJ30" s="63">
        <v>0.5</v>
      </c>
      <c r="AK30" s="63">
        <f t="shared" si="4"/>
        <v>6.5625000000000006E-3</v>
      </c>
      <c r="AL30" s="63">
        <f t="shared" si="24"/>
        <v>5.2500000000000005E-2</v>
      </c>
      <c r="AM30" s="104">
        <f t="shared" si="25"/>
        <v>1.3650000000000002</v>
      </c>
      <c r="AN30" s="62">
        <v>1</v>
      </c>
      <c r="AO30" s="66">
        <f t="shared" si="5"/>
        <v>793.8</v>
      </c>
      <c r="AP30" s="66">
        <f t="shared" si="26"/>
        <v>30.530769230769231</v>
      </c>
      <c r="AQ30" s="66">
        <f t="shared" si="27"/>
        <v>3.8163461538461538</v>
      </c>
      <c r="AR30" s="69"/>
      <c r="AS30" s="66"/>
      <c r="AT30" s="67"/>
      <c r="AU30" s="72">
        <f t="shared" si="28"/>
        <v>3855.7705555555558</v>
      </c>
      <c r="AV30" s="51">
        <f t="shared" si="29"/>
        <v>148.91086752136755</v>
      </c>
      <c r="AW30" s="73">
        <f t="shared" si="30"/>
        <v>18.61385844017094</v>
      </c>
    </row>
    <row r="31" spans="2:49" ht="81.75" customHeight="1" x14ac:dyDescent="0.25">
      <c r="B31" s="62" t="s">
        <v>713</v>
      </c>
      <c r="C31" s="63" t="str">
        <f>VLOOKUP(B31,'Equip. List CSI'!$K$4:$N$159,4,0)</f>
        <v>02100405</v>
      </c>
      <c r="D31" s="106" t="s">
        <v>798</v>
      </c>
      <c r="E31" s="105" t="s">
        <v>754</v>
      </c>
      <c r="F31" s="64">
        <v>89000</v>
      </c>
      <c r="G31" s="65">
        <f t="shared" si="6"/>
        <v>8900</v>
      </c>
      <c r="H31" s="63">
        <v>60</v>
      </c>
      <c r="I31" s="66">
        <f t="shared" si="7"/>
        <v>1335</v>
      </c>
      <c r="J31" s="66">
        <f t="shared" si="8"/>
        <v>51.346153846153847</v>
      </c>
      <c r="K31" s="67">
        <f t="shared" si="9"/>
        <v>6.4182692307692308</v>
      </c>
      <c r="L31" s="62" t="s">
        <v>808</v>
      </c>
      <c r="M31" s="69">
        <f>VLOOKUP(L31,'Manual Manpower Database'!$G$5:$AY$160,45,0)</f>
        <v>2266.8055555555561</v>
      </c>
      <c r="N31" s="66">
        <f t="shared" si="10"/>
        <v>87.184829059829084</v>
      </c>
      <c r="O31" s="67">
        <f t="shared" si="11"/>
        <v>10.898103632478636</v>
      </c>
      <c r="P31" s="68" t="s">
        <v>870</v>
      </c>
      <c r="Q31" s="63">
        <f t="shared" si="12"/>
        <v>0.17</v>
      </c>
      <c r="R31" s="63">
        <v>7</v>
      </c>
      <c r="S31" s="63">
        <f t="shared" si="13"/>
        <v>0.54</v>
      </c>
      <c r="T31" s="63">
        <f t="shared" si="14"/>
        <v>0.84</v>
      </c>
      <c r="U31" s="66" t="str">
        <f t="shared" si="15"/>
        <v/>
      </c>
      <c r="V31" s="66">
        <f t="shared" si="16"/>
        <v>0.53978400000000015</v>
      </c>
      <c r="W31" s="63">
        <v>0.6</v>
      </c>
      <c r="X31" s="63">
        <v>0.45</v>
      </c>
      <c r="Y31" s="63">
        <f t="shared" si="17"/>
        <v>0</v>
      </c>
      <c r="Z31" s="66">
        <f t="shared" si="18"/>
        <v>0</v>
      </c>
      <c r="AA31" s="66">
        <f t="shared" si="19"/>
        <v>0</v>
      </c>
      <c r="AB31" s="63">
        <f t="shared" si="20"/>
        <v>7.6500000000000012E-2</v>
      </c>
      <c r="AC31" s="63">
        <f t="shared" si="21"/>
        <v>0.6120000000000001</v>
      </c>
      <c r="AD31" s="63">
        <f t="shared" si="22"/>
        <v>15.912000000000003</v>
      </c>
      <c r="AE31" s="63">
        <f t="shared" si="34"/>
        <v>5.2499999999999995E-3</v>
      </c>
      <c r="AF31" s="63">
        <f t="shared" si="35"/>
        <v>2.6249999999999997E-3</v>
      </c>
      <c r="AG31" s="63">
        <f t="shared" si="36"/>
        <v>1.75E-3</v>
      </c>
      <c r="AH31" s="63">
        <f t="shared" si="37"/>
        <v>8.7500000000000002E-4</v>
      </c>
      <c r="AI31" s="63">
        <f t="shared" si="23"/>
        <v>1.0500000000000001E-2</v>
      </c>
      <c r="AJ31" s="63">
        <v>0.5</v>
      </c>
      <c r="AK31" s="63">
        <f t="shared" si="4"/>
        <v>6.5625000000000006E-3</v>
      </c>
      <c r="AL31" s="63">
        <f t="shared" si="24"/>
        <v>5.2500000000000005E-2</v>
      </c>
      <c r="AM31" s="104">
        <f t="shared" si="25"/>
        <v>1.3650000000000002</v>
      </c>
      <c r="AN31" s="62">
        <v>1</v>
      </c>
      <c r="AO31" s="66">
        <f t="shared" si="5"/>
        <v>1335</v>
      </c>
      <c r="AP31" s="66">
        <f t="shared" si="26"/>
        <v>51.346153846153847</v>
      </c>
      <c r="AQ31" s="66">
        <f t="shared" si="27"/>
        <v>6.4182692307692308</v>
      </c>
      <c r="AR31" s="69"/>
      <c r="AS31" s="66"/>
      <c r="AT31" s="67"/>
      <c r="AU31" s="72">
        <f t="shared" si="28"/>
        <v>4938.1705555555563</v>
      </c>
      <c r="AV31" s="51">
        <f t="shared" si="29"/>
        <v>190.54163675213678</v>
      </c>
      <c r="AW31" s="73">
        <f t="shared" si="30"/>
        <v>23.817704594017098</v>
      </c>
    </row>
    <row r="32" spans="2:49" ht="70.5" customHeight="1" x14ac:dyDescent="0.25">
      <c r="B32" s="62" t="s">
        <v>694</v>
      </c>
      <c r="C32" s="63" t="str">
        <f>VLOOKUP(B32,'Equip. List CSI'!$K$4:$N$159,4,0)</f>
        <v>02300430</v>
      </c>
      <c r="D32" s="106" t="s">
        <v>796</v>
      </c>
      <c r="E32" s="105" t="s">
        <v>755</v>
      </c>
      <c r="F32" s="64">
        <v>68000</v>
      </c>
      <c r="G32" s="65">
        <f t="shared" si="6"/>
        <v>6800</v>
      </c>
      <c r="H32" s="63">
        <v>60</v>
      </c>
      <c r="I32" s="66">
        <f t="shared" si="7"/>
        <v>1020</v>
      </c>
      <c r="J32" s="66">
        <f t="shared" si="8"/>
        <v>39.230769230769234</v>
      </c>
      <c r="K32" s="67">
        <f t="shared" si="9"/>
        <v>4.9038461538461542</v>
      </c>
      <c r="L32" s="62" t="s">
        <v>809</v>
      </c>
      <c r="M32" s="69">
        <f>VLOOKUP(L32,'Manual Manpower Database'!$G$5:$AY$160,45,0)</f>
        <v>1447.5793964646466</v>
      </c>
      <c r="N32" s="66">
        <f t="shared" si="10"/>
        <v>55.676130633255639</v>
      </c>
      <c r="O32" s="67">
        <f t="shared" si="11"/>
        <v>6.9595163291569548</v>
      </c>
      <c r="P32" s="68" t="s">
        <v>870</v>
      </c>
      <c r="Q32" s="63">
        <f t="shared" si="12"/>
        <v>0.17</v>
      </c>
      <c r="R32" s="63">
        <v>50</v>
      </c>
      <c r="S32" s="63">
        <f t="shared" si="13"/>
        <v>0.54</v>
      </c>
      <c r="T32" s="63">
        <f t="shared" si="14"/>
        <v>0.84</v>
      </c>
      <c r="U32" s="66" t="str">
        <f t="shared" si="15"/>
        <v/>
      </c>
      <c r="V32" s="66">
        <f t="shared" si="16"/>
        <v>3.8555999999999999</v>
      </c>
      <c r="W32" s="63">
        <v>0.6</v>
      </c>
      <c r="X32" s="63">
        <v>0.45</v>
      </c>
      <c r="Y32" s="63">
        <f t="shared" si="17"/>
        <v>0</v>
      </c>
      <c r="Z32" s="66">
        <f t="shared" si="18"/>
        <v>0</v>
      </c>
      <c r="AA32" s="66">
        <f t="shared" si="19"/>
        <v>0</v>
      </c>
      <c r="AB32" s="63">
        <f t="shared" si="20"/>
        <v>7.6500000000000012E-2</v>
      </c>
      <c r="AC32" s="63">
        <f t="shared" si="21"/>
        <v>0.6120000000000001</v>
      </c>
      <c r="AD32" s="63">
        <f t="shared" si="22"/>
        <v>15.912000000000003</v>
      </c>
      <c r="AE32" s="63">
        <f t="shared" si="34"/>
        <v>3.7499999999999999E-2</v>
      </c>
      <c r="AF32" s="63">
        <f t="shared" si="35"/>
        <v>1.8749999999999999E-2</v>
      </c>
      <c r="AG32" s="63">
        <f t="shared" si="36"/>
        <v>1.2500000000000001E-2</v>
      </c>
      <c r="AH32" s="63">
        <f t="shared" si="37"/>
        <v>6.2500000000000003E-3</v>
      </c>
      <c r="AI32" s="63">
        <f t="shared" si="23"/>
        <v>7.4999999999999997E-2</v>
      </c>
      <c r="AJ32" s="63">
        <v>0.5</v>
      </c>
      <c r="AK32" s="63">
        <f t="shared" si="4"/>
        <v>4.6875E-2</v>
      </c>
      <c r="AL32" s="63">
        <f t="shared" si="24"/>
        <v>0.375</v>
      </c>
      <c r="AM32" s="104">
        <f t="shared" si="25"/>
        <v>9.75</v>
      </c>
      <c r="AN32" s="62">
        <v>1</v>
      </c>
      <c r="AO32" s="66">
        <f t="shared" si="5"/>
        <v>1020</v>
      </c>
      <c r="AP32" s="66">
        <f t="shared" si="26"/>
        <v>39.230769230769234</v>
      </c>
      <c r="AQ32" s="66">
        <f t="shared" si="27"/>
        <v>4.9038461538461542</v>
      </c>
      <c r="AR32" s="69"/>
      <c r="AS32" s="66"/>
      <c r="AT32" s="67"/>
      <c r="AU32" s="72">
        <f t="shared" si="28"/>
        <v>3497.3293964646464</v>
      </c>
      <c r="AV32" s="51">
        <f t="shared" si="29"/>
        <v>135.12466909479409</v>
      </c>
      <c r="AW32" s="73">
        <f t="shared" si="30"/>
        <v>16.890583636849261</v>
      </c>
    </row>
    <row r="33" spans="2:49" ht="70.5" customHeight="1" x14ac:dyDescent="0.25">
      <c r="B33" s="62" t="s">
        <v>694</v>
      </c>
      <c r="C33" s="63" t="str">
        <f>VLOOKUP(B33,'Equip. List CSI'!$K$4:$N$159,4,0)</f>
        <v>02300430</v>
      </c>
      <c r="D33" s="106" t="s">
        <v>797</v>
      </c>
      <c r="E33" s="105" t="s">
        <v>756</v>
      </c>
      <c r="F33" s="64">
        <v>88400</v>
      </c>
      <c r="G33" s="65">
        <f t="shared" si="6"/>
        <v>8840</v>
      </c>
      <c r="H33" s="63">
        <v>60</v>
      </c>
      <c r="I33" s="66">
        <f t="shared" si="7"/>
        <v>1326</v>
      </c>
      <c r="J33" s="66">
        <f t="shared" si="8"/>
        <v>51</v>
      </c>
      <c r="K33" s="67">
        <f t="shared" si="9"/>
        <v>6.375</v>
      </c>
      <c r="L33" s="62" t="s">
        <v>809</v>
      </c>
      <c r="M33" s="69">
        <f>VLOOKUP(L33,'Manual Manpower Database'!$G$5:$AY$160,45,0)</f>
        <v>1447.5793964646466</v>
      </c>
      <c r="N33" s="66">
        <f t="shared" si="10"/>
        <v>55.676130633255639</v>
      </c>
      <c r="O33" s="67">
        <f t="shared" si="11"/>
        <v>6.9595163291569548</v>
      </c>
      <c r="P33" s="68" t="s">
        <v>870</v>
      </c>
      <c r="Q33" s="63">
        <f t="shared" si="12"/>
        <v>0.17</v>
      </c>
      <c r="R33" s="63">
        <v>60</v>
      </c>
      <c r="S33" s="63">
        <f t="shared" si="13"/>
        <v>0.54</v>
      </c>
      <c r="T33" s="63">
        <f t="shared" si="14"/>
        <v>0.84</v>
      </c>
      <c r="U33" s="66" t="str">
        <f t="shared" si="15"/>
        <v/>
      </c>
      <c r="V33" s="66">
        <f t="shared" si="16"/>
        <v>4.6267200000000006</v>
      </c>
      <c r="W33" s="63">
        <v>0.6</v>
      </c>
      <c r="X33" s="63">
        <v>0.45</v>
      </c>
      <c r="Y33" s="63">
        <f t="shared" si="17"/>
        <v>0</v>
      </c>
      <c r="Z33" s="66">
        <f t="shared" si="18"/>
        <v>0</v>
      </c>
      <c r="AA33" s="66">
        <f t="shared" si="19"/>
        <v>0</v>
      </c>
      <c r="AB33" s="63">
        <f t="shared" si="20"/>
        <v>7.6500000000000012E-2</v>
      </c>
      <c r="AC33" s="63">
        <f t="shared" si="21"/>
        <v>0.6120000000000001</v>
      </c>
      <c r="AD33" s="63">
        <f t="shared" si="22"/>
        <v>15.912000000000003</v>
      </c>
      <c r="AE33" s="63">
        <f t="shared" si="34"/>
        <v>4.4999999999999998E-2</v>
      </c>
      <c r="AF33" s="63">
        <f t="shared" si="35"/>
        <v>2.2499999999999999E-2</v>
      </c>
      <c r="AG33" s="63">
        <f t="shared" si="36"/>
        <v>1.4999999999999999E-2</v>
      </c>
      <c r="AH33" s="63">
        <f t="shared" si="37"/>
        <v>7.4999999999999997E-3</v>
      </c>
      <c r="AI33" s="63">
        <f t="shared" si="23"/>
        <v>0.09</v>
      </c>
      <c r="AJ33" s="63">
        <v>0.5</v>
      </c>
      <c r="AK33" s="63">
        <f t="shared" si="4"/>
        <v>5.6249999999999994E-2</v>
      </c>
      <c r="AL33" s="63">
        <f t="shared" si="24"/>
        <v>0.44999999999999996</v>
      </c>
      <c r="AM33" s="104">
        <f t="shared" si="25"/>
        <v>11.7</v>
      </c>
      <c r="AN33" s="62">
        <v>1</v>
      </c>
      <c r="AO33" s="66">
        <f t="shared" si="5"/>
        <v>1326</v>
      </c>
      <c r="AP33" s="66">
        <f t="shared" si="26"/>
        <v>51</v>
      </c>
      <c r="AQ33" s="66">
        <f t="shared" si="27"/>
        <v>6.375</v>
      </c>
      <c r="AR33" s="69"/>
      <c r="AS33" s="66"/>
      <c r="AT33" s="67"/>
      <c r="AU33" s="72">
        <f t="shared" si="28"/>
        <v>4111.2793964646462</v>
      </c>
      <c r="AV33" s="51">
        <f t="shared" si="29"/>
        <v>158.73813063325562</v>
      </c>
      <c r="AW33" s="73">
        <f t="shared" si="30"/>
        <v>19.842266329156956</v>
      </c>
    </row>
    <row r="34" spans="2:49" ht="70.5" customHeight="1" x14ac:dyDescent="0.25">
      <c r="B34" s="62" t="s">
        <v>695</v>
      </c>
      <c r="C34" s="63" t="str">
        <f>VLOOKUP(B34,'Equip. List CSI'!$K$4:$N$159,4,0)</f>
        <v>02700435</v>
      </c>
      <c r="D34" s="106" t="s">
        <v>796</v>
      </c>
      <c r="E34" s="105" t="s">
        <v>757</v>
      </c>
      <c r="F34" s="64">
        <v>880000</v>
      </c>
      <c r="G34" s="65">
        <f t="shared" si="6"/>
        <v>88000</v>
      </c>
      <c r="H34" s="63">
        <v>92</v>
      </c>
      <c r="I34" s="66">
        <f t="shared" si="7"/>
        <v>8608.6956521739139</v>
      </c>
      <c r="J34" s="66">
        <f t="shared" si="8"/>
        <v>331.10367892976592</v>
      </c>
      <c r="K34" s="67">
        <f t="shared" si="9"/>
        <v>41.38795986622074</v>
      </c>
      <c r="L34" s="62" t="s">
        <v>810</v>
      </c>
      <c r="M34" s="69">
        <f>VLOOKUP(L34,'Manual Manpower Database'!$G$5:$AY$160,45,0)</f>
        <v>1942.0555555555557</v>
      </c>
      <c r="N34" s="66">
        <f t="shared" si="10"/>
        <v>74.694444444444443</v>
      </c>
      <c r="O34" s="67">
        <f t="shared" si="11"/>
        <v>9.3368055555555554</v>
      </c>
      <c r="P34" s="68" t="s">
        <v>869</v>
      </c>
      <c r="Q34" s="63">
        <f t="shared" si="12"/>
        <v>0.21</v>
      </c>
      <c r="R34" s="63">
        <v>200</v>
      </c>
      <c r="S34" s="63">
        <f t="shared" si="13"/>
        <v>0.54</v>
      </c>
      <c r="T34" s="63">
        <f t="shared" si="14"/>
        <v>0.72</v>
      </c>
      <c r="U34" s="66">
        <f t="shared" si="15"/>
        <v>31.5</v>
      </c>
      <c r="V34" s="63" t="str">
        <f t="shared" si="16"/>
        <v/>
      </c>
      <c r="W34" s="63">
        <v>0.6</v>
      </c>
      <c r="X34" s="63">
        <v>0.45</v>
      </c>
      <c r="Y34" s="63">
        <f t="shared" si="17"/>
        <v>18.899999999999999</v>
      </c>
      <c r="Z34" s="66">
        <f t="shared" si="18"/>
        <v>151.19999999999999</v>
      </c>
      <c r="AA34" s="66">
        <f t="shared" si="19"/>
        <v>3931.2</v>
      </c>
      <c r="AB34" s="63">
        <f t="shared" si="20"/>
        <v>0</v>
      </c>
      <c r="AC34" s="63">
        <f t="shared" si="21"/>
        <v>0</v>
      </c>
      <c r="AD34" s="63">
        <f t="shared" si="22"/>
        <v>0</v>
      </c>
      <c r="AE34" s="63">
        <f t="shared" si="34"/>
        <v>0.15</v>
      </c>
      <c r="AF34" s="63">
        <f t="shared" si="35"/>
        <v>7.4999999999999997E-2</v>
      </c>
      <c r="AG34" s="63">
        <f t="shared" si="36"/>
        <v>0.05</v>
      </c>
      <c r="AH34" s="63">
        <f t="shared" si="37"/>
        <v>2.5000000000000001E-2</v>
      </c>
      <c r="AI34" s="63">
        <f t="shared" si="23"/>
        <v>0.3</v>
      </c>
      <c r="AJ34" s="63">
        <v>0.5</v>
      </c>
      <c r="AK34" s="63">
        <f t="shared" si="4"/>
        <v>0.1875</v>
      </c>
      <c r="AL34" s="63">
        <f t="shared" si="24"/>
        <v>1.5</v>
      </c>
      <c r="AM34" s="104">
        <f t="shared" si="25"/>
        <v>39</v>
      </c>
      <c r="AN34" s="62">
        <v>1</v>
      </c>
      <c r="AO34" s="66">
        <f t="shared" si="5"/>
        <v>8608.6956521739139</v>
      </c>
      <c r="AP34" s="66">
        <f t="shared" si="26"/>
        <v>331.10367892976592</v>
      </c>
      <c r="AQ34" s="66">
        <f t="shared" si="27"/>
        <v>41.38795986622074</v>
      </c>
      <c r="AR34" s="69">
        <f t="shared" si="31"/>
        <v>860.86956521739148</v>
      </c>
      <c r="AS34" s="66">
        <f t="shared" si="32"/>
        <v>33.110367892976598</v>
      </c>
      <c r="AT34" s="67">
        <f t="shared" si="33"/>
        <v>4.1387959866220747</v>
      </c>
      <c r="AU34" s="72">
        <f t="shared" si="28"/>
        <v>23990.516425120775</v>
      </c>
      <c r="AV34" s="51">
        <f t="shared" si="29"/>
        <v>922.7121701969528</v>
      </c>
      <c r="AW34" s="73">
        <f t="shared" si="30"/>
        <v>115.3390212746191</v>
      </c>
    </row>
    <row r="35" spans="2:49" ht="70.5" customHeight="1" x14ac:dyDescent="0.25">
      <c r="B35" s="62" t="s">
        <v>695</v>
      </c>
      <c r="C35" s="63" t="str">
        <f>VLOOKUP(B35,'Equip. List CSI'!$K$4:$N$159,4,0)</f>
        <v>02700435</v>
      </c>
      <c r="D35" s="106" t="s">
        <v>797</v>
      </c>
      <c r="E35" s="105" t="s">
        <v>758</v>
      </c>
      <c r="F35" s="64">
        <v>900469</v>
      </c>
      <c r="G35" s="65">
        <f t="shared" si="6"/>
        <v>90046.900000000009</v>
      </c>
      <c r="H35" s="63">
        <v>92</v>
      </c>
      <c r="I35" s="66">
        <f t="shared" si="7"/>
        <v>8808.9358695652172</v>
      </c>
      <c r="J35" s="66">
        <f t="shared" si="8"/>
        <v>338.80522575250836</v>
      </c>
      <c r="K35" s="67">
        <f t="shared" si="9"/>
        <v>42.350653219063545</v>
      </c>
      <c r="L35" s="62" t="s">
        <v>810</v>
      </c>
      <c r="M35" s="69">
        <f>VLOOKUP(L35,'Manual Manpower Database'!$G$5:$AY$160,45,0)</f>
        <v>1942.0555555555557</v>
      </c>
      <c r="N35" s="66">
        <f t="shared" si="10"/>
        <v>74.694444444444443</v>
      </c>
      <c r="O35" s="67">
        <f t="shared" si="11"/>
        <v>9.3368055555555554</v>
      </c>
      <c r="P35" s="68" t="s">
        <v>869</v>
      </c>
      <c r="Q35" s="63">
        <f t="shared" si="12"/>
        <v>0.21</v>
      </c>
      <c r="R35" s="63">
        <v>165</v>
      </c>
      <c r="S35" s="63">
        <f t="shared" si="13"/>
        <v>0.54</v>
      </c>
      <c r="T35" s="63">
        <f t="shared" si="14"/>
        <v>0.72</v>
      </c>
      <c r="U35" s="66">
        <f t="shared" si="15"/>
        <v>25.987500000000004</v>
      </c>
      <c r="V35" s="63" t="str">
        <f t="shared" si="16"/>
        <v/>
      </c>
      <c r="W35" s="63">
        <v>0.6</v>
      </c>
      <c r="X35" s="63">
        <v>0.45</v>
      </c>
      <c r="Y35" s="63">
        <f t="shared" si="17"/>
        <v>15.592500000000001</v>
      </c>
      <c r="Z35" s="66">
        <f t="shared" si="18"/>
        <v>124.74000000000001</v>
      </c>
      <c r="AA35" s="66">
        <f t="shared" si="19"/>
        <v>3243.2400000000002</v>
      </c>
      <c r="AB35" s="63">
        <f t="shared" si="20"/>
        <v>0</v>
      </c>
      <c r="AC35" s="63">
        <f t="shared" si="21"/>
        <v>0</v>
      </c>
      <c r="AD35" s="63">
        <f t="shared" si="22"/>
        <v>0</v>
      </c>
      <c r="AE35" s="63">
        <f t="shared" si="34"/>
        <v>0.12374999999999999</v>
      </c>
      <c r="AF35" s="63">
        <f t="shared" si="35"/>
        <v>6.1874999999999993E-2</v>
      </c>
      <c r="AG35" s="63">
        <f t="shared" si="36"/>
        <v>4.1250000000000002E-2</v>
      </c>
      <c r="AH35" s="63">
        <f t="shared" si="37"/>
        <v>2.0625000000000001E-2</v>
      </c>
      <c r="AI35" s="63">
        <f t="shared" si="23"/>
        <v>0.2475</v>
      </c>
      <c r="AJ35" s="63">
        <v>0.5</v>
      </c>
      <c r="AK35" s="63">
        <f t="shared" si="4"/>
        <v>0.15468750000000001</v>
      </c>
      <c r="AL35" s="63">
        <f t="shared" si="24"/>
        <v>1.2375</v>
      </c>
      <c r="AM35" s="104">
        <f t="shared" si="25"/>
        <v>32.175000000000004</v>
      </c>
      <c r="AN35" s="62">
        <v>1</v>
      </c>
      <c r="AO35" s="66">
        <f t="shared" si="5"/>
        <v>8808.9358695652172</v>
      </c>
      <c r="AP35" s="66">
        <f t="shared" si="26"/>
        <v>338.80522575250836</v>
      </c>
      <c r="AQ35" s="66">
        <f t="shared" si="27"/>
        <v>42.350653219063545</v>
      </c>
      <c r="AR35" s="69">
        <f t="shared" si="31"/>
        <v>880.89358695652174</v>
      </c>
      <c r="AS35" s="66">
        <f t="shared" si="32"/>
        <v>33.880522575250836</v>
      </c>
      <c r="AT35" s="67">
        <f t="shared" si="33"/>
        <v>4.2350653219063545</v>
      </c>
      <c r="AU35" s="72">
        <f t="shared" si="28"/>
        <v>23716.235881642511</v>
      </c>
      <c r="AV35" s="51">
        <f t="shared" si="29"/>
        <v>912.16291852471204</v>
      </c>
      <c r="AW35" s="73">
        <f t="shared" si="30"/>
        <v>114.02036481558901</v>
      </c>
    </row>
    <row r="36" spans="2:49" ht="70.5" customHeight="1" x14ac:dyDescent="0.25">
      <c r="B36" s="62" t="s">
        <v>695</v>
      </c>
      <c r="C36" s="63" t="str">
        <f>VLOOKUP(B36,'Equip. List CSI'!$K$4:$N$159,4,0)</f>
        <v>02700435</v>
      </c>
      <c r="D36" s="106" t="s">
        <v>798</v>
      </c>
      <c r="E36" s="105" t="s">
        <v>759</v>
      </c>
      <c r="F36" s="64">
        <v>1464475</v>
      </c>
      <c r="G36" s="65">
        <f t="shared" si="6"/>
        <v>146447.5</v>
      </c>
      <c r="H36" s="63">
        <v>92</v>
      </c>
      <c r="I36" s="66">
        <f t="shared" si="7"/>
        <v>14326.385869565218</v>
      </c>
      <c r="J36" s="66">
        <f t="shared" si="8"/>
        <v>551.01484113712377</v>
      </c>
      <c r="K36" s="67">
        <f t="shared" si="9"/>
        <v>68.876855142140471</v>
      </c>
      <c r="L36" s="62" t="s">
        <v>810</v>
      </c>
      <c r="M36" s="69">
        <f>VLOOKUP(L36,'Manual Manpower Database'!$G$5:$AY$160,45,0)</f>
        <v>1942.0555555555557</v>
      </c>
      <c r="N36" s="66">
        <f t="shared" si="10"/>
        <v>74.694444444444443</v>
      </c>
      <c r="O36" s="67">
        <f t="shared" si="11"/>
        <v>9.3368055555555554</v>
      </c>
      <c r="P36" s="68" t="s">
        <v>869</v>
      </c>
      <c r="Q36" s="63">
        <f t="shared" si="12"/>
        <v>0.21</v>
      </c>
      <c r="R36" s="63">
        <v>220</v>
      </c>
      <c r="S36" s="63">
        <f t="shared" si="13"/>
        <v>0.54</v>
      </c>
      <c r="T36" s="63">
        <f t="shared" si="14"/>
        <v>0.72</v>
      </c>
      <c r="U36" s="66">
        <f t="shared" si="15"/>
        <v>34.65</v>
      </c>
      <c r="V36" s="63" t="str">
        <f t="shared" si="16"/>
        <v/>
      </c>
      <c r="W36" s="63">
        <v>0.6</v>
      </c>
      <c r="X36" s="63">
        <v>0.45</v>
      </c>
      <c r="Y36" s="63">
        <f t="shared" si="17"/>
        <v>20.79</v>
      </c>
      <c r="Z36" s="66">
        <f t="shared" si="18"/>
        <v>166.32</v>
      </c>
      <c r="AA36" s="66">
        <f t="shared" si="19"/>
        <v>4324.32</v>
      </c>
      <c r="AB36" s="63">
        <f t="shared" si="20"/>
        <v>0</v>
      </c>
      <c r="AC36" s="63">
        <f t="shared" si="21"/>
        <v>0</v>
      </c>
      <c r="AD36" s="63">
        <f t="shared" si="22"/>
        <v>0</v>
      </c>
      <c r="AE36" s="63">
        <f t="shared" si="34"/>
        <v>0.16499999999999998</v>
      </c>
      <c r="AF36" s="63">
        <f t="shared" si="35"/>
        <v>8.249999999999999E-2</v>
      </c>
      <c r="AG36" s="63">
        <f t="shared" si="36"/>
        <v>5.5000000000000007E-2</v>
      </c>
      <c r="AH36" s="63">
        <f t="shared" si="37"/>
        <v>2.7500000000000004E-2</v>
      </c>
      <c r="AI36" s="63">
        <f t="shared" si="23"/>
        <v>0.33</v>
      </c>
      <c r="AJ36" s="63">
        <v>0.5</v>
      </c>
      <c r="AK36" s="63">
        <f t="shared" si="4"/>
        <v>0.20625000000000002</v>
      </c>
      <c r="AL36" s="63">
        <f t="shared" si="24"/>
        <v>1.6500000000000001</v>
      </c>
      <c r="AM36" s="104">
        <f t="shared" si="25"/>
        <v>42.900000000000006</v>
      </c>
      <c r="AN36" s="62">
        <v>1</v>
      </c>
      <c r="AO36" s="66">
        <f t="shared" si="5"/>
        <v>14326.385869565218</v>
      </c>
      <c r="AP36" s="66">
        <f t="shared" si="26"/>
        <v>551.01484113712377</v>
      </c>
      <c r="AQ36" s="66">
        <f t="shared" si="27"/>
        <v>68.876855142140471</v>
      </c>
      <c r="AR36" s="69">
        <f t="shared" si="31"/>
        <v>1432.638586956522</v>
      </c>
      <c r="AS36" s="66">
        <f t="shared" si="32"/>
        <v>55.101484113712381</v>
      </c>
      <c r="AT36" s="67">
        <f t="shared" si="33"/>
        <v>6.8876855142140476</v>
      </c>
      <c r="AU36" s="72">
        <f t="shared" si="28"/>
        <v>36394.685881642516</v>
      </c>
      <c r="AV36" s="51">
        <f t="shared" si="29"/>
        <v>1399.7956108324045</v>
      </c>
      <c r="AW36" s="73">
        <f t="shared" si="30"/>
        <v>174.97445135405056</v>
      </c>
    </row>
    <row r="37" spans="2:49" ht="70.5" customHeight="1" x14ac:dyDescent="0.25">
      <c r="B37" s="62" t="s">
        <v>697</v>
      </c>
      <c r="C37" s="63" t="str">
        <f>VLOOKUP(B37,'Equip. List CSI'!$K$4:$N$159,4,0)</f>
        <v>02700415</v>
      </c>
      <c r="D37" s="106" t="s">
        <v>796</v>
      </c>
      <c r="E37" s="105" t="s">
        <v>760</v>
      </c>
      <c r="F37" s="64">
        <v>114400</v>
      </c>
      <c r="G37" s="65">
        <f t="shared" si="6"/>
        <v>11440</v>
      </c>
      <c r="H37" s="63">
        <v>60</v>
      </c>
      <c r="I37" s="66">
        <f t="shared" si="7"/>
        <v>1716</v>
      </c>
      <c r="J37" s="66">
        <f t="shared" si="8"/>
        <v>66</v>
      </c>
      <c r="K37" s="67">
        <f t="shared" si="9"/>
        <v>8.25</v>
      </c>
      <c r="L37" s="62" t="s">
        <v>807</v>
      </c>
      <c r="M37" s="69">
        <f>VLOOKUP(L37,'Manual Manpower Database'!$G$5:$AY$160,45,0)</f>
        <v>1644.3680555555557</v>
      </c>
      <c r="N37" s="66">
        <f t="shared" si="10"/>
        <v>63.244925213675216</v>
      </c>
      <c r="O37" s="67">
        <f t="shared" si="11"/>
        <v>7.9056156517094021</v>
      </c>
      <c r="P37" s="68" t="s">
        <v>869</v>
      </c>
      <c r="Q37" s="63">
        <f t="shared" si="12"/>
        <v>0.21</v>
      </c>
      <c r="R37" s="63">
        <v>10</v>
      </c>
      <c r="S37" s="63">
        <f t="shared" si="13"/>
        <v>0.54</v>
      </c>
      <c r="T37" s="63">
        <f t="shared" si="14"/>
        <v>0.72</v>
      </c>
      <c r="U37" s="66">
        <f t="shared" si="15"/>
        <v>1.5750000000000002</v>
      </c>
      <c r="V37" s="63" t="str">
        <f t="shared" si="16"/>
        <v/>
      </c>
      <c r="W37" s="63">
        <v>0.6</v>
      </c>
      <c r="X37" s="63">
        <v>0.45</v>
      </c>
      <c r="Y37" s="63">
        <f t="shared" si="17"/>
        <v>0.94500000000000006</v>
      </c>
      <c r="Z37" s="66">
        <f t="shared" si="18"/>
        <v>7.5600000000000005</v>
      </c>
      <c r="AA37" s="66">
        <f t="shared" si="19"/>
        <v>196.56</v>
      </c>
      <c r="AB37" s="63">
        <f t="shared" si="20"/>
        <v>0</v>
      </c>
      <c r="AC37" s="63">
        <f t="shared" si="21"/>
        <v>0</v>
      </c>
      <c r="AD37" s="63">
        <f t="shared" si="22"/>
        <v>0</v>
      </c>
      <c r="AE37" s="63">
        <f t="shared" si="34"/>
        <v>7.4999999999999989E-3</v>
      </c>
      <c r="AF37" s="63">
        <f t="shared" si="35"/>
        <v>3.7499999999999994E-3</v>
      </c>
      <c r="AG37" s="63">
        <f t="shared" si="36"/>
        <v>2.5000000000000001E-3</v>
      </c>
      <c r="AH37" s="63">
        <f t="shared" si="37"/>
        <v>1.25E-3</v>
      </c>
      <c r="AI37" s="63">
        <f t="shared" si="23"/>
        <v>1.4999999999999998E-2</v>
      </c>
      <c r="AJ37" s="63">
        <v>0.5</v>
      </c>
      <c r="AK37" s="63">
        <f t="shared" si="4"/>
        <v>9.3749999999999979E-3</v>
      </c>
      <c r="AL37" s="63">
        <f t="shared" si="24"/>
        <v>7.4999999999999983E-2</v>
      </c>
      <c r="AM37" s="104">
        <f t="shared" si="25"/>
        <v>1.9499999999999995</v>
      </c>
      <c r="AN37" s="62">
        <v>0.5</v>
      </c>
      <c r="AO37" s="66">
        <f t="shared" si="5"/>
        <v>858</v>
      </c>
      <c r="AP37" s="66">
        <f t="shared" si="26"/>
        <v>33</v>
      </c>
      <c r="AQ37" s="66">
        <f t="shared" si="27"/>
        <v>4.125</v>
      </c>
      <c r="AR37" s="69">
        <f t="shared" si="31"/>
        <v>171.60000000000002</v>
      </c>
      <c r="AS37" s="66">
        <f t="shared" si="32"/>
        <v>6.6000000000000005</v>
      </c>
      <c r="AT37" s="67">
        <f t="shared" si="33"/>
        <v>0.82500000000000007</v>
      </c>
      <c r="AU37" s="72">
        <f t="shared" si="28"/>
        <v>4588.4780555555553</v>
      </c>
      <c r="AV37" s="51">
        <f t="shared" si="29"/>
        <v>176.47992521367522</v>
      </c>
      <c r="AW37" s="73">
        <f t="shared" si="30"/>
        <v>22.059990651709402</v>
      </c>
    </row>
    <row r="38" spans="2:49" ht="70.5" customHeight="1" x14ac:dyDescent="0.25">
      <c r="B38" s="62" t="s">
        <v>699</v>
      </c>
      <c r="C38" s="63" t="str">
        <f>VLOOKUP(B38,'Equip. List CSI'!$K$4:$N$159,4,0)</f>
        <v>02700420</v>
      </c>
      <c r="D38" s="106" t="s">
        <v>796</v>
      </c>
      <c r="E38" s="105" t="s">
        <v>760</v>
      </c>
      <c r="F38" s="64">
        <v>114400</v>
      </c>
      <c r="G38" s="65">
        <f t="shared" si="6"/>
        <v>11440</v>
      </c>
      <c r="H38" s="63">
        <v>60</v>
      </c>
      <c r="I38" s="66">
        <f t="shared" si="7"/>
        <v>1716</v>
      </c>
      <c r="J38" s="66">
        <f t="shared" si="8"/>
        <v>66</v>
      </c>
      <c r="K38" s="67">
        <f t="shared" si="9"/>
        <v>8.25</v>
      </c>
      <c r="L38" s="62" t="s">
        <v>807</v>
      </c>
      <c r="M38" s="69">
        <f>VLOOKUP(L38,'Manual Manpower Database'!$G$5:$AY$160,45,0)</f>
        <v>1644.3680555555557</v>
      </c>
      <c r="N38" s="66">
        <f t="shared" si="10"/>
        <v>63.244925213675216</v>
      </c>
      <c r="O38" s="67">
        <f t="shared" si="11"/>
        <v>7.9056156517094021</v>
      </c>
      <c r="P38" s="68" t="s">
        <v>869</v>
      </c>
      <c r="Q38" s="63">
        <f t="shared" si="12"/>
        <v>0.21</v>
      </c>
      <c r="R38" s="63">
        <v>10</v>
      </c>
      <c r="S38" s="63">
        <f t="shared" si="13"/>
        <v>0.54</v>
      </c>
      <c r="T38" s="63">
        <f t="shared" si="14"/>
        <v>0.72</v>
      </c>
      <c r="U38" s="66">
        <f t="shared" si="15"/>
        <v>1.5750000000000002</v>
      </c>
      <c r="V38" s="63" t="str">
        <f t="shared" si="16"/>
        <v/>
      </c>
      <c r="W38" s="63">
        <v>0.6</v>
      </c>
      <c r="X38" s="63">
        <v>0.45</v>
      </c>
      <c r="Y38" s="63">
        <f t="shared" si="17"/>
        <v>0.94500000000000006</v>
      </c>
      <c r="Z38" s="66">
        <f t="shared" si="18"/>
        <v>7.5600000000000005</v>
      </c>
      <c r="AA38" s="66">
        <f t="shared" si="19"/>
        <v>196.56</v>
      </c>
      <c r="AB38" s="63">
        <f t="shared" si="20"/>
        <v>0</v>
      </c>
      <c r="AC38" s="63">
        <f t="shared" si="21"/>
        <v>0</v>
      </c>
      <c r="AD38" s="63">
        <f t="shared" si="22"/>
        <v>0</v>
      </c>
      <c r="AE38" s="63">
        <f t="shared" si="34"/>
        <v>7.4999999999999989E-3</v>
      </c>
      <c r="AF38" s="63">
        <f t="shared" si="35"/>
        <v>3.7499999999999994E-3</v>
      </c>
      <c r="AG38" s="63">
        <f t="shared" si="36"/>
        <v>2.5000000000000001E-3</v>
      </c>
      <c r="AH38" s="63">
        <f t="shared" si="37"/>
        <v>1.25E-3</v>
      </c>
      <c r="AI38" s="63">
        <f t="shared" si="23"/>
        <v>1.4999999999999998E-2</v>
      </c>
      <c r="AJ38" s="63">
        <v>0.5</v>
      </c>
      <c r="AK38" s="63">
        <f t="shared" ref="AK38:AK69" si="38">(AJ38*AI38)*1.25</f>
        <v>9.3749999999999979E-3</v>
      </c>
      <c r="AL38" s="63">
        <f t="shared" si="24"/>
        <v>7.4999999999999983E-2</v>
      </c>
      <c r="AM38" s="104">
        <f t="shared" si="25"/>
        <v>1.9499999999999995</v>
      </c>
      <c r="AN38" s="62">
        <v>0.5</v>
      </c>
      <c r="AO38" s="66">
        <f t="shared" ref="AO38:AO68" si="39">AN38*I38</f>
        <v>858</v>
      </c>
      <c r="AP38" s="66">
        <f t="shared" si="26"/>
        <v>33</v>
      </c>
      <c r="AQ38" s="66">
        <f t="shared" si="27"/>
        <v>4.125</v>
      </c>
      <c r="AR38" s="69">
        <f t="shared" ref="AR38:AR71" si="40">10%*I38</f>
        <v>171.60000000000002</v>
      </c>
      <c r="AS38" s="66">
        <f t="shared" si="32"/>
        <v>6.6000000000000005</v>
      </c>
      <c r="AT38" s="67">
        <f t="shared" si="33"/>
        <v>0.82500000000000007</v>
      </c>
      <c r="AU38" s="72">
        <f t="shared" si="28"/>
        <v>4588.4780555555553</v>
      </c>
      <c r="AV38" s="51">
        <f t="shared" si="29"/>
        <v>176.47992521367522</v>
      </c>
      <c r="AW38" s="73">
        <f t="shared" si="30"/>
        <v>22.059990651709402</v>
      </c>
    </row>
    <row r="39" spans="2:49" ht="87" customHeight="1" x14ac:dyDescent="0.25">
      <c r="B39" s="62" t="s">
        <v>698</v>
      </c>
      <c r="C39" s="63" t="str">
        <f>VLOOKUP(B39,'Equip. List CSI'!$K$4:$N$159,4,0)</f>
        <v>02700425</v>
      </c>
      <c r="D39" s="106" t="s">
        <v>796</v>
      </c>
      <c r="E39" s="105" t="s">
        <v>761</v>
      </c>
      <c r="F39" s="64">
        <v>1190000</v>
      </c>
      <c r="G39" s="65">
        <f t="shared" si="6"/>
        <v>119000</v>
      </c>
      <c r="H39" s="63">
        <v>91</v>
      </c>
      <c r="I39" s="66">
        <f t="shared" si="7"/>
        <v>11769.23076923077</v>
      </c>
      <c r="J39" s="66">
        <f t="shared" si="8"/>
        <v>452.66272189349115</v>
      </c>
      <c r="K39" s="67">
        <f t="shared" si="9"/>
        <v>56.582840236686394</v>
      </c>
      <c r="L39" s="62" t="s">
        <v>811</v>
      </c>
      <c r="M39" s="69">
        <f>VLOOKUP(L39,'Manual Manpower Database'!$G$5:$AY$160,45,0)</f>
        <v>2784.4455555555555</v>
      </c>
      <c r="N39" s="66">
        <f t="shared" si="10"/>
        <v>107.09405982905983</v>
      </c>
      <c r="O39" s="67">
        <f t="shared" si="11"/>
        <v>13.386757478632479</v>
      </c>
      <c r="P39" s="68" t="s">
        <v>870</v>
      </c>
      <c r="Q39" s="63">
        <f t="shared" si="12"/>
        <v>0.17</v>
      </c>
      <c r="R39" s="63">
        <f>R41*2</f>
        <v>92</v>
      </c>
      <c r="S39" s="63">
        <f t="shared" si="13"/>
        <v>0.54</v>
      </c>
      <c r="T39" s="63">
        <f t="shared" si="14"/>
        <v>0.84</v>
      </c>
      <c r="U39" s="66" t="str">
        <f t="shared" si="15"/>
        <v/>
      </c>
      <c r="V39" s="66">
        <f t="shared" si="16"/>
        <v>7.0943040000000002</v>
      </c>
      <c r="W39" s="63">
        <v>0.6</v>
      </c>
      <c r="X39" s="63">
        <v>0.45</v>
      </c>
      <c r="Y39" s="63">
        <f t="shared" si="17"/>
        <v>0</v>
      </c>
      <c r="Z39" s="66">
        <f t="shared" si="18"/>
        <v>0</v>
      </c>
      <c r="AA39" s="66">
        <f t="shared" si="19"/>
        <v>0</v>
      </c>
      <c r="AB39" s="63">
        <f t="shared" si="20"/>
        <v>7.6500000000000012E-2</v>
      </c>
      <c r="AC39" s="63">
        <f t="shared" si="21"/>
        <v>0.6120000000000001</v>
      </c>
      <c r="AD39" s="63">
        <f t="shared" si="22"/>
        <v>15.912000000000003</v>
      </c>
      <c r="AE39" s="63">
        <f t="shared" si="34"/>
        <v>6.8999999999999992E-2</v>
      </c>
      <c r="AF39" s="63">
        <f t="shared" si="35"/>
        <v>3.4499999999999996E-2</v>
      </c>
      <c r="AG39" s="63">
        <f t="shared" si="36"/>
        <v>2.3E-2</v>
      </c>
      <c r="AH39" s="63">
        <f t="shared" si="37"/>
        <v>1.15E-2</v>
      </c>
      <c r="AI39" s="63">
        <f t="shared" si="23"/>
        <v>0.13799999999999998</v>
      </c>
      <c r="AJ39" s="63">
        <v>0.5</v>
      </c>
      <c r="AK39" s="63">
        <f t="shared" si="38"/>
        <v>8.6249999999999993E-2</v>
      </c>
      <c r="AL39" s="63">
        <f t="shared" si="24"/>
        <v>0.69</v>
      </c>
      <c r="AM39" s="104">
        <f t="shared" si="25"/>
        <v>17.939999999999998</v>
      </c>
      <c r="AN39" s="62">
        <v>1</v>
      </c>
      <c r="AO39" s="66">
        <f t="shared" si="39"/>
        <v>11769.23076923077</v>
      </c>
      <c r="AP39" s="66">
        <f t="shared" si="26"/>
        <v>452.66272189349115</v>
      </c>
      <c r="AQ39" s="66">
        <f t="shared" si="27"/>
        <v>56.582840236686394</v>
      </c>
      <c r="AR39" s="69"/>
      <c r="AS39" s="66"/>
      <c r="AT39" s="67"/>
      <c r="AU39" s="72">
        <f t="shared" si="28"/>
        <v>26340.847094017096</v>
      </c>
      <c r="AV39" s="51">
        <f t="shared" si="29"/>
        <v>1013.7215036160421</v>
      </c>
      <c r="AW39" s="73">
        <f t="shared" si="30"/>
        <v>126.71518795200527</v>
      </c>
    </row>
    <row r="40" spans="2:49" ht="87" customHeight="1" x14ac:dyDescent="0.25">
      <c r="B40" s="62" t="s">
        <v>698</v>
      </c>
      <c r="C40" s="63" t="str">
        <f>VLOOKUP(B40,'Equip. List CSI'!$K$4:$N$159,4,0)</f>
        <v>02700425</v>
      </c>
      <c r="D40" s="106" t="s">
        <v>797</v>
      </c>
      <c r="E40" s="105" t="s">
        <v>762</v>
      </c>
      <c r="F40" s="64">
        <v>190000</v>
      </c>
      <c r="G40" s="65">
        <f t="shared" si="6"/>
        <v>19000</v>
      </c>
      <c r="H40" s="63">
        <v>91</v>
      </c>
      <c r="I40" s="66">
        <f t="shared" si="7"/>
        <v>1879.1208791208792</v>
      </c>
      <c r="J40" s="66">
        <f t="shared" si="8"/>
        <v>72.273879966187664</v>
      </c>
      <c r="K40" s="67">
        <f t="shared" si="9"/>
        <v>9.034234995773458</v>
      </c>
      <c r="L40" s="62" t="s">
        <v>811</v>
      </c>
      <c r="M40" s="69">
        <f>VLOOKUP(L40,'Manual Manpower Database'!$G$5:$AY$160,45,0)</f>
        <v>2784.4455555555555</v>
      </c>
      <c r="N40" s="66">
        <f t="shared" si="10"/>
        <v>107.09405982905983</v>
      </c>
      <c r="O40" s="67">
        <f t="shared" si="11"/>
        <v>13.386757478632479</v>
      </c>
      <c r="P40" s="68" t="s">
        <v>869</v>
      </c>
      <c r="Q40" s="63">
        <f t="shared" si="12"/>
        <v>0.21</v>
      </c>
      <c r="R40" s="63">
        <v>36</v>
      </c>
      <c r="S40" s="63">
        <f t="shared" si="13"/>
        <v>0.54</v>
      </c>
      <c r="T40" s="63">
        <f t="shared" si="14"/>
        <v>0.72</v>
      </c>
      <c r="U40" s="66">
        <f t="shared" si="15"/>
        <v>5.67</v>
      </c>
      <c r="V40" s="63" t="str">
        <f t="shared" si="16"/>
        <v/>
      </c>
      <c r="W40" s="63">
        <v>0.6</v>
      </c>
      <c r="X40" s="63">
        <v>0.45</v>
      </c>
      <c r="Y40" s="63">
        <f t="shared" si="17"/>
        <v>3.4019999999999997</v>
      </c>
      <c r="Z40" s="66">
        <f t="shared" si="18"/>
        <v>27.215999999999998</v>
      </c>
      <c r="AA40" s="66">
        <f t="shared" si="19"/>
        <v>707.61599999999999</v>
      </c>
      <c r="AB40" s="63">
        <f t="shared" si="20"/>
        <v>0</v>
      </c>
      <c r="AC40" s="63">
        <f t="shared" si="21"/>
        <v>0</v>
      </c>
      <c r="AD40" s="63">
        <f t="shared" si="22"/>
        <v>0</v>
      </c>
      <c r="AE40" s="63">
        <f t="shared" si="34"/>
        <v>2.6999999999999996E-2</v>
      </c>
      <c r="AF40" s="63">
        <f t="shared" si="35"/>
        <v>1.3499999999999998E-2</v>
      </c>
      <c r="AG40" s="63">
        <f t="shared" si="36"/>
        <v>9.0000000000000011E-3</v>
      </c>
      <c r="AH40" s="63">
        <f t="shared" si="37"/>
        <v>4.5000000000000005E-3</v>
      </c>
      <c r="AI40" s="63">
        <f t="shared" si="23"/>
        <v>5.3999999999999992E-2</v>
      </c>
      <c r="AJ40" s="63">
        <v>0.5</v>
      </c>
      <c r="AK40" s="63">
        <f t="shared" si="38"/>
        <v>3.3749999999999995E-2</v>
      </c>
      <c r="AL40" s="63">
        <f t="shared" si="24"/>
        <v>0.26999999999999996</v>
      </c>
      <c r="AM40" s="104">
        <f t="shared" si="25"/>
        <v>7.0199999999999987</v>
      </c>
      <c r="AN40" s="62">
        <v>1</v>
      </c>
      <c r="AO40" s="66">
        <f t="shared" si="39"/>
        <v>1879.1208791208792</v>
      </c>
      <c r="AP40" s="66">
        <f t="shared" si="26"/>
        <v>72.273879966187664</v>
      </c>
      <c r="AQ40" s="66">
        <f t="shared" si="27"/>
        <v>9.034234995773458</v>
      </c>
      <c r="AR40" s="69"/>
      <c r="AS40" s="66"/>
      <c r="AT40" s="67"/>
      <c r="AU40" s="72">
        <f t="shared" si="28"/>
        <v>7257.3233137973148</v>
      </c>
      <c r="AV40" s="51">
        <f t="shared" si="29"/>
        <v>279.12781976143515</v>
      </c>
      <c r="AW40" s="73">
        <f t="shared" si="30"/>
        <v>34.890977470179394</v>
      </c>
    </row>
    <row r="41" spans="2:49" ht="87" customHeight="1" x14ac:dyDescent="0.25">
      <c r="B41" s="62" t="s">
        <v>698</v>
      </c>
      <c r="C41" s="63" t="str">
        <f>VLOOKUP(B41,'Equip. List CSI'!$K$4:$N$159,4,0)</f>
        <v>02700425</v>
      </c>
      <c r="D41" s="106" t="s">
        <v>798</v>
      </c>
      <c r="E41" s="105" t="s">
        <v>763</v>
      </c>
      <c r="F41" s="64">
        <v>380000</v>
      </c>
      <c r="G41" s="65">
        <f t="shared" si="6"/>
        <v>38000</v>
      </c>
      <c r="H41" s="63">
        <v>91</v>
      </c>
      <c r="I41" s="66">
        <f t="shared" si="7"/>
        <v>3758.2417582417584</v>
      </c>
      <c r="J41" s="66">
        <f t="shared" si="8"/>
        <v>144.54775993237533</v>
      </c>
      <c r="K41" s="67">
        <f t="shared" si="9"/>
        <v>18.068469991546916</v>
      </c>
      <c r="L41" s="62" t="s">
        <v>811</v>
      </c>
      <c r="M41" s="69">
        <f>VLOOKUP(L41,'Manual Manpower Database'!$G$5:$AY$160,45,0)</f>
        <v>2784.4455555555555</v>
      </c>
      <c r="N41" s="66">
        <f t="shared" si="10"/>
        <v>107.09405982905983</v>
      </c>
      <c r="O41" s="67">
        <f t="shared" si="11"/>
        <v>13.386757478632479</v>
      </c>
      <c r="P41" s="68" t="s">
        <v>869</v>
      </c>
      <c r="Q41" s="63">
        <f t="shared" si="12"/>
        <v>0.21</v>
      </c>
      <c r="R41" s="63">
        <v>46</v>
      </c>
      <c r="S41" s="63">
        <f t="shared" si="13"/>
        <v>0.54</v>
      </c>
      <c r="T41" s="63">
        <f t="shared" si="14"/>
        <v>0.72</v>
      </c>
      <c r="U41" s="66">
        <f t="shared" si="15"/>
        <v>7.2450000000000001</v>
      </c>
      <c r="V41" s="63" t="str">
        <f t="shared" si="16"/>
        <v/>
      </c>
      <c r="W41" s="63">
        <v>0.6</v>
      </c>
      <c r="X41" s="63">
        <v>0.45</v>
      </c>
      <c r="Y41" s="63">
        <f t="shared" si="17"/>
        <v>4.3469999999999995</v>
      </c>
      <c r="Z41" s="66">
        <f t="shared" si="18"/>
        <v>34.775999999999996</v>
      </c>
      <c r="AA41" s="66">
        <f t="shared" si="19"/>
        <v>904.17599999999993</v>
      </c>
      <c r="AB41" s="63">
        <f t="shared" si="20"/>
        <v>0</v>
      </c>
      <c r="AC41" s="63">
        <f t="shared" si="21"/>
        <v>0</v>
      </c>
      <c r="AD41" s="63">
        <f t="shared" si="22"/>
        <v>0</v>
      </c>
      <c r="AE41" s="63">
        <f t="shared" si="34"/>
        <v>3.4499999999999996E-2</v>
      </c>
      <c r="AF41" s="63">
        <f t="shared" si="35"/>
        <v>1.7249999999999998E-2</v>
      </c>
      <c r="AG41" s="63">
        <f t="shared" si="36"/>
        <v>1.15E-2</v>
      </c>
      <c r="AH41" s="63">
        <f t="shared" si="37"/>
        <v>5.7499999999999999E-3</v>
      </c>
      <c r="AI41" s="63">
        <f t="shared" si="23"/>
        <v>6.8999999999999992E-2</v>
      </c>
      <c r="AJ41" s="63">
        <v>0.5</v>
      </c>
      <c r="AK41" s="63">
        <f t="shared" si="38"/>
        <v>4.3124999999999997E-2</v>
      </c>
      <c r="AL41" s="63">
        <f t="shared" si="24"/>
        <v>0.34499999999999997</v>
      </c>
      <c r="AM41" s="104">
        <f t="shared" si="25"/>
        <v>8.9699999999999989</v>
      </c>
      <c r="AN41" s="62">
        <v>1</v>
      </c>
      <c r="AO41" s="66">
        <f t="shared" si="39"/>
        <v>3758.2417582417584</v>
      </c>
      <c r="AP41" s="66">
        <f t="shared" si="26"/>
        <v>144.54775993237533</v>
      </c>
      <c r="AQ41" s="66">
        <f t="shared" si="27"/>
        <v>18.068469991546916</v>
      </c>
      <c r="AR41" s="69"/>
      <c r="AS41" s="66"/>
      <c r="AT41" s="67"/>
      <c r="AU41" s="72">
        <f t="shared" si="28"/>
        <v>11214.075072039072</v>
      </c>
      <c r="AV41" s="51">
        <f t="shared" si="29"/>
        <v>431.3105796938105</v>
      </c>
      <c r="AW41" s="73">
        <f t="shared" si="30"/>
        <v>53.913822461726312</v>
      </c>
    </row>
    <row r="42" spans="2:49" ht="70.5" customHeight="1" x14ac:dyDescent="0.25">
      <c r="B42" s="62" t="s">
        <v>696</v>
      </c>
      <c r="C42" s="63" t="str">
        <f>VLOOKUP(B42,'Equip. List CSI'!$K$4:$N$159,4,0)</f>
        <v>02300440</v>
      </c>
      <c r="D42" s="106" t="s">
        <v>796</v>
      </c>
      <c r="E42" s="105" t="s">
        <v>764</v>
      </c>
      <c r="F42" s="64">
        <v>2500</v>
      </c>
      <c r="G42" s="65">
        <f t="shared" si="6"/>
        <v>250</v>
      </c>
      <c r="H42" s="63">
        <v>48</v>
      </c>
      <c r="I42" s="66">
        <f t="shared" si="7"/>
        <v>46.875</v>
      </c>
      <c r="J42" s="66">
        <f t="shared" si="8"/>
        <v>1.8028846153846154</v>
      </c>
      <c r="K42" s="67">
        <f t="shared" si="9"/>
        <v>0.22536057692307693</v>
      </c>
      <c r="L42" s="62" t="s">
        <v>561</v>
      </c>
      <c r="M42" s="69">
        <f>VLOOKUP(L42,'Manual Manpower Database'!$G$5:$AY$160,45,0)</f>
        <v>1737.2634926588446</v>
      </c>
      <c r="N42" s="66">
        <f t="shared" si="10"/>
        <v>66.817826640724789</v>
      </c>
      <c r="O42" s="67">
        <f t="shared" si="11"/>
        <v>8.3522283300905986</v>
      </c>
      <c r="P42" s="68" t="s">
        <v>870</v>
      </c>
      <c r="Q42" s="63">
        <f t="shared" si="12"/>
        <v>0.17</v>
      </c>
      <c r="R42" s="63">
        <v>7</v>
      </c>
      <c r="S42" s="63">
        <f t="shared" si="13"/>
        <v>0.54</v>
      </c>
      <c r="T42" s="63">
        <f t="shared" si="14"/>
        <v>0.84</v>
      </c>
      <c r="U42" s="66" t="str">
        <f t="shared" si="15"/>
        <v/>
      </c>
      <c r="V42" s="66">
        <f t="shared" si="16"/>
        <v>0.53978400000000015</v>
      </c>
      <c r="W42" s="63">
        <v>0.6</v>
      </c>
      <c r="X42" s="63">
        <v>0.45</v>
      </c>
      <c r="Y42" s="63">
        <f t="shared" si="17"/>
        <v>0</v>
      </c>
      <c r="Z42" s="66">
        <f t="shared" si="18"/>
        <v>0</v>
      </c>
      <c r="AA42" s="66">
        <f t="shared" si="19"/>
        <v>0</v>
      </c>
      <c r="AB42" s="63">
        <f t="shared" si="20"/>
        <v>7.6500000000000012E-2</v>
      </c>
      <c r="AC42" s="63">
        <f t="shared" si="21"/>
        <v>0.6120000000000001</v>
      </c>
      <c r="AD42" s="63">
        <f t="shared" si="22"/>
        <v>15.912000000000003</v>
      </c>
      <c r="AE42" s="63">
        <f t="shared" si="34"/>
        <v>5.2499999999999995E-3</v>
      </c>
      <c r="AF42" s="63">
        <f t="shared" si="35"/>
        <v>2.6249999999999997E-3</v>
      </c>
      <c r="AG42" s="63">
        <f t="shared" si="36"/>
        <v>1.75E-3</v>
      </c>
      <c r="AH42" s="63">
        <f t="shared" si="37"/>
        <v>8.7500000000000002E-4</v>
      </c>
      <c r="AI42" s="63">
        <f t="shared" si="23"/>
        <v>1.0500000000000001E-2</v>
      </c>
      <c r="AJ42" s="63">
        <v>0.5</v>
      </c>
      <c r="AK42" s="63">
        <f t="shared" si="38"/>
        <v>6.5625000000000006E-3</v>
      </c>
      <c r="AL42" s="63">
        <f t="shared" si="24"/>
        <v>5.2500000000000005E-2</v>
      </c>
      <c r="AM42" s="104">
        <f t="shared" si="25"/>
        <v>1.3650000000000002</v>
      </c>
      <c r="AN42" s="62">
        <v>1</v>
      </c>
      <c r="AO42" s="66">
        <f t="shared" si="39"/>
        <v>46.875</v>
      </c>
      <c r="AP42" s="66">
        <f t="shared" si="26"/>
        <v>1.8028846153846154</v>
      </c>
      <c r="AQ42" s="66">
        <f t="shared" si="27"/>
        <v>0.22536057692307693</v>
      </c>
      <c r="AR42" s="69"/>
      <c r="AS42" s="66"/>
      <c r="AT42" s="67"/>
      <c r="AU42" s="72">
        <f t="shared" si="28"/>
        <v>1832.3784926588446</v>
      </c>
      <c r="AV42" s="51">
        <f t="shared" si="29"/>
        <v>71.088095871494005</v>
      </c>
      <c r="AW42" s="73">
        <f t="shared" si="30"/>
        <v>8.8860119839367506</v>
      </c>
    </row>
    <row r="43" spans="2:49" ht="70.5" customHeight="1" x14ac:dyDescent="0.25">
      <c r="B43" s="62" t="s">
        <v>696</v>
      </c>
      <c r="C43" s="63" t="str">
        <f>VLOOKUP(B43,'Equip. List CSI'!$K$4:$N$159,4,0)</f>
        <v>02300440</v>
      </c>
      <c r="D43" s="106" t="s">
        <v>797</v>
      </c>
      <c r="E43" s="105" t="s">
        <v>765</v>
      </c>
      <c r="F43" s="64">
        <v>2065</v>
      </c>
      <c r="G43" s="65">
        <f t="shared" si="6"/>
        <v>206.5</v>
      </c>
      <c r="H43" s="63">
        <v>48</v>
      </c>
      <c r="I43" s="66">
        <f t="shared" si="7"/>
        <v>38.71875</v>
      </c>
      <c r="J43" s="66">
        <f t="shared" si="8"/>
        <v>1.4891826923076923</v>
      </c>
      <c r="K43" s="67">
        <f t="shared" si="9"/>
        <v>0.18614783653846154</v>
      </c>
      <c r="L43" s="62" t="s">
        <v>561</v>
      </c>
      <c r="M43" s="69">
        <f>VLOOKUP(L43,'Manual Manpower Database'!$G$5:$AY$160,45,0)</f>
        <v>1737.2634926588446</v>
      </c>
      <c r="N43" s="66">
        <f t="shared" si="10"/>
        <v>66.817826640724789</v>
      </c>
      <c r="O43" s="67">
        <f t="shared" si="11"/>
        <v>8.3522283300905986</v>
      </c>
      <c r="P43" s="68" t="s">
        <v>870</v>
      </c>
      <c r="Q43" s="63">
        <f t="shared" si="12"/>
        <v>0.17</v>
      </c>
      <c r="R43" s="63">
        <v>7</v>
      </c>
      <c r="S43" s="63">
        <f t="shared" si="13"/>
        <v>0.54</v>
      </c>
      <c r="T43" s="63">
        <f t="shared" si="14"/>
        <v>0.84</v>
      </c>
      <c r="U43" s="66" t="str">
        <f t="shared" si="15"/>
        <v/>
      </c>
      <c r="V43" s="66">
        <f t="shared" si="16"/>
        <v>0.53978400000000015</v>
      </c>
      <c r="W43" s="63">
        <v>0.6</v>
      </c>
      <c r="X43" s="63">
        <v>0.45</v>
      </c>
      <c r="Y43" s="63">
        <f t="shared" si="17"/>
        <v>0</v>
      </c>
      <c r="Z43" s="66">
        <f t="shared" si="18"/>
        <v>0</v>
      </c>
      <c r="AA43" s="66">
        <f t="shared" si="19"/>
        <v>0</v>
      </c>
      <c r="AB43" s="63">
        <f t="shared" si="20"/>
        <v>7.6500000000000012E-2</v>
      </c>
      <c r="AC43" s="63">
        <f t="shared" si="21"/>
        <v>0.6120000000000001</v>
      </c>
      <c r="AD43" s="63">
        <f t="shared" si="22"/>
        <v>15.912000000000003</v>
      </c>
      <c r="AE43" s="63">
        <f t="shared" si="34"/>
        <v>5.2499999999999995E-3</v>
      </c>
      <c r="AF43" s="63">
        <f t="shared" si="35"/>
        <v>2.6249999999999997E-3</v>
      </c>
      <c r="AG43" s="63">
        <f t="shared" si="36"/>
        <v>1.75E-3</v>
      </c>
      <c r="AH43" s="63">
        <f t="shared" si="37"/>
        <v>8.7500000000000002E-4</v>
      </c>
      <c r="AI43" s="63">
        <f t="shared" si="23"/>
        <v>1.0500000000000001E-2</v>
      </c>
      <c r="AJ43" s="63">
        <v>0.5</v>
      </c>
      <c r="AK43" s="63">
        <f t="shared" si="38"/>
        <v>6.5625000000000006E-3</v>
      </c>
      <c r="AL43" s="63">
        <f t="shared" si="24"/>
        <v>5.2500000000000005E-2</v>
      </c>
      <c r="AM43" s="104">
        <f t="shared" si="25"/>
        <v>1.3650000000000002</v>
      </c>
      <c r="AN43" s="62">
        <v>1</v>
      </c>
      <c r="AO43" s="66">
        <f t="shared" si="39"/>
        <v>38.71875</v>
      </c>
      <c r="AP43" s="66">
        <f t="shared" si="26"/>
        <v>1.4891826923076923</v>
      </c>
      <c r="AQ43" s="66">
        <f t="shared" si="27"/>
        <v>0.18614783653846154</v>
      </c>
      <c r="AR43" s="69"/>
      <c r="AS43" s="66"/>
      <c r="AT43" s="67"/>
      <c r="AU43" s="72">
        <f t="shared" si="28"/>
        <v>1816.0659926588446</v>
      </c>
      <c r="AV43" s="51">
        <f t="shared" si="29"/>
        <v>70.460692025340165</v>
      </c>
      <c r="AW43" s="73">
        <f t="shared" si="30"/>
        <v>8.8075865031675207</v>
      </c>
    </row>
    <row r="44" spans="2:49" ht="70.5" customHeight="1" x14ac:dyDescent="0.25">
      <c r="B44" s="62" t="s">
        <v>692</v>
      </c>
      <c r="C44" s="63" t="str">
        <f>VLOOKUP(B44,'Equip. List CSI'!$K$4:$N$159,4,0)</f>
        <v>02300445</v>
      </c>
      <c r="D44" s="106" t="s">
        <v>796</v>
      </c>
      <c r="E44" s="105" t="s">
        <v>692</v>
      </c>
      <c r="F44" s="64">
        <v>2000000</v>
      </c>
      <c r="G44" s="65">
        <f t="shared" si="6"/>
        <v>200000</v>
      </c>
      <c r="H44" s="63">
        <v>120</v>
      </c>
      <c r="I44" s="66">
        <f t="shared" si="7"/>
        <v>15000</v>
      </c>
      <c r="J44" s="66">
        <f t="shared" si="8"/>
        <v>576.92307692307691</v>
      </c>
      <c r="K44" s="67">
        <f t="shared" si="9"/>
        <v>72.115384615384613</v>
      </c>
      <c r="L44" s="62" t="s">
        <v>812</v>
      </c>
      <c r="M44" s="69">
        <f>VLOOKUP(L44,'Manual Manpower Database'!$G$5:$AY$160,45,0)</f>
        <v>3993.8940690690692</v>
      </c>
      <c r="N44" s="66">
        <f t="shared" si="10"/>
        <v>153.61131034881035</v>
      </c>
      <c r="O44" s="67">
        <f t="shared" si="11"/>
        <v>19.201413793601294</v>
      </c>
      <c r="P44" s="68" t="s">
        <v>869</v>
      </c>
      <c r="Q44" s="63">
        <f t="shared" si="12"/>
        <v>0.21</v>
      </c>
      <c r="R44" s="63">
        <v>600</v>
      </c>
      <c r="S44" s="63">
        <f t="shared" si="13"/>
        <v>0.54</v>
      </c>
      <c r="T44" s="63">
        <f t="shared" si="14"/>
        <v>0.72</v>
      </c>
      <c r="U44" s="66">
        <f t="shared" si="15"/>
        <v>94.500000000000014</v>
      </c>
      <c r="V44" s="63" t="str">
        <f t="shared" si="16"/>
        <v/>
      </c>
      <c r="W44" s="63">
        <v>0.6</v>
      </c>
      <c r="X44" s="63">
        <v>0.45</v>
      </c>
      <c r="Y44" s="63">
        <f t="shared" si="17"/>
        <v>56.70000000000001</v>
      </c>
      <c r="Z44" s="66">
        <f t="shared" si="18"/>
        <v>453.60000000000008</v>
      </c>
      <c r="AA44" s="66">
        <f t="shared" si="19"/>
        <v>11793.600000000002</v>
      </c>
      <c r="AB44" s="63">
        <f t="shared" si="20"/>
        <v>0</v>
      </c>
      <c r="AC44" s="63">
        <f t="shared" si="21"/>
        <v>0</v>
      </c>
      <c r="AD44" s="63">
        <f t="shared" si="22"/>
        <v>0</v>
      </c>
      <c r="AE44" s="63">
        <f t="shared" si="34"/>
        <v>0.44999999999999996</v>
      </c>
      <c r="AF44" s="63">
        <f t="shared" si="35"/>
        <v>0.22499999999999998</v>
      </c>
      <c r="AG44" s="63">
        <f t="shared" si="36"/>
        <v>0.15000000000000002</v>
      </c>
      <c r="AH44" s="63">
        <f t="shared" si="37"/>
        <v>7.5000000000000011E-2</v>
      </c>
      <c r="AI44" s="63">
        <f t="shared" si="23"/>
        <v>0.89999999999999991</v>
      </c>
      <c r="AJ44" s="63">
        <v>0.5</v>
      </c>
      <c r="AK44" s="63">
        <f t="shared" si="38"/>
        <v>0.5625</v>
      </c>
      <c r="AL44" s="63">
        <f t="shared" si="24"/>
        <v>4.5</v>
      </c>
      <c r="AM44" s="104">
        <f t="shared" si="25"/>
        <v>117</v>
      </c>
      <c r="AN44" s="62">
        <v>1</v>
      </c>
      <c r="AO44" s="66">
        <f t="shared" si="39"/>
        <v>15000</v>
      </c>
      <c r="AP44" s="66">
        <f t="shared" si="26"/>
        <v>576.92307692307691</v>
      </c>
      <c r="AQ44" s="66">
        <f t="shared" si="27"/>
        <v>72.115384615384613</v>
      </c>
      <c r="AR44" s="69"/>
      <c r="AS44" s="66"/>
      <c r="AT44" s="67"/>
      <c r="AU44" s="99">
        <f t="shared" si="28"/>
        <v>45904.494069069071</v>
      </c>
      <c r="AV44" s="100">
        <f t="shared" si="29"/>
        <v>1765.5574641949643</v>
      </c>
      <c r="AW44" s="101">
        <f t="shared" si="30"/>
        <v>220.69468302437053</v>
      </c>
    </row>
    <row r="45" spans="2:49" ht="70.5" customHeight="1" x14ac:dyDescent="0.25">
      <c r="B45" s="62" t="s">
        <v>708</v>
      </c>
      <c r="C45" s="63" t="str">
        <f>VLOOKUP(B45,'Equip. List CSI'!$K$4:$N$159,4,0)</f>
        <v>03400405</v>
      </c>
      <c r="D45" s="106" t="s">
        <v>796</v>
      </c>
      <c r="E45" s="105" t="s">
        <v>766</v>
      </c>
      <c r="F45" s="64">
        <f>75000*3.75</f>
        <v>281250</v>
      </c>
      <c r="G45" s="65">
        <f t="shared" si="6"/>
        <v>28125</v>
      </c>
      <c r="H45" s="63">
        <v>69</v>
      </c>
      <c r="I45" s="66">
        <f t="shared" si="7"/>
        <v>3668.478260869565</v>
      </c>
      <c r="J45" s="66">
        <f t="shared" si="8"/>
        <v>141.09531772575249</v>
      </c>
      <c r="K45" s="67">
        <f t="shared" si="9"/>
        <v>17.636914715719062</v>
      </c>
      <c r="L45" s="62" t="s">
        <v>813</v>
      </c>
      <c r="M45" s="69">
        <f>VLOOKUP(L45,'Manual Manpower Database'!$G$5:$AY$160,45,0)</f>
        <v>2220.5039046121597</v>
      </c>
      <c r="N45" s="66">
        <f t="shared" si="10"/>
        <v>85.403996331236911</v>
      </c>
      <c r="O45" s="67">
        <f t="shared" si="11"/>
        <v>10.675499541404614</v>
      </c>
      <c r="P45" s="68" t="s">
        <v>869</v>
      </c>
      <c r="Q45" s="63">
        <f t="shared" si="12"/>
        <v>0.21</v>
      </c>
      <c r="R45" s="63">
        <v>213</v>
      </c>
      <c r="S45" s="63">
        <f t="shared" si="13"/>
        <v>0.54</v>
      </c>
      <c r="T45" s="63">
        <f t="shared" si="14"/>
        <v>0.72</v>
      </c>
      <c r="U45" s="66">
        <f t="shared" si="15"/>
        <v>33.547499999999999</v>
      </c>
      <c r="V45" s="63" t="str">
        <f t="shared" si="16"/>
        <v/>
      </c>
      <c r="W45" s="63">
        <v>0.6</v>
      </c>
      <c r="X45" s="63">
        <v>0.45</v>
      </c>
      <c r="Y45" s="63">
        <f t="shared" si="17"/>
        <v>20.128499999999999</v>
      </c>
      <c r="Z45" s="66">
        <f t="shared" si="18"/>
        <v>161.02799999999999</v>
      </c>
      <c r="AA45" s="66">
        <f t="shared" si="19"/>
        <v>4186.7280000000001</v>
      </c>
      <c r="AB45" s="63">
        <f t="shared" si="20"/>
        <v>0</v>
      </c>
      <c r="AC45" s="63">
        <f t="shared" si="21"/>
        <v>0</v>
      </c>
      <c r="AD45" s="63">
        <f t="shared" si="22"/>
        <v>0</v>
      </c>
      <c r="AE45" s="63">
        <f t="shared" si="34"/>
        <v>0.15975</v>
      </c>
      <c r="AF45" s="63">
        <f t="shared" si="35"/>
        <v>7.9875000000000002E-2</v>
      </c>
      <c r="AG45" s="63">
        <f t="shared" si="36"/>
        <v>5.3249999999999999E-2</v>
      </c>
      <c r="AH45" s="63">
        <f t="shared" si="37"/>
        <v>2.6624999999999999E-2</v>
      </c>
      <c r="AI45" s="63">
        <f t="shared" si="23"/>
        <v>0.31950000000000001</v>
      </c>
      <c r="AJ45" s="63">
        <v>0.5</v>
      </c>
      <c r="AK45" s="63">
        <f t="shared" si="38"/>
        <v>0.19968750000000002</v>
      </c>
      <c r="AL45" s="63">
        <f t="shared" si="24"/>
        <v>1.5975000000000001</v>
      </c>
      <c r="AM45" s="104">
        <f t="shared" si="25"/>
        <v>41.535000000000004</v>
      </c>
      <c r="AN45" s="62">
        <v>1</v>
      </c>
      <c r="AO45" s="66">
        <f t="shared" si="39"/>
        <v>3668.478260869565</v>
      </c>
      <c r="AP45" s="66">
        <f t="shared" si="26"/>
        <v>141.09531772575249</v>
      </c>
      <c r="AQ45" s="66">
        <f t="shared" si="27"/>
        <v>17.636914715719062</v>
      </c>
      <c r="AR45" s="69"/>
      <c r="AS45" s="66"/>
      <c r="AT45" s="67"/>
      <c r="AU45" s="72">
        <f t="shared" si="28"/>
        <v>13785.723426351287</v>
      </c>
      <c r="AV45" s="51">
        <f t="shared" si="29"/>
        <v>530.22013178274187</v>
      </c>
      <c r="AW45" s="73">
        <f t="shared" si="30"/>
        <v>66.277516472842748</v>
      </c>
    </row>
    <row r="46" spans="2:49" ht="70.5" customHeight="1" x14ac:dyDescent="0.25">
      <c r="B46" s="62" t="s">
        <v>708</v>
      </c>
      <c r="C46" s="63" t="str">
        <f>VLOOKUP(B46,'Equip. List CSI'!$K$4:$N$159,4,0)</f>
        <v>03400405</v>
      </c>
      <c r="D46" s="106" t="s">
        <v>797</v>
      </c>
      <c r="E46" s="105" t="s">
        <v>767</v>
      </c>
      <c r="F46" s="64">
        <v>227000</v>
      </c>
      <c r="G46" s="65">
        <f t="shared" si="6"/>
        <v>22700</v>
      </c>
      <c r="H46" s="63">
        <v>72</v>
      </c>
      <c r="I46" s="66">
        <f t="shared" si="7"/>
        <v>2837.5</v>
      </c>
      <c r="J46" s="66">
        <f t="shared" si="8"/>
        <v>109.13461538461539</v>
      </c>
      <c r="K46" s="67">
        <f t="shared" si="9"/>
        <v>13.641826923076923</v>
      </c>
      <c r="L46" s="62" t="s">
        <v>813</v>
      </c>
      <c r="M46" s="69">
        <f>VLOOKUP(L46,'Manual Manpower Database'!$G$5:$AY$160,45,0)</f>
        <v>2220.5039046121597</v>
      </c>
      <c r="N46" s="66">
        <f t="shared" si="10"/>
        <v>85.403996331236911</v>
      </c>
      <c r="O46" s="67">
        <f t="shared" si="11"/>
        <v>10.675499541404614</v>
      </c>
      <c r="P46" s="68" t="s">
        <v>869</v>
      </c>
      <c r="Q46" s="63">
        <f t="shared" si="12"/>
        <v>0.21</v>
      </c>
      <c r="R46" s="63">
        <v>213</v>
      </c>
      <c r="S46" s="63">
        <f t="shared" si="13"/>
        <v>0.54</v>
      </c>
      <c r="T46" s="63">
        <f t="shared" si="14"/>
        <v>0.72</v>
      </c>
      <c r="U46" s="66">
        <f t="shared" si="15"/>
        <v>33.547499999999999</v>
      </c>
      <c r="V46" s="63" t="str">
        <f t="shared" si="16"/>
        <v/>
      </c>
      <c r="W46" s="63">
        <v>0.6</v>
      </c>
      <c r="X46" s="63">
        <v>0.45</v>
      </c>
      <c r="Y46" s="63">
        <f t="shared" si="17"/>
        <v>20.128499999999999</v>
      </c>
      <c r="Z46" s="66">
        <f t="shared" si="18"/>
        <v>161.02799999999999</v>
      </c>
      <c r="AA46" s="66">
        <f t="shared" si="19"/>
        <v>4186.7280000000001</v>
      </c>
      <c r="AB46" s="63">
        <f t="shared" si="20"/>
        <v>0</v>
      </c>
      <c r="AC46" s="63">
        <f t="shared" si="21"/>
        <v>0</v>
      </c>
      <c r="AD46" s="63">
        <f t="shared" si="22"/>
        <v>0</v>
      </c>
      <c r="AE46" s="63">
        <f t="shared" si="34"/>
        <v>0.15975</v>
      </c>
      <c r="AF46" s="63">
        <f t="shared" si="35"/>
        <v>7.9875000000000002E-2</v>
      </c>
      <c r="AG46" s="63">
        <f t="shared" si="36"/>
        <v>5.3249999999999999E-2</v>
      </c>
      <c r="AH46" s="63">
        <f t="shared" si="37"/>
        <v>2.6624999999999999E-2</v>
      </c>
      <c r="AI46" s="63">
        <f t="shared" si="23"/>
        <v>0.31950000000000001</v>
      </c>
      <c r="AJ46" s="63">
        <v>0.5</v>
      </c>
      <c r="AK46" s="63">
        <f t="shared" si="38"/>
        <v>0.19968750000000002</v>
      </c>
      <c r="AL46" s="63">
        <f t="shared" si="24"/>
        <v>1.5975000000000001</v>
      </c>
      <c r="AM46" s="104">
        <f t="shared" si="25"/>
        <v>41.535000000000004</v>
      </c>
      <c r="AN46" s="62">
        <v>1</v>
      </c>
      <c r="AO46" s="66">
        <f t="shared" si="39"/>
        <v>2837.5</v>
      </c>
      <c r="AP46" s="66">
        <f t="shared" si="26"/>
        <v>109.13461538461539</v>
      </c>
      <c r="AQ46" s="66">
        <f t="shared" si="27"/>
        <v>13.641826923076923</v>
      </c>
      <c r="AR46" s="69"/>
      <c r="AS46" s="66"/>
      <c r="AT46" s="67"/>
      <c r="AU46" s="72">
        <f t="shared" si="28"/>
        <v>12123.766904612159</v>
      </c>
      <c r="AV46" s="51">
        <f t="shared" si="29"/>
        <v>466.29872710046772</v>
      </c>
      <c r="AW46" s="73">
        <f t="shared" si="30"/>
        <v>58.287340887558472</v>
      </c>
    </row>
    <row r="47" spans="2:49" ht="70.5" customHeight="1" x14ac:dyDescent="0.25">
      <c r="B47" s="62" t="s">
        <v>708</v>
      </c>
      <c r="C47" s="63" t="str">
        <f>VLOOKUP(B47,'Equip. List CSI'!$K$4:$N$159,4,0)</f>
        <v>03400405</v>
      </c>
      <c r="D47" s="106" t="s">
        <v>798</v>
      </c>
      <c r="E47" s="105" t="s">
        <v>768</v>
      </c>
      <c r="F47" s="64">
        <v>1135125</v>
      </c>
      <c r="G47" s="65">
        <f t="shared" si="6"/>
        <v>113512.5</v>
      </c>
      <c r="H47" s="63">
        <v>91</v>
      </c>
      <c r="I47" s="66">
        <f t="shared" si="7"/>
        <v>11226.510989010989</v>
      </c>
      <c r="J47" s="66">
        <f t="shared" si="8"/>
        <v>431.78888419273034</v>
      </c>
      <c r="K47" s="67">
        <f t="shared" si="9"/>
        <v>53.973610524091292</v>
      </c>
      <c r="L47" s="62" t="s">
        <v>813</v>
      </c>
      <c r="M47" s="69">
        <f>VLOOKUP(L47,'Manual Manpower Database'!$G$5:$AY$160,45,0)</f>
        <v>2220.5039046121597</v>
      </c>
      <c r="N47" s="66">
        <f t="shared" si="10"/>
        <v>85.403996331236911</v>
      </c>
      <c r="O47" s="67">
        <f t="shared" si="11"/>
        <v>10.675499541404614</v>
      </c>
      <c r="P47" s="68" t="s">
        <v>869</v>
      </c>
      <c r="Q47" s="63">
        <f t="shared" si="12"/>
        <v>0.21</v>
      </c>
      <c r="R47" s="63">
        <v>220</v>
      </c>
      <c r="S47" s="63">
        <f t="shared" si="13"/>
        <v>0.54</v>
      </c>
      <c r="T47" s="63">
        <f t="shared" si="14"/>
        <v>0.72</v>
      </c>
      <c r="U47" s="66">
        <f t="shared" si="15"/>
        <v>34.65</v>
      </c>
      <c r="V47" s="63" t="str">
        <f t="shared" si="16"/>
        <v/>
      </c>
      <c r="W47" s="63">
        <v>0.6</v>
      </c>
      <c r="X47" s="63">
        <v>0.45</v>
      </c>
      <c r="Y47" s="63">
        <f t="shared" si="17"/>
        <v>20.79</v>
      </c>
      <c r="Z47" s="66">
        <f t="shared" si="18"/>
        <v>166.32</v>
      </c>
      <c r="AA47" s="66">
        <f t="shared" si="19"/>
        <v>4324.32</v>
      </c>
      <c r="AB47" s="63">
        <f t="shared" si="20"/>
        <v>0</v>
      </c>
      <c r="AC47" s="63">
        <f t="shared" si="21"/>
        <v>0</v>
      </c>
      <c r="AD47" s="63">
        <f t="shared" si="22"/>
        <v>0</v>
      </c>
      <c r="AE47" s="63">
        <f t="shared" si="34"/>
        <v>0.16499999999999998</v>
      </c>
      <c r="AF47" s="63">
        <f t="shared" si="35"/>
        <v>8.249999999999999E-2</v>
      </c>
      <c r="AG47" s="63">
        <f t="shared" si="36"/>
        <v>5.5000000000000007E-2</v>
      </c>
      <c r="AH47" s="63">
        <f t="shared" si="37"/>
        <v>2.7500000000000004E-2</v>
      </c>
      <c r="AI47" s="63">
        <f t="shared" si="23"/>
        <v>0.33</v>
      </c>
      <c r="AJ47" s="63">
        <v>0.5</v>
      </c>
      <c r="AK47" s="63">
        <f t="shared" si="38"/>
        <v>0.20625000000000002</v>
      </c>
      <c r="AL47" s="63">
        <f t="shared" si="24"/>
        <v>1.6500000000000001</v>
      </c>
      <c r="AM47" s="104">
        <f t="shared" si="25"/>
        <v>42.900000000000006</v>
      </c>
      <c r="AN47" s="62">
        <v>1</v>
      </c>
      <c r="AO47" s="66">
        <f t="shared" si="39"/>
        <v>11226.510989010989</v>
      </c>
      <c r="AP47" s="66">
        <f t="shared" si="26"/>
        <v>431.78888419273034</v>
      </c>
      <c r="AQ47" s="66">
        <f t="shared" si="27"/>
        <v>53.973610524091292</v>
      </c>
      <c r="AR47" s="69"/>
      <c r="AS47" s="66"/>
      <c r="AT47" s="67"/>
      <c r="AU47" s="72">
        <f t="shared" si="28"/>
        <v>29040.745882634139</v>
      </c>
      <c r="AV47" s="51">
        <f t="shared" si="29"/>
        <v>1116.9517647166977</v>
      </c>
      <c r="AW47" s="73">
        <f t="shared" si="30"/>
        <v>139.61897058958718</v>
      </c>
    </row>
    <row r="48" spans="2:49" ht="70.5" customHeight="1" x14ac:dyDescent="0.25">
      <c r="B48" s="62" t="s">
        <v>708</v>
      </c>
      <c r="C48" s="63" t="str">
        <f>VLOOKUP(B48,'Equip. List CSI'!$K$4:$N$159,4,0)</f>
        <v>03400405</v>
      </c>
      <c r="D48" s="106" t="s">
        <v>799</v>
      </c>
      <c r="E48" s="105" t="s">
        <v>769</v>
      </c>
      <c r="F48" s="64">
        <v>1191187.5</v>
      </c>
      <c r="G48" s="65">
        <f t="shared" si="6"/>
        <v>119118.75</v>
      </c>
      <c r="H48" s="63">
        <v>91</v>
      </c>
      <c r="I48" s="66">
        <f t="shared" si="7"/>
        <v>11780.975274725275</v>
      </c>
      <c r="J48" s="66">
        <f t="shared" si="8"/>
        <v>453.11443364327982</v>
      </c>
      <c r="K48" s="67">
        <f t="shared" si="9"/>
        <v>56.639304205409978</v>
      </c>
      <c r="L48" s="62" t="s">
        <v>813</v>
      </c>
      <c r="M48" s="69">
        <f>VLOOKUP(L48,'Manual Manpower Database'!$G$5:$AY$160,45,0)</f>
        <v>2220.5039046121597</v>
      </c>
      <c r="N48" s="66">
        <f t="shared" si="10"/>
        <v>85.403996331236911</v>
      </c>
      <c r="O48" s="67">
        <f t="shared" si="11"/>
        <v>10.675499541404614</v>
      </c>
      <c r="P48" s="68" t="s">
        <v>869</v>
      </c>
      <c r="Q48" s="63">
        <f t="shared" si="12"/>
        <v>0.21</v>
      </c>
      <c r="R48" s="63">
        <v>220</v>
      </c>
      <c r="S48" s="63">
        <f t="shared" si="13"/>
        <v>0.54</v>
      </c>
      <c r="T48" s="63">
        <f t="shared" si="14"/>
        <v>0.72</v>
      </c>
      <c r="U48" s="66">
        <f t="shared" si="15"/>
        <v>34.65</v>
      </c>
      <c r="V48" s="63" t="str">
        <f t="shared" si="16"/>
        <v/>
      </c>
      <c r="W48" s="63">
        <v>0.6</v>
      </c>
      <c r="X48" s="63">
        <v>0.45</v>
      </c>
      <c r="Y48" s="63">
        <f t="shared" si="17"/>
        <v>20.79</v>
      </c>
      <c r="Z48" s="66">
        <f t="shared" si="18"/>
        <v>166.32</v>
      </c>
      <c r="AA48" s="66">
        <f t="shared" si="19"/>
        <v>4324.32</v>
      </c>
      <c r="AB48" s="63">
        <f t="shared" si="20"/>
        <v>0</v>
      </c>
      <c r="AC48" s="63">
        <f t="shared" si="21"/>
        <v>0</v>
      </c>
      <c r="AD48" s="63">
        <f t="shared" si="22"/>
        <v>0</v>
      </c>
      <c r="AE48" s="63">
        <f t="shared" ref="AE48:AE71" si="41">(0.0006*$R48)*1.25</f>
        <v>0.16499999999999998</v>
      </c>
      <c r="AF48" s="63">
        <f t="shared" ref="AF48:AF71" si="42">(0.0003*$R48)*1.25</f>
        <v>8.249999999999999E-2</v>
      </c>
      <c r="AG48" s="63">
        <f t="shared" ref="AG48:AG71" si="43">(0.0002*$R48)*1.25</f>
        <v>5.5000000000000007E-2</v>
      </c>
      <c r="AH48" s="63">
        <f t="shared" ref="AH48:AH71" si="44">(0.0001*$R48)*1.25</f>
        <v>2.7500000000000004E-2</v>
      </c>
      <c r="AI48" s="63">
        <f t="shared" si="23"/>
        <v>0.33</v>
      </c>
      <c r="AJ48" s="63">
        <v>0.5</v>
      </c>
      <c r="AK48" s="63">
        <f t="shared" si="38"/>
        <v>0.20625000000000002</v>
      </c>
      <c r="AL48" s="63">
        <f t="shared" si="24"/>
        <v>1.6500000000000001</v>
      </c>
      <c r="AM48" s="104">
        <f t="shared" si="25"/>
        <v>42.900000000000006</v>
      </c>
      <c r="AN48" s="62">
        <v>1</v>
      </c>
      <c r="AO48" s="66">
        <f t="shared" si="39"/>
        <v>11780.975274725275</v>
      </c>
      <c r="AP48" s="66">
        <f t="shared" si="26"/>
        <v>453.11443364327982</v>
      </c>
      <c r="AQ48" s="66">
        <f t="shared" si="27"/>
        <v>56.639304205409978</v>
      </c>
      <c r="AR48" s="69"/>
      <c r="AS48" s="66"/>
      <c r="AT48" s="67"/>
      <c r="AU48" s="72">
        <f t="shared" si="28"/>
        <v>30149.674454062711</v>
      </c>
      <c r="AV48" s="51">
        <f t="shared" si="29"/>
        <v>1159.6028636177966</v>
      </c>
      <c r="AW48" s="73">
        <f t="shared" si="30"/>
        <v>144.95035795222455</v>
      </c>
    </row>
    <row r="49" spans="2:49" ht="70.5" customHeight="1" x14ac:dyDescent="0.25">
      <c r="B49" s="62" t="s">
        <v>708</v>
      </c>
      <c r="C49" s="63" t="str">
        <f>VLOOKUP(B49,'Equip. List CSI'!$K$4:$N$159,4,0)</f>
        <v>03400405</v>
      </c>
      <c r="D49" s="106" t="s">
        <v>800</v>
      </c>
      <c r="E49" s="105" t="s">
        <v>770</v>
      </c>
      <c r="F49" s="64">
        <v>1148812.5</v>
      </c>
      <c r="G49" s="65">
        <f t="shared" si="6"/>
        <v>114881.25</v>
      </c>
      <c r="H49" s="63">
        <v>91</v>
      </c>
      <c r="I49" s="66">
        <f t="shared" si="7"/>
        <v>11361.881868131868</v>
      </c>
      <c r="J49" s="66">
        <f t="shared" si="8"/>
        <v>436.99545646661034</v>
      </c>
      <c r="K49" s="67">
        <f t="shared" si="9"/>
        <v>54.624432058326292</v>
      </c>
      <c r="L49" s="62" t="s">
        <v>813</v>
      </c>
      <c r="M49" s="69">
        <f>VLOOKUP(L49,'Manual Manpower Database'!$G$5:$AY$160,45,0)</f>
        <v>2220.5039046121597</v>
      </c>
      <c r="N49" s="66">
        <f t="shared" si="10"/>
        <v>85.403996331236911</v>
      </c>
      <c r="O49" s="67">
        <f t="shared" si="11"/>
        <v>10.675499541404614</v>
      </c>
      <c r="P49" s="68" t="s">
        <v>869</v>
      </c>
      <c r="Q49" s="63">
        <f t="shared" si="12"/>
        <v>0.21</v>
      </c>
      <c r="R49" s="63">
        <v>220</v>
      </c>
      <c r="S49" s="63">
        <f t="shared" si="13"/>
        <v>0.54</v>
      </c>
      <c r="T49" s="63">
        <f t="shared" si="14"/>
        <v>0.72</v>
      </c>
      <c r="U49" s="66">
        <f t="shared" si="15"/>
        <v>34.65</v>
      </c>
      <c r="V49" s="63" t="str">
        <f t="shared" si="16"/>
        <v/>
      </c>
      <c r="W49" s="63">
        <v>0.6</v>
      </c>
      <c r="X49" s="63">
        <v>0.45</v>
      </c>
      <c r="Y49" s="63">
        <f t="shared" si="17"/>
        <v>20.79</v>
      </c>
      <c r="Z49" s="66">
        <f t="shared" si="18"/>
        <v>166.32</v>
      </c>
      <c r="AA49" s="66">
        <f t="shared" si="19"/>
        <v>4324.32</v>
      </c>
      <c r="AB49" s="63">
        <f t="shared" si="20"/>
        <v>0</v>
      </c>
      <c r="AC49" s="63">
        <f t="shared" si="21"/>
        <v>0</v>
      </c>
      <c r="AD49" s="63">
        <f t="shared" si="22"/>
        <v>0</v>
      </c>
      <c r="AE49" s="63">
        <f t="shared" si="41"/>
        <v>0.16499999999999998</v>
      </c>
      <c r="AF49" s="63">
        <f t="shared" si="42"/>
        <v>8.249999999999999E-2</v>
      </c>
      <c r="AG49" s="63">
        <f t="shared" si="43"/>
        <v>5.5000000000000007E-2</v>
      </c>
      <c r="AH49" s="63">
        <f t="shared" si="44"/>
        <v>2.7500000000000004E-2</v>
      </c>
      <c r="AI49" s="63">
        <f t="shared" si="23"/>
        <v>0.33</v>
      </c>
      <c r="AJ49" s="63">
        <v>0.5</v>
      </c>
      <c r="AK49" s="63">
        <f t="shared" si="38"/>
        <v>0.20625000000000002</v>
      </c>
      <c r="AL49" s="63">
        <f t="shared" si="24"/>
        <v>1.6500000000000001</v>
      </c>
      <c r="AM49" s="104">
        <f t="shared" si="25"/>
        <v>42.900000000000006</v>
      </c>
      <c r="AN49" s="62">
        <v>1</v>
      </c>
      <c r="AO49" s="66">
        <f t="shared" si="39"/>
        <v>11361.881868131868</v>
      </c>
      <c r="AP49" s="66">
        <f t="shared" si="26"/>
        <v>436.99545646661034</v>
      </c>
      <c r="AQ49" s="66">
        <f t="shared" si="27"/>
        <v>54.624432058326292</v>
      </c>
      <c r="AR49" s="69"/>
      <c r="AS49" s="66"/>
      <c r="AT49" s="67"/>
      <c r="AU49" s="72">
        <f t="shared" si="28"/>
        <v>29311.487640875894</v>
      </c>
      <c r="AV49" s="51">
        <f t="shared" si="29"/>
        <v>1127.3649092644578</v>
      </c>
      <c r="AW49" s="73">
        <f t="shared" si="30"/>
        <v>140.92061365805719</v>
      </c>
    </row>
    <row r="50" spans="2:49" ht="70.5" customHeight="1" x14ac:dyDescent="0.25">
      <c r="B50" s="62" t="s">
        <v>708</v>
      </c>
      <c r="C50" s="63" t="str">
        <f>VLOOKUP(B50,'Equip. List CSI'!$K$4:$N$159,4,0)</f>
        <v>03400405</v>
      </c>
      <c r="D50" s="106" t="s">
        <v>801</v>
      </c>
      <c r="E50" s="105" t="s">
        <v>771</v>
      </c>
      <c r="F50" s="64">
        <v>1226250</v>
      </c>
      <c r="G50" s="65">
        <f t="shared" si="6"/>
        <v>122625</v>
      </c>
      <c r="H50" s="63">
        <v>91</v>
      </c>
      <c r="I50" s="66">
        <f t="shared" si="7"/>
        <v>12127.747252747253</v>
      </c>
      <c r="J50" s="66">
        <f t="shared" si="8"/>
        <v>466.45181741335585</v>
      </c>
      <c r="K50" s="67">
        <f t="shared" si="9"/>
        <v>58.306477176669482</v>
      </c>
      <c r="L50" s="62" t="s">
        <v>813</v>
      </c>
      <c r="M50" s="69">
        <f>VLOOKUP(L50,'Manual Manpower Database'!$G$5:$AY$160,45,0)</f>
        <v>2220.5039046121597</v>
      </c>
      <c r="N50" s="66">
        <f t="shared" si="10"/>
        <v>85.403996331236911</v>
      </c>
      <c r="O50" s="67">
        <f t="shared" si="11"/>
        <v>10.675499541404614</v>
      </c>
      <c r="P50" s="68" t="s">
        <v>869</v>
      </c>
      <c r="Q50" s="63">
        <f t="shared" si="12"/>
        <v>0.21</v>
      </c>
      <c r="R50" s="63">
        <v>220</v>
      </c>
      <c r="S50" s="63">
        <f t="shared" si="13"/>
        <v>0.54</v>
      </c>
      <c r="T50" s="63">
        <f t="shared" si="14"/>
        <v>0.72</v>
      </c>
      <c r="U50" s="66">
        <f t="shared" si="15"/>
        <v>34.65</v>
      </c>
      <c r="V50" s="63" t="str">
        <f t="shared" si="16"/>
        <v/>
      </c>
      <c r="W50" s="63">
        <v>0.6</v>
      </c>
      <c r="X50" s="63">
        <v>0.45</v>
      </c>
      <c r="Y50" s="63">
        <f t="shared" si="17"/>
        <v>20.79</v>
      </c>
      <c r="Z50" s="66">
        <f t="shared" si="18"/>
        <v>166.32</v>
      </c>
      <c r="AA50" s="66">
        <f t="shared" si="19"/>
        <v>4324.32</v>
      </c>
      <c r="AB50" s="63">
        <f t="shared" si="20"/>
        <v>0</v>
      </c>
      <c r="AC50" s="63">
        <f t="shared" si="21"/>
        <v>0</v>
      </c>
      <c r="AD50" s="63">
        <f t="shared" si="22"/>
        <v>0</v>
      </c>
      <c r="AE50" s="63">
        <f t="shared" si="41"/>
        <v>0.16499999999999998</v>
      </c>
      <c r="AF50" s="63">
        <f t="shared" si="42"/>
        <v>8.249999999999999E-2</v>
      </c>
      <c r="AG50" s="63">
        <f t="shared" si="43"/>
        <v>5.5000000000000007E-2</v>
      </c>
      <c r="AH50" s="63">
        <f t="shared" si="44"/>
        <v>2.7500000000000004E-2</v>
      </c>
      <c r="AI50" s="63">
        <f t="shared" si="23"/>
        <v>0.33</v>
      </c>
      <c r="AJ50" s="63">
        <v>0.5</v>
      </c>
      <c r="AK50" s="63">
        <f t="shared" si="38"/>
        <v>0.20625000000000002</v>
      </c>
      <c r="AL50" s="63">
        <f t="shared" si="24"/>
        <v>1.6500000000000001</v>
      </c>
      <c r="AM50" s="104">
        <f t="shared" si="25"/>
        <v>42.900000000000006</v>
      </c>
      <c r="AN50" s="62">
        <v>1</v>
      </c>
      <c r="AO50" s="66">
        <f t="shared" si="39"/>
        <v>12127.747252747253</v>
      </c>
      <c r="AP50" s="66">
        <f t="shared" si="26"/>
        <v>466.45181741335585</v>
      </c>
      <c r="AQ50" s="66">
        <f t="shared" si="27"/>
        <v>58.306477176669482</v>
      </c>
      <c r="AR50" s="69"/>
      <c r="AS50" s="66"/>
      <c r="AT50" s="67"/>
      <c r="AU50" s="72">
        <f t="shared" si="28"/>
        <v>30843.218410106667</v>
      </c>
      <c r="AV50" s="51">
        <f t="shared" si="29"/>
        <v>1186.2776311579487</v>
      </c>
      <c r="AW50" s="73">
        <f t="shared" si="30"/>
        <v>148.28470389474356</v>
      </c>
    </row>
    <row r="51" spans="2:49" ht="83.25" customHeight="1" x14ac:dyDescent="0.25">
      <c r="B51" s="62" t="s">
        <v>702</v>
      </c>
      <c r="C51" s="63" t="str">
        <f>VLOOKUP(B51,'Equip. List CSI'!$K$4:$N$159,4,0)</f>
        <v>03300405</v>
      </c>
      <c r="D51" s="106" t="s">
        <v>796</v>
      </c>
      <c r="E51" s="105" t="s">
        <v>772</v>
      </c>
      <c r="F51" s="64">
        <v>1800000</v>
      </c>
      <c r="G51" s="65">
        <f t="shared" si="6"/>
        <v>180000</v>
      </c>
      <c r="H51" s="63">
        <v>91</v>
      </c>
      <c r="I51" s="66">
        <f t="shared" si="7"/>
        <v>17802.197802197803</v>
      </c>
      <c r="J51" s="66">
        <f t="shared" si="8"/>
        <v>684.69991546914628</v>
      </c>
      <c r="K51" s="67">
        <f t="shared" si="9"/>
        <v>85.587489433643285</v>
      </c>
      <c r="L51" s="62" t="s">
        <v>814</v>
      </c>
      <c r="M51" s="69">
        <f>VLOOKUP(L51,'Manual Manpower Database'!$G$5:$AY$160,45,0)</f>
        <v>4136.9305555555557</v>
      </c>
      <c r="N51" s="66">
        <f t="shared" si="10"/>
        <v>159.11271367521368</v>
      </c>
      <c r="O51" s="67">
        <f t="shared" si="11"/>
        <v>19.88908920940171</v>
      </c>
      <c r="P51" s="68" t="s">
        <v>869</v>
      </c>
      <c r="Q51" s="63">
        <f t="shared" si="12"/>
        <v>0.21</v>
      </c>
      <c r="R51" s="63">
        <v>7.5</v>
      </c>
      <c r="S51" s="63">
        <f t="shared" si="13"/>
        <v>0.54</v>
      </c>
      <c r="T51" s="63">
        <f t="shared" si="14"/>
        <v>0.72</v>
      </c>
      <c r="U51" s="66">
        <f t="shared" si="15"/>
        <v>1.1812500000000001</v>
      </c>
      <c r="V51" s="63" t="str">
        <f t="shared" si="16"/>
        <v/>
      </c>
      <c r="W51" s="63">
        <v>0.6</v>
      </c>
      <c r="X51" s="63">
        <v>0.45</v>
      </c>
      <c r="Y51" s="63">
        <f t="shared" si="17"/>
        <v>0.7087500000000001</v>
      </c>
      <c r="Z51" s="66">
        <f t="shared" si="18"/>
        <v>5.6700000000000008</v>
      </c>
      <c r="AA51" s="66">
        <f t="shared" si="19"/>
        <v>147.42000000000002</v>
      </c>
      <c r="AB51" s="63">
        <f t="shared" si="20"/>
        <v>0</v>
      </c>
      <c r="AC51" s="63">
        <f t="shared" si="21"/>
        <v>0</v>
      </c>
      <c r="AD51" s="63">
        <f t="shared" si="22"/>
        <v>0</v>
      </c>
      <c r="AE51" s="63">
        <f t="shared" si="41"/>
        <v>5.6249999999999998E-3</v>
      </c>
      <c r="AF51" s="63">
        <f t="shared" si="42"/>
        <v>2.8124999999999999E-3</v>
      </c>
      <c r="AG51" s="63">
        <f t="shared" si="43"/>
        <v>1.8749999999999999E-3</v>
      </c>
      <c r="AH51" s="63">
        <f t="shared" si="44"/>
        <v>9.3749999999999997E-4</v>
      </c>
      <c r="AI51" s="63">
        <f t="shared" si="23"/>
        <v>1.125E-2</v>
      </c>
      <c r="AJ51" s="63">
        <v>0.5</v>
      </c>
      <c r="AK51" s="63">
        <f t="shared" si="38"/>
        <v>7.0312499999999993E-3</v>
      </c>
      <c r="AL51" s="63">
        <f t="shared" si="24"/>
        <v>5.6249999999999994E-2</v>
      </c>
      <c r="AM51" s="104">
        <f t="shared" si="25"/>
        <v>1.4624999999999999</v>
      </c>
      <c r="AN51" s="62">
        <v>1</v>
      </c>
      <c r="AO51" s="66">
        <f t="shared" si="39"/>
        <v>17802.197802197803</v>
      </c>
      <c r="AP51" s="66">
        <f t="shared" si="26"/>
        <v>684.69991546914628</v>
      </c>
      <c r="AQ51" s="66">
        <f t="shared" si="27"/>
        <v>85.587489433643285</v>
      </c>
      <c r="AR51" s="69"/>
      <c r="AS51" s="66"/>
      <c r="AT51" s="67"/>
      <c r="AU51" s="72">
        <f t="shared" si="28"/>
        <v>39890.20865995116</v>
      </c>
      <c r="AV51" s="51">
        <f t="shared" si="29"/>
        <v>1534.2387946135063</v>
      </c>
      <c r="AW51" s="73">
        <f t="shared" si="30"/>
        <v>191.77984932668829</v>
      </c>
    </row>
    <row r="52" spans="2:49" ht="83.25" customHeight="1" x14ac:dyDescent="0.25">
      <c r="B52" s="62" t="s">
        <v>702</v>
      </c>
      <c r="C52" s="63" t="str">
        <f>VLOOKUP(B52,'Equip. List CSI'!$K$4:$N$159,4,0)</f>
        <v>03300405</v>
      </c>
      <c r="D52" s="106" t="s">
        <v>797</v>
      </c>
      <c r="E52" s="105" t="s">
        <v>773</v>
      </c>
      <c r="F52" s="64">
        <v>600000</v>
      </c>
      <c r="G52" s="65">
        <f t="shared" si="6"/>
        <v>60000</v>
      </c>
      <c r="H52" s="63">
        <v>91</v>
      </c>
      <c r="I52" s="66">
        <f t="shared" si="7"/>
        <v>5934.065934065934</v>
      </c>
      <c r="J52" s="66">
        <f t="shared" si="8"/>
        <v>228.23330515638207</v>
      </c>
      <c r="K52" s="67">
        <f t="shared" si="9"/>
        <v>28.529163144547759</v>
      </c>
      <c r="L52" s="62" t="s">
        <v>814</v>
      </c>
      <c r="M52" s="69">
        <f>VLOOKUP(L52,'Manual Manpower Database'!$G$5:$AY$160,45,0)</f>
        <v>4136.9305555555557</v>
      </c>
      <c r="N52" s="66">
        <f t="shared" si="10"/>
        <v>159.11271367521368</v>
      </c>
      <c r="O52" s="67">
        <f t="shared" si="11"/>
        <v>19.88908920940171</v>
      </c>
      <c r="P52" s="68" t="s">
        <v>869</v>
      </c>
      <c r="Q52" s="63">
        <f t="shared" si="12"/>
        <v>0.21</v>
      </c>
      <c r="R52" s="63">
        <v>7.5</v>
      </c>
      <c r="S52" s="63">
        <f t="shared" si="13"/>
        <v>0.54</v>
      </c>
      <c r="T52" s="63">
        <f t="shared" si="14"/>
        <v>0.72</v>
      </c>
      <c r="U52" s="66">
        <f t="shared" si="15"/>
        <v>1.1812500000000001</v>
      </c>
      <c r="V52" s="63" t="str">
        <f t="shared" si="16"/>
        <v/>
      </c>
      <c r="W52" s="63">
        <v>0.6</v>
      </c>
      <c r="X52" s="63">
        <v>0.45</v>
      </c>
      <c r="Y52" s="63">
        <f t="shared" si="17"/>
        <v>0.7087500000000001</v>
      </c>
      <c r="Z52" s="66">
        <f t="shared" si="18"/>
        <v>5.6700000000000008</v>
      </c>
      <c r="AA52" s="66">
        <f t="shared" si="19"/>
        <v>147.42000000000002</v>
      </c>
      <c r="AB52" s="63">
        <f t="shared" si="20"/>
        <v>0</v>
      </c>
      <c r="AC52" s="63">
        <f t="shared" si="21"/>
        <v>0</v>
      </c>
      <c r="AD52" s="63">
        <f t="shared" si="22"/>
        <v>0</v>
      </c>
      <c r="AE52" s="63">
        <f t="shared" si="41"/>
        <v>5.6249999999999998E-3</v>
      </c>
      <c r="AF52" s="63">
        <f t="shared" si="42"/>
        <v>2.8124999999999999E-3</v>
      </c>
      <c r="AG52" s="63">
        <f t="shared" si="43"/>
        <v>1.8749999999999999E-3</v>
      </c>
      <c r="AH52" s="63">
        <f t="shared" si="44"/>
        <v>9.3749999999999997E-4</v>
      </c>
      <c r="AI52" s="63">
        <f t="shared" si="23"/>
        <v>1.125E-2</v>
      </c>
      <c r="AJ52" s="63">
        <v>0.5</v>
      </c>
      <c r="AK52" s="63">
        <f t="shared" si="38"/>
        <v>7.0312499999999993E-3</v>
      </c>
      <c r="AL52" s="63">
        <f t="shared" si="24"/>
        <v>5.6249999999999994E-2</v>
      </c>
      <c r="AM52" s="104">
        <f t="shared" si="25"/>
        <v>1.4624999999999999</v>
      </c>
      <c r="AN52" s="62">
        <v>1</v>
      </c>
      <c r="AO52" s="66">
        <f t="shared" si="39"/>
        <v>5934.065934065934</v>
      </c>
      <c r="AP52" s="66">
        <f t="shared" si="26"/>
        <v>228.23330515638207</v>
      </c>
      <c r="AQ52" s="66">
        <f t="shared" si="27"/>
        <v>28.529163144547759</v>
      </c>
      <c r="AR52" s="69"/>
      <c r="AS52" s="66"/>
      <c r="AT52" s="67"/>
      <c r="AU52" s="72">
        <f t="shared" si="28"/>
        <v>16153.944923687424</v>
      </c>
      <c r="AV52" s="51">
        <f t="shared" si="29"/>
        <v>621.30557398797782</v>
      </c>
      <c r="AW52" s="73">
        <f t="shared" si="30"/>
        <v>77.663196748497228</v>
      </c>
    </row>
    <row r="53" spans="2:49" ht="83.25" customHeight="1" x14ac:dyDescent="0.25">
      <c r="B53" s="62" t="s">
        <v>702</v>
      </c>
      <c r="C53" s="63" t="str">
        <f>VLOOKUP(B53,'Equip. List CSI'!$K$4:$N$159,4,0)</f>
        <v>03300405</v>
      </c>
      <c r="D53" s="106" t="s">
        <v>798</v>
      </c>
      <c r="E53" s="105" t="s">
        <v>774</v>
      </c>
      <c r="F53" s="64">
        <v>1164620</v>
      </c>
      <c r="G53" s="65">
        <f t="shared" si="6"/>
        <v>116462</v>
      </c>
      <c r="H53" s="63">
        <v>91</v>
      </c>
      <c r="I53" s="66">
        <f t="shared" si="7"/>
        <v>11518.219780219781</v>
      </c>
      <c r="J53" s="66">
        <f t="shared" si="8"/>
        <v>443.00845308537617</v>
      </c>
      <c r="K53" s="67">
        <f t="shared" si="9"/>
        <v>55.376056635672022</v>
      </c>
      <c r="L53" s="62" t="s">
        <v>814</v>
      </c>
      <c r="M53" s="69">
        <f>VLOOKUP(L53,'Manual Manpower Database'!$G$5:$AY$160,45,0)</f>
        <v>4136.9305555555557</v>
      </c>
      <c r="N53" s="66">
        <f t="shared" si="10"/>
        <v>159.11271367521368</v>
      </c>
      <c r="O53" s="67">
        <f t="shared" si="11"/>
        <v>19.88908920940171</v>
      </c>
      <c r="P53" s="68" t="s">
        <v>869</v>
      </c>
      <c r="Q53" s="63">
        <f t="shared" si="12"/>
        <v>0.21</v>
      </c>
      <c r="R53" s="63">
        <v>7.5</v>
      </c>
      <c r="S53" s="63">
        <f t="shared" si="13"/>
        <v>0.54</v>
      </c>
      <c r="T53" s="63">
        <f t="shared" si="14"/>
        <v>0.72</v>
      </c>
      <c r="U53" s="66">
        <f t="shared" si="15"/>
        <v>1.1812500000000001</v>
      </c>
      <c r="V53" s="63" t="str">
        <f t="shared" si="16"/>
        <v/>
      </c>
      <c r="W53" s="63">
        <v>0.6</v>
      </c>
      <c r="X53" s="63">
        <v>0.45</v>
      </c>
      <c r="Y53" s="63">
        <f t="shared" si="17"/>
        <v>0.7087500000000001</v>
      </c>
      <c r="Z53" s="66">
        <f t="shared" si="18"/>
        <v>5.6700000000000008</v>
      </c>
      <c r="AA53" s="66">
        <f t="shared" si="19"/>
        <v>147.42000000000002</v>
      </c>
      <c r="AB53" s="63">
        <f t="shared" si="20"/>
        <v>0</v>
      </c>
      <c r="AC53" s="63">
        <f t="shared" si="21"/>
        <v>0</v>
      </c>
      <c r="AD53" s="63">
        <f t="shared" si="22"/>
        <v>0</v>
      </c>
      <c r="AE53" s="63">
        <f t="shared" si="41"/>
        <v>5.6249999999999998E-3</v>
      </c>
      <c r="AF53" s="63">
        <f t="shared" si="42"/>
        <v>2.8124999999999999E-3</v>
      </c>
      <c r="AG53" s="63">
        <f t="shared" si="43"/>
        <v>1.8749999999999999E-3</v>
      </c>
      <c r="AH53" s="63">
        <f t="shared" si="44"/>
        <v>9.3749999999999997E-4</v>
      </c>
      <c r="AI53" s="63">
        <f t="shared" si="23"/>
        <v>1.125E-2</v>
      </c>
      <c r="AJ53" s="63">
        <v>0.5</v>
      </c>
      <c r="AK53" s="63">
        <f t="shared" si="38"/>
        <v>7.0312499999999993E-3</v>
      </c>
      <c r="AL53" s="63">
        <f t="shared" si="24"/>
        <v>5.6249999999999994E-2</v>
      </c>
      <c r="AM53" s="104">
        <f t="shared" si="25"/>
        <v>1.4624999999999999</v>
      </c>
      <c r="AN53" s="62">
        <v>1</v>
      </c>
      <c r="AO53" s="66">
        <f t="shared" si="39"/>
        <v>11518.219780219781</v>
      </c>
      <c r="AP53" s="66">
        <f t="shared" si="26"/>
        <v>443.00845308537617</v>
      </c>
      <c r="AQ53" s="66">
        <f t="shared" si="27"/>
        <v>55.376056635672022</v>
      </c>
      <c r="AR53" s="69"/>
      <c r="AS53" s="66"/>
      <c r="AT53" s="67"/>
      <c r="AU53" s="72">
        <f t="shared" si="28"/>
        <v>27322.252615995116</v>
      </c>
      <c r="AV53" s="51">
        <f t="shared" si="29"/>
        <v>1050.855869845966</v>
      </c>
      <c r="AW53" s="73">
        <f t="shared" si="30"/>
        <v>131.35698373074575</v>
      </c>
    </row>
    <row r="54" spans="2:49" ht="83.25" customHeight="1" x14ac:dyDescent="0.25">
      <c r="B54" s="62" t="s">
        <v>703</v>
      </c>
      <c r="C54" s="63" t="str">
        <f>VLOOKUP(B54,'Equip. List CSI'!$K$4:$N$159,4,0)</f>
        <v>03300410</v>
      </c>
      <c r="D54" s="106" t="s">
        <v>796</v>
      </c>
      <c r="E54" s="105" t="s">
        <v>775</v>
      </c>
      <c r="F54" s="64">
        <v>225000</v>
      </c>
      <c r="G54" s="65">
        <f t="shared" si="6"/>
        <v>22500</v>
      </c>
      <c r="H54" s="63">
        <v>72</v>
      </c>
      <c r="I54" s="66">
        <f t="shared" si="7"/>
        <v>2812.5</v>
      </c>
      <c r="J54" s="66">
        <f t="shared" si="8"/>
        <v>108.17307692307692</v>
      </c>
      <c r="K54" s="67">
        <f t="shared" si="9"/>
        <v>13.521634615384615</v>
      </c>
      <c r="L54" s="62" t="s">
        <v>815</v>
      </c>
      <c r="M54" s="69">
        <f>VLOOKUP(L54,'Manual Manpower Database'!$G$5:$AY$160,45,0)</f>
        <v>2461.6555555555556</v>
      </c>
      <c r="N54" s="66">
        <f t="shared" si="10"/>
        <v>94.679059829059824</v>
      </c>
      <c r="O54" s="67">
        <f t="shared" si="11"/>
        <v>11.834882478632478</v>
      </c>
      <c r="P54" s="68" t="s">
        <v>870</v>
      </c>
      <c r="Q54" s="63">
        <f t="shared" si="12"/>
        <v>0.17</v>
      </c>
      <c r="R54" s="63">
        <v>274</v>
      </c>
      <c r="S54" s="63">
        <f t="shared" si="13"/>
        <v>0.54</v>
      </c>
      <c r="T54" s="63">
        <f t="shared" si="14"/>
        <v>0.84</v>
      </c>
      <c r="U54" s="66" t="str">
        <f t="shared" si="15"/>
        <v/>
      </c>
      <c r="V54" s="66">
        <f t="shared" si="16"/>
        <v>21.128688000000004</v>
      </c>
      <c r="W54" s="63">
        <v>0.6</v>
      </c>
      <c r="X54" s="63">
        <v>0.45</v>
      </c>
      <c r="Y54" s="63">
        <f t="shared" si="17"/>
        <v>0</v>
      </c>
      <c r="Z54" s="66">
        <f t="shared" si="18"/>
        <v>0</v>
      </c>
      <c r="AA54" s="66">
        <f t="shared" si="19"/>
        <v>0</v>
      </c>
      <c r="AB54" s="63">
        <f t="shared" si="20"/>
        <v>7.6500000000000012E-2</v>
      </c>
      <c r="AC54" s="63">
        <f t="shared" si="21"/>
        <v>0.6120000000000001</v>
      </c>
      <c r="AD54" s="63">
        <f t="shared" si="22"/>
        <v>15.912000000000003</v>
      </c>
      <c r="AE54" s="63">
        <f t="shared" si="41"/>
        <v>0.20549999999999999</v>
      </c>
      <c r="AF54" s="63">
        <f t="shared" si="42"/>
        <v>0.10274999999999999</v>
      </c>
      <c r="AG54" s="63">
        <f t="shared" si="43"/>
        <v>6.8500000000000005E-2</v>
      </c>
      <c r="AH54" s="63">
        <f t="shared" si="44"/>
        <v>3.4250000000000003E-2</v>
      </c>
      <c r="AI54" s="63">
        <f t="shared" si="23"/>
        <v>0.41099999999999998</v>
      </c>
      <c r="AJ54" s="63">
        <v>0.5</v>
      </c>
      <c r="AK54" s="63">
        <f t="shared" si="38"/>
        <v>0.25687499999999996</v>
      </c>
      <c r="AL54" s="63">
        <f t="shared" si="24"/>
        <v>2.0549999999999997</v>
      </c>
      <c r="AM54" s="104">
        <f t="shared" si="25"/>
        <v>53.429999999999993</v>
      </c>
      <c r="AN54" s="62">
        <v>1</v>
      </c>
      <c r="AO54" s="66">
        <f t="shared" si="39"/>
        <v>2812.5</v>
      </c>
      <c r="AP54" s="66">
        <f t="shared" si="26"/>
        <v>108.17307692307692</v>
      </c>
      <c r="AQ54" s="66">
        <f t="shared" si="27"/>
        <v>13.521634615384615</v>
      </c>
      <c r="AR54" s="69"/>
      <c r="AS54" s="66"/>
      <c r="AT54" s="67"/>
      <c r="AU54" s="72">
        <f t="shared" si="28"/>
        <v>8140.0855555555554</v>
      </c>
      <c r="AV54" s="51">
        <f t="shared" si="29"/>
        <v>313.69221367521368</v>
      </c>
      <c r="AW54" s="73">
        <f t="shared" si="30"/>
        <v>39.21152670940171</v>
      </c>
    </row>
    <row r="55" spans="2:49" ht="83.25" customHeight="1" x14ac:dyDescent="0.25">
      <c r="B55" s="62" t="s">
        <v>703</v>
      </c>
      <c r="C55" s="63" t="str">
        <f>VLOOKUP(B55,'Equip. List CSI'!$K$4:$N$159,4,0)</f>
        <v>03300410</v>
      </c>
      <c r="D55" s="106" t="s">
        <v>797</v>
      </c>
      <c r="E55" s="105" t="s">
        <v>776</v>
      </c>
      <c r="F55" s="64">
        <v>2030000</v>
      </c>
      <c r="G55" s="65">
        <f t="shared" si="6"/>
        <v>203000</v>
      </c>
      <c r="H55" s="63">
        <v>120</v>
      </c>
      <c r="I55" s="66">
        <f t="shared" si="7"/>
        <v>15225</v>
      </c>
      <c r="J55" s="66">
        <f t="shared" si="8"/>
        <v>585.57692307692309</v>
      </c>
      <c r="K55" s="67">
        <f t="shared" si="9"/>
        <v>73.197115384615387</v>
      </c>
      <c r="L55" s="62" t="s">
        <v>815</v>
      </c>
      <c r="M55" s="69">
        <f>VLOOKUP(L55,'Manual Manpower Database'!$G$5:$AY$160,45,0)</f>
        <v>2461.6555555555556</v>
      </c>
      <c r="N55" s="66">
        <f t="shared" si="10"/>
        <v>94.679059829059824</v>
      </c>
      <c r="O55" s="67">
        <f t="shared" si="11"/>
        <v>11.834882478632478</v>
      </c>
      <c r="P55" s="68" t="s">
        <v>869</v>
      </c>
      <c r="Q55" s="63">
        <f t="shared" si="12"/>
        <v>0.21</v>
      </c>
      <c r="R55" s="63">
        <v>274</v>
      </c>
      <c r="S55" s="63">
        <f t="shared" si="13"/>
        <v>0.54</v>
      </c>
      <c r="T55" s="63">
        <f t="shared" si="14"/>
        <v>0.72</v>
      </c>
      <c r="U55" s="66">
        <f t="shared" si="15"/>
        <v>43.155000000000001</v>
      </c>
      <c r="V55" s="63" t="str">
        <f t="shared" si="16"/>
        <v/>
      </c>
      <c r="W55" s="63">
        <v>0.6</v>
      </c>
      <c r="X55" s="63">
        <v>0.45</v>
      </c>
      <c r="Y55" s="63">
        <f t="shared" si="17"/>
        <v>25.893000000000001</v>
      </c>
      <c r="Z55" s="66">
        <f t="shared" si="18"/>
        <v>207.14400000000001</v>
      </c>
      <c r="AA55" s="66">
        <f t="shared" si="19"/>
        <v>5385.7440000000006</v>
      </c>
      <c r="AB55" s="63">
        <f t="shared" si="20"/>
        <v>0</v>
      </c>
      <c r="AC55" s="63">
        <f t="shared" si="21"/>
        <v>0</v>
      </c>
      <c r="AD55" s="63">
        <f t="shared" si="22"/>
        <v>0</v>
      </c>
      <c r="AE55" s="63">
        <f t="shared" si="41"/>
        <v>0.20549999999999999</v>
      </c>
      <c r="AF55" s="63">
        <f t="shared" si="42"/>
        <v>0.10274999999999999</v>
      </c>
      <c r="AG55" s="63">
        <f t="shared" si="43"/>
        <v>6.8500000000000005E-2</v>
      </c>
      <c r="AH55" s="63">
        <f t="shared" si="44"/>
        <v>3.4250000000000003E-2</v>
      </c>
      <c r="AI55" s="63">
        <f t="shared" si="23"/>
        <v>0.41099999999999998</v>
      </c>
      <c r="AJ55" s="63">
        <v>0.5</v>
      </c>
      <c r="AK55" s="63">
        <f t="shared" si="38"/>
        <v>0.25687499999999996</v>
      </c>
      <c r="AL55" s="63">
        <f t="shared" si="24"/>
        <v>2.0549999999999997</v>
      </c>
      <c r="AM55" s="104">
        <f t="shared" si="25"/>
        <v>53.429999999999993</v>
      </c>
      <c r="AN55" s="62">
        <v>1</v>
      </c>
      <c r="AO55" s="66">
        <f t="shared" si="39"/>
        <v>15225</v>
      </c>
      <c r="AP55" s="66">
        <f t="shared" si="26"/>
        <v>585.57692307692309</v>
      </c>
      <c r="AQ55" s="66">
        <f t="shared" si="27"/>
        <v>73.197115384615387</v>
      </c>
      <c r="AR55" s="69">
        <f t="shared" si="40"/>
        <v>1522.5</v>
      </c>
      <c r="AS55" s="66">
        <f t="shared" si="32"/>
        <v>58.557692307692307</v>
      </c>
      <c r="AT55" s="67">
        <f t="shared" si="33"/>
        <v>7.3197115384615383</v>
      </c>
      <c r="AU55" s="72">
        <f t="shared" si="28"/>
        <v>39873.32955555556</v>
      </c>
      <c r="AV55" s="51">
        <f t="shared" si="29"/>
        <v>1533.5895982905984</v>
      </c>
      <c r="AW55" s="73">
        <f t="shared" si="30"/>
        <v>191.6986997863248</v>
      </c>
    </row>
    <row r="56" spans="2:49" ht="83.25" customHeight="1" x14ac:dyDescent="0.25">
      <c r="B56" s="62" t="s">
        <v>703</v>
      </c>
      <c r="C56" s="63" t="str">
        <f>VLOOKUP(B56,'Equip. List CSI'!$K$4:$N$159,4,0)</f>
        <v>03300410</v>
      </c>
      <c r="D56" s="106" t="s">
        <v>798</v>
      </c>
      <c r="E56" s="105" t="s">
        <v>777</v>
      </c>
      <c r="F56" s="64">
        <v>3380000</v>
      </c>
      <c r="G56" s="65">
        <f t="shared" si="6"/>
        <v>338000</v>
      </c>
      <c r="H56" s="63">
        <v>120</v>
      </c>
      <c r="I56" s="66">
        <f t="shared" si="7"/>
        <v>25350</v>
      </c>
      <c r="J56" s="66">
        <f t="shared" si="8"/>
        <v>975</v>
      </c>
      <c r="K56" s="67">
        <f t="shared" si="9"/>
        <v>121.875</v>
      </c>
      <c r="L56" s="62" t="s">
        <v>815</v>
      </c>
      <c r="M56" s="69">
        <f>VLOOKUP(L56,'Manual Manpower Database'!$G$5:$AY$160,45,0)</f>
        <v>2461.6555555555556</v>
      </c>
      <c r="N56" s="66">
        <f t="shared" si="10"/>
        <v>94.679059829059824</v>
      </c>
      <c r="O56" s="67">
        <f t="shared" si="11"/>
        <v>11.834882478632478</v>
      </c>
      <c r="P56" s="68" t="s">
        <v>869</v>
      </c>
      <c r="Q56" s="63">
        <f t="shared" si="12"/>
        <v>0.21</v>
      </c>
      <c r="R56" s="63">
        <v>274</v>
      </c>
      <c r="S56" s="63">
        <f t="shared" si="13"/>
        <v>0.54</v>
      </c>
      <c r="T56" s="63">
        <f t="shared" si="14"/>
        <v>0.72</v>
      </c>
      <c r="U56" s="66">
        <f t="shared" si="15"/>
        <v>43.155000000000001</v>
      </c>
      <c r="V56" s="63" t="str">
        <f t="shared" si="16"/>
        <v/>
      </c>
      <c r="W56" s="63">
        <v>0.6</v>
      </c>
      <c r="X56" s="63">
        <v>0.45</v>
      </c>
      <c r="Y56" s="63">
        <f t="shared" si="17"/>
        <v>25.893000000000001</v>
      </c>
      <c r="Z56" s="66">
        <f t="shared" si="18"/>
        <v>207.14400000000001</v>
      </c>
      <c r="AA56" s="66">
        <f t="shared" si="19"/>
        <v>5385.7440000000006</v>
      </c>
      <c r="AB56" s="63">
        <f t="shared" si="20"/>
        <v>0</v>
      </c>
      <c r="AC56" s="63">
        <f t="shared" si="21"/>
        <v>0</v>
      </c>
      <c r="AD56" s="63">
        <f t="shared" si="22"/>
        <v>0</v>
      </c>
      <c r="AE56" s="63">
        <f t="shared" si="41"/>
        <v>0.20549999999999999</v>
      </c>
      <c r="AF56" s="63">
        <f t="shared" si="42"/>
        <v>0.10274999999999999</v>
      </c>
      <c r="AG56" s="63">
        <f t="shared" si="43"/>
        <v>6.8500000000000005E-2</v>
      </c>
      <c r="AH56" s="63">
        <f t="shared" si="44"/>
        <v>3.4250000000000003E-2</v>
      </c>
      <c r="AI56" s="63">
        <f t="shared" si="23"/>
        <v>0.41099999999999998</v>
      </c>
      <c r="AJ56" s="63">
        <v>0.5</v>
      </c>
      <c r="AK56" s="63">
        <f t="shared" si="38"/>
        <v>0.25687499999999996</v>
      </c>
      <c r="AL56" s="63">
        <f t="shared" si="24"/>
        <v>2.0549999999999997</v>
      </c>
      <c r="AM56" s="104">
        <f t="shared" si="25"/>
        <v>53.429999999999993</v>
      </c>
      <c r="AN56" s="62">
        <v>1</v>
      </c>
      <c r="AO56" s="66">
        <f t="shared" si="39"/>
        <v>25350</v>
      </c>
      <c r="AP56" s="66">
        <f t="shared" si="26"/>
        <v>975</v>
      </c>
      <c r="AQ56" s="66">
        <f t="shared" si="27"/>
        <v>121.875</v>
      </c>
      <c r="AR56" s="69">
        <f t="shared" si="40"/>
        <v>2535</v>
      </c>
      <c r="AS56" s="66">
        <f t="shared" si="32"/>
        <v>97.5</v>
      </c>
      <c r="AT56" s="67">
        <f t="shared" si="33"/>
        <v>12.1875</v>
      </c>
      <c r="AU56" s="72">
        <f t="shared" si="28"/>
        <v>61135.82955555556</v>
      </c>
      <c r="AV56" s="51">
        <f t="shared" si="29"/>
        <v>2351.3780598290596</v>
      </c>
      <c r="AW56" s="73">
        <f t="shared" si="30"/>
        <v>293.92225747863245</v>
      </c>
    </row>
    <row r="57" spans="2:49" ht="83.25" customHeight="1" x14ac:dyDescent="0.25">
      <c r="B57" s="62" t="s">
        <v>703</v>
      </c>
      <c r="C57" s="63" t="str">
        <f>VLOOKUP(B57,'Equip. List CSI'!$K$4:$N$159,4,0)</f>
        <v>03300410</v>
      </c>
      <c r="D57" s="106" t="s">
        <v>799</v>
      </c>
      <c r="E57" s="105" t="s">
        <v>778</v>
      </c>
      <c r="F57" s="64">
        <v>1240000</v>
      </c>
      <c r="G57" s="65">
        <f t="shared" si="6"/>
        <v>124000</v>
      </c>
      <c r="H57" s="63">
        <v>79</v>
      </c>
      <c r="I57" s="66">
        <f t="shared" si="7"/>
        <v>14126.582278481013</v>
      </c>
      <c r="J57" s="66">
        <f t="shared" si="8"/>
        <v>543.33008763388511</v>
      </c>
      <c r="K57" s="67">
        <f t="shared" si="9"/>
        <v>67.916260954235639</v>
      </c>
      <c r="L57" s="62" t="s">
        <v>815</v>
      </c>
      <c r="M57" s="69">
        <f>VLOOKUP(L57,'Manual Manpower Database'!$G$5:$AY$160,45,0)</f>
        <v>2461.6555555555556</v>
      </c>
      <c r="N57" s="66">
        <f t="shared" si="10"/>
        <v>94.679059829059824</v>
      </c>
      <c r="O57" s="67">
        <f t="shared" si="11"/>
        <v>11.834882478632478</v>
      </c>
      <c r="P57" s="68" t="s">
        <v>869</v>
      </c>
      <c r="Q57" s="63">
        <f t="shared" si="12"/>
        <v>0.21</v>
      </c>
      <c r="R57" s="63">
        <v>274</v>
      </c>
      <c r="S57" s="63">
        <f t="shared" si="13"/>
        <v>0.54</v>
      </c>
      <c r="T57" s="63">
        <f t="shared" si="14"/>
        <v>0.72</v>
      </c>
      <c r="U57" s="66">
        <f t="shared" si="15"/>
        <v>43.155000000000001</v>
      </c>
      <c r="V57" s="63" t="str">
        <f t="shared" si="16"/>
        <v/>
      </c>
      <c r="W57" s="63">
        <v>0.6</v>
      </c>
      <c r="X57" s="63">
        <v>0.45</v>
      </c>
      <c r="Y57" s="63">
        <f t="shared" si="17"/>
        <v>25.893000000000001</v>
      </c>
      <c r="Z57" s="66">
        <f t="shared" si="18"/>
        <v>207.14400000000001</v>
      </c>
      <c r="AA57" s="66">
        <f t="shared" si="19"/>
        <v>5385.7440000000006</v>
      </c>
      <c r="AB57" s="63">
        <f t="shared" si="20"/>
        <v>0</v>
      </c>
      <c r="AC57" s="63">
        <f t="shared" si="21"/>
        <v>0</v>
      </c>
      <c r="AD57" s="63">
        <f t="shared" si="22"/>
        <v>0</v>
      </c>
      <c r="AE57" s="63">
        <f t="shared" si="41"/>
        <v>0.20549999999999999</v>
      </c>
      <c r="AF57" s="63">
        <f t="shared" si="42"/>
        <v>0.10274999999999999</v>
      </c>
      <c r="AG57" s="63">
        <f t="shared" si="43"/>
        <v>6.8500000000000005E-2</v>
      </c>
      <c r="AH57" s="63">
        <f t="shared" si="44"/>
        <v>3.4250000000000003E-2</v>
      </c>
      <c r="AI57" s="63">
        <f t="shared" si="23"/>
        <v>0.41099999999999998</v>
      </c>
      <c r="AJ57" s="63">
        <v>0.5</v>
      </c>
      <c r="AK57" s="63">
        <f t="shared" si="38"/>
        <v>0.25687499999999996</v>
      </c>
      <c r="AL57" s="63">
        <f t="shared" si="24"/>
        <v>2.0549999999999997</v>
      </c>
      <c r="AM57" s="104">
        <f t="shared" si="25"/>
        <v>53.429999999999993</v>
      </c>
      <c r="AN57" s="62">
        <v>1</v>
      </c>
      <c r="AO57" s="66">
        <f t="shared" si="39"/>
        <v>14126.582278481013</v>
      </c>
      <c r="AP57" s="66">
        <f t="shared" si="26"/>
        <v>543.33008763388511</v>
      </c>
      <c r="AQ57" s="66">
        <f t="shared" si="27"/>
        <v>67.916260954235639</v>
      </c>
      <c r="AR57" s="69">
        <f t="shared" si="40"/>
        <v>1412.6582278481014</v>
      </c>
      <c r="AS57" s="66">
        <f t="shared" si="32"/>
        <v>54.33300876338852</v>
      </c>
      <c r="AT57" s="67">
        <f t="shared" si="33"/>
        <v>6.791626095423565</v>
      </c>
      <c r="AU57" s="72">
        <f t="shared" si="28"/>
        <v>37566.652340365683</v>
      </c>
      <c r="AV57" s="51">
        <f t="shared" si="29"/>
        <v>1444.8712438602186</v>
      </c>
      <c r="AW57" s="73">
        <f t="shared" si="30"/>
        <v>180.60890548252732</v>
      </c>
    </row>
    <row r="58" spans="2:49" ht="83.25" customHeight="1" x14ac:dyDescent="0.25">
      <c r="B58" s="62" t="s">
        <v>704</v>
      </c>
      <c r="C58" s="63" t="str">
        <f>VLOOKUP(B58,'Equip. List CSI'!$K$4:$N$159,4,0)</f>
        <v>03300415</v>
      </c>
      <c r="D58" s="106" t="s">
        <v>796</v>
      </c>
      <c r="E58" s="105" t="s">
        <v>779</v>
      </c>
      <c r="F58" s="64">
        <v>530000</v>
      </c>
      <c r="G58" s="65">
        <f t="shared" si="6"/>
        <v>53000</v>
      </c>
      <c r="H58" s="63">
        <v>60</v>
      </c>
      <c r="I58" s="66">
        <f t="shared" si="7"/>
        <v>7950</v>
      </c>
      <c r="J58" s="66">
        <f t="shared" si="8"/>
        <v>305.76923076923077</v>
      </c>
      <c r="K58" s="67">
        <f t="shared" si="9"/>
        <v>38.221153846153847</v>
      </c>
      <c r="L58" s="62" t="s">
        <v>816</v>
      </c>
      <c r="M58" s="69">
        <f>VLOOKUP(L58,'Manual Manpower Database'!$G$5:$AY$160,45,0)</f>
        <v>1920.4055555555556</v>
      </c>
      <c r="N58" s="66">
        <f t="shared" si="10"/>
        <v>73.861752136752131</v>
      </c>
      <c r="O58" s="67">
        <f t="shared" si="11"/>
        <v>9.2327190170940163</v>
      </c>
      <c r="P58" s="68" t="s">
        <v>869</v>
      </c>
      <c r="Q58" s="63">
        <f t="shared" si="12"/>
        <v>0.21</v>
      </c>
      <c r="R58" s="63">
        <f>R59*2</f>
        <v>95.2</v>
      </c>
      <c r="S58" s="63">
        <f t="shared" si="13"/>
        <v>0.54</v>
      </c>
      <c r="T58" s="63">
        <f t="shared" si="14"/>
        <v>0.72</v>
      </c>
      <c r="U58" s="66">
        <f t="shared" si="15"/>
        <v>14.994000000000002</v>
      </c>
      <c r="V58" s="63" t="str">
        <f t="shared" si="16"/>
        <v/>
      </c>
      <c r="W58" s="63">
        <v>0.6</v>
      </c>
      <c r="X58" s="63">
        <v>0.45</v>
      </c>
      <c r="Y58" s="63">
        <f t="shared" si="17"/>
        <v>8.9964000000000013</v>
      </c>
      <c r="Z58" s="66">
        <f t="shared" si="18"/>
        <v>71.97120000000001</v>
      </c>
      <c r="AA58" s="66">
        <f t="shared" si="19"/>
        <v>1871.2512000000002</v>
      </c>
      <c r="AB58" s="63">
        <f t="shared" si="20"/>
        <v>0</v>
      </c>
      <c r="AC58" s="63">
        <f t="shared" si="21"/>
        <v>0</v>
      </c>
      <c r="AD58" s="63">
        <f t="shared" si="22"/>
        <v>0</v>
      </c>
      <c r="AE58" s="63">
        <f t="shared" si="41"/>
        <v>7.1399999999999991E-2</v>
      </c>
      <c r="AF58" s="63">
        <f t="shared" si="42"/>
        <v>3.5699999999999996E-2</v>
      </c>
      <c r="AG58" s="63">
        <f t="shared" si="43"/>
        <v>2.3800000000000002E-2</v>
      </c>
      <c r="AH58" s="63">
        <f t="shared" si="44"/>
        <v>1.1900000000000001E-2</v>
      </c>
      <c r="AI58" s="63">
        <f t="shared" si="23"/>
        <v>0.14279999999999998</v>
      </c>
      <c r="AJ58" s="63">
        <v>0.5</v>
      </c>
      <c r="AK58" s="63">
        <f t="shared" si="38"/>
        <v>8.9249999999999996E-2</v>
      </c>
      <c r="AL58" s="63">
        <f t="shared" si="24"/>
        <v>0.71399999999999997</v>
      </c>
      <c r="AM58" s="104">
        <f t="shared" si="25"/>
        <v>18.564</v>
      </c>
      <c r="AN58" s="62">
        <v>0.6</v>
      </c>
      <c r="AO58" s="66">
        <f t="shared" si="39"/>
        <v>4770</v>
      </c>
      <c r="AP58" s="66">
        <f t="shared" si="26"/>
        <v>183.46153846153845</v>
      </c>
      <c r="AQ58" s="66">
        <f t="shared" si="27"/>
        <v>22.932692307692307</v>
      </c>
      <c r="AR58" s="69">
        <f t="shared" si="40"/>
        <v>795</v>
      </c>
      <c r="AS58" s="66">
        <f t="shared" si="32"/>
        <v>30.576923076923077</v>
      </c>
      <c r="AT58" s="67">
        <f t="shared" si="33"/>
        <v>3.8221153846153846</v>
      </c>
      <c r="AU58" s="72">
        <f t="shared" si="28"/>
        <v>17325.220755555558</v>
      </c>
      <c r="AV58" s="51">
        <f t="shared" si="29"/>
        <v>666.35464444444449</v>
      </c>
      <c r="AW58" s="73">
        <f t="shared" si="30"/>
        <v>83.294330555555561</v>
      </c>
    </row>
    <row r="59" spans="2:49" ht="83.25" customHeight="1" x14ac:dyDescent="0.25">
      <c r="B59" s="62" t="s">
        <v>704</v>
      </c>
      <c r="C59" s="63" t="str">
        <f>VLOOKUP(B59,'Equip. List CSI'!$K$4:$N$159,4,0)</f>
        <v>03300415</v>
      </c>
      <c r="D59" s="106" t="s">
        <v>797</v>
      </c>
      <c r="E59" s="105" t="s">
        <v>780</v>
      </c>
      <c r="F59" s="64">
        <v>210000</v>
      </c>
      <c r="G59" s="65">
        <f t="shared" si="6"/>
        <v>21000</v>
      </c>
      <c r="H59" s="63">
        <v>60</v>
      </c>
      <c r="I59" s="66">
        <f t="shared" si="7"/>
        <v>3150</v>
      </c>
      <c r="J59" s="66">
        <f t="shared" si="8"/>
        <v>121.15384615384616</v>
      </c>
      <c r="K59" s="67">
        <f t="shared" si="9"/>
        <v>15.14423076923077</v>
      </c>
      <c r="L59" s="62" t="s">
        <v>816</v>
      </c>
      <c r="M59" s="69">
        <f>VLOOKUP(L59,'Manual Manpower Database'!$G$5:$AY$160,45,0)</f>
        <v>1920.4055555555556</v>
      </c>
      <c r="N59" s="66">
        <f t="shared" si="10"/>
        <v>73.861752136752131</v>
      </c>
      <c r="O59" s="67">
        <f t="shared" si="11"/>
        <v>9.2327190170940163</v>
      </c>
      <c r="P59" s="68" t="s">
        <v>869</v>
      </c>
      <c r="Q59" s="63">
        <f t="shared" si="12"/>
        <v>0.21</v>
      </c>
      <c r="R59" s="63">
        <v>47.6</v>
      </c>
      <c r="S59" s="63">
        <f t="shared" si="13"/>
        <v>0.54</v>
      </c>
      <c r="T59" s="63">
        <f t="shared" si="14"/>
        <v>0.72</v>
      </c>
      <c r="U59" s="66">
        <f t="shared" si="15"/>
        <v>7.4970000000000008</v>
      </c>
      <c r="V59" s="63" t="str">
        <f t="shared" si="16"/>
        <v/>
      </c>
      <c r="W59" s="63">
        <v>0.6</v>
      </c>
      <c r="X59" s="63">
        <v>0.45</v>
      </c>
      <c r="Y59" s="63">
        <f t="shared" si="17"/>
        <v>4.4982000000000006</v>
      </c>
      <c r="Z59" s="66">
        <f t="shared" si="18"/>
        <v>35.985600000000005</v>
      </c>
      <c r="AA59" s="66">
        <f t="shared" si="19"/>
        <v>935.62560000000008</v>
      </c>
      <c r="AB59" s="63">
        <f t="shared" si="20"/>
        <v>0</v>
      </c>
      <c r="AC59" s="63">
        <f t="shared" si="21"/>
        <v>0</v>
      </c>
      <c r="AD59" s="63">
        <f t="shared" si="22"/>
        <v>0</v>
      </c>
      <c r="AE59" s="63">
        <f t="shared" si="41"/>
        <v>3.5699999999999996E-2</v>
      </c>
      <c r="AF59" s="63">
        <f t="shared" si="42"/>
        <v>1.7849999999999998E-2</v>
      </c>
      <c r="AG59" s="63">
        <f t="shared" si="43"/>
        <v>1.1900000000000001E-2</v>
      </c>
      <c r="AH59" s="63">
        <f t="shared" si="44"/>
        <v>5.9500000000000004E-3</v>
      </c>
      <c r="AI59" s="63">
        <f t="shared" si="23"/>
        <v>7.1399999999999991E-2</v>
      </c>
      <c r="AJ59" s="63">
        <v>0.5</v>
      </c>
      <c r="AK59" s="63">
        <f t="shared" si="38"/>
        <v>4.4624999999999998E-2</v>
      </c>
      <c r="AL59" s="63">
        <f t="shared" si="24"/>
        <v>0.35699999999999998</v>
      </c>
      <c r="AM59" s="104">
        <f t="shared" si="25"/>
        <v>9.282</v>
      </c>
      <c r="AN59" s="62">
        <v>0.6</v>
      </c>
      <c r="AO59" s="66">
        <f t="shared" si="39"/>
        <v>1890</v>
      </c>
      <c r="AP59" s="66">
        <f t="shared" si="26"/>
        <v>72.692307692307693</v>
      </c>
      <c r="AQ59" s="66">
        <f t="shared" si="27"/>
        <v>9.0865384615384617</v>
      </c>
      <c r="AR59" s="69">
        <f t="shared" si="40"/>
        <v>315</v>
      </c>
      <c r="AS59" s="66">
        <f t="shared" si="32"/>
        <v>12.115384615384615</v>
      </c>
      <c r="AT59" s="67">
        <f t="shared" si="33"/>
        <v>1.5144230769230769</v>
      </c>
      <c r="AU59" s="72">
        <f t="shared" si="28"/>
        <v>8220.3131555555556</v>
      </c>
      <c r="AV59" s="51">
        <f t="shared" si="29"/>
        <v>316.16589059829067</v>
      </c>
      <c r="AW59" s="73">
        <f t="shared" si="30"/>
        <v>39.520736324786327</v>
      </c>
    </row>
    <row r="60" spans="2:49" ht="83.25" customHeight="1" x14ac:dyDescent="0.25">
      <c r="B60" s="62" t="s">
        <v>705</v>
      </c>
      <c r="C60" s="63" t="str">
        <f>VLOOKUP(B60,'Equip. List CSI'!$K$4:$N$159,4,0)</f>
        <v>07200405</v>
      </c>
      <c r="D60" s="106" t="s">
        <v>796</v>
      </c>
      <c r="E60" s="105" t="s">
        <v>781</v>
      </c>
      <c r="F60" s="64">
        <v>90000</v>
      </c>
      <c r="G60" s="65">
        <f t="shared" si="6"/>
        <v>9000</v>
      </c>
      <c r="H60" s="63">
        <v>60</v>
      </c>
      <c r="I60" s="66">
        <f t="shared" si="7"/>
        <v>1350</v>
      </c>
      <c r="J60" s="66">
        <f t="shared" si="8"/>
        <v>51.92307692307692</v>
      </c>
      <c r="K60" s="67">
        <f t="shared" si="9"/>
        <v>6.490384615384615</v>
      </c>
      <c r="L60" s="62" t="s">
        <v>555</v>
      </c>
      <c r="M60" s="69">
        <f>VLOOKUP(L60,'Manual Manpower Database'!$G$5:$AY$160,45,0)</f>
        <v>3401.9879629629631</v>
      </c>
      <c r="N60" s="66">
        <f t="shared" si="10"/>
        <v>130.84569088319088</v>
      </c>
      <c r="O60" s="67">
        <f t="shared" si="11"/>
        <v>16.35571136039886</v>
      </c>
      <c r="P60" s="68" t="s">
        <v>870</v>
      </c>
      <c r="Q60" s="63">
        <f t="shared" si="12"/>
        <v>0.17</v>
      </c>
      <c r="R60" s="63">
        <v>10</v>
      </c>
      <c r="S60" s="63">
        <f t="shared" si="13"/>
        <v>0.54</v>
      </c>
      <c r="T60" s="63">
        <f t="shared" si="14"/>
        <v>0.84</v>
      </c>
      <c r="U60" s="66" t="str">
        <f t="shared" si="15"/>
        <v/>
      </c>
      <c r="V60" s="66">
        <f t="shared" si="16"/>
        <v>0.77112000000000014</v>
      </c>
      <c r="W60" s="63">
        <v>0.6</v>
      </c>
      <c r="X60" s="63">
        <v>0.45</v>
      </c>
      <c r="Y60" s="63">
        <f t="shared" si="17"/>
        <v>0</v>
      </c>
      <c r="Z60" s="66">
        <f t="shared" si="18"/>
        <v>0</v>
      </c>
      <c r="AA60" s="66">
        <f t="shared" si="19"/>
        <v>0</v>
      </c>
      <c r="AB60" s="63">
        <f t="shared" si="20"/>
        <v>7.6500000000000012E-2</v>
      </c>
      <c r="AC60" s="63">
        <f t="shared" si="21"/>
        <v>0.6120000000000001</v>
      </c>
      <c r="AD60" s="63">
        <f t="shared" si="22"/>
        <v>15.912000000000003</v>
      </c>
      <c r="AE60" s="63">
        <f t="shared" si="41"/>
        <v>7.4999999999999989E-3</v>
      </c>
      <c r="AF60" s="63">
        <f t="shared" si="42"/>
        <v>3.7499999999999994E-3</v>
      </c>
      <c r="AG60" s="63">
        <f t="shared" si="43"/>
        <v>2.5000000000000001E-3</v>
      </c>
      <c r="AH60" s="63">
        <f t="shared" si="44"/>
        <v>1.25E-3</v>
      </c>
      <c r="AI60" s="63">
        <f t="shared" si="23"/>
        <v>1.4999999999999998E-2</v>
      </c>
      <c r="AJ60" s="63">
        <v>0.5</v>
      </c>
      <c r="AK60" s="63">
        <f t="shared" si="38"/>
        <v>9.3749999999999979E-3</v>
      </c>
      <c r="AL60" s="63">
        <f t="shared" si="24"/>
        <v>7.4999999999999983E-2</v>
      </c>
      <c r="AM60" s="104">
        <f t="shared" si="25"/>
        <v>1.9499999999999995</v>
      </c>
      <c r="AN60" s="62">
        <v>1</v>
      </c>
      <c r="AO60" s="66">
        <f t="shared" si="39"/>
        <v>1350</v>
      </c>
      <c r="AP60" s="66">
        <f t="shared" si="26"/>
        <v>51.92307692307692</v>
      </c>
      <c r="AQ60" s="66">
        <f t="shared" si="27"/>
        <v>6.490384615384615</v>
      </c>
      <c r="AR60" s="69"/>
      <c r="AS60" s="66"/>
      <c r="AT60" s="67"/>
      <c r="AU60" s="72">
        <f t="shared" si="28"/>
        <v>6103.937962962963</v>
      </c>
      <c r="AV60" s="51">
        <f t="shared" si="29"/>
        <v>235.37884472934473</v>
      </c>
      <c r="AW60" s="73">
        <f t="shared" si="30"/>
        <v>29.422355591168092</v>
      </c>
    </row>
    <row r="61" spans="2:49" ht="70.5" customHeight="1" x14ac:dyDescent="0.25">
      <c r="B61" s="62" t="s">
        <v>706</v>
      </c>
      <c r="C61" s="63" t="str">
        <f>VLOOKUP(B61,'Equip. List CSI'!$K$4:$N$159,4,0)</f>
        <v>02700440</v>
      </c>
      <c r="D61" s="106" t="s">
        <v>796</v>
      </c>
      <c r="E61" s="105" t="s">
        <v>782</v>
      </c>
      <c r="F61" s="64">
        <v>3880</v>
      </c>
      <c r="G61" s="65">
        <f t="shared" si="6"/>
        <v>388</v>
      </c>
      <c r="H61" s="63">
        <v>60</v>
      </c>
      <c r="I61" s="66">
        <f t="shared" si="7"/>
        <v>58.2</v>
      </c>
      <c r="J61" s="66">
        <f t="shared" si="8"/>
        <v>2.2384615384615385</v>
      </c>
      <c r="K61" s="67">
        <f t="shared" si="9"/>
        <v>0.27980769230769231</v>
      </c>
      <c r="L61" s="62" t="s">
        <v>818</v>
      </c>
      <c r="M61" s="69">
        <f>VLOOKUP(L61,'Manual Manpower Database'!$G$5:$AY$160,45,0)</f>
        <v>2215.3868055555558</v>
      </c>
      <c r="N61" s="66">
        <f t="shared" si="10"/>
        <v>85.207184829059841</v>
      </c>
      <c r="O61" s="67">
        <f t="shared" si="11"/>
        <v>10.65089810363248</v>
      </c>
      <c r="P61" s="68" t="s">
        <v>870</v>
      </c>
      <c r="Q61" s="63">
        <f t="shared" si="12"/>
        <v>0.17</v>
      </c>
      <c r="R61" s="63">
        <v>13</v>
      </c>
      <c r="S61" s="63">
        <f t="shared" si="13"/>
        <v>0.54</v>
      </c>
      <c r="T61" s="63">
        <f t="shared" si="14"/>
        <v>0.84</v>
      </c>
      <c r="U61" s="66" t="str">
        <f t="shared" si="15"/>
        <v/>
      </c>
      <c r="V61" s="66">
        <f t="shared" si="16"/>
        <v>1.002456</v>
      </c>
      <c r="W61" s="63">
        <v>0.6</v>
      </c>
      <c r="X61" s="63">
        <v>0.45</v>
      </c>
      <c r="Y61" s="63">
        <f t="shared" si="17"/>
        <v>0</v>
      </c>
      <c r="Z61" s="66">
        <f t="shared" si="18"/>
        <v>0</v>
      </c>
      <c r="AA61" s="66">
        <f t="shared" si="19"/>
        <v>0</v>
      </c>
      <c r="AB61" s="63">
        <f t="shared" si="20"/>
        <v>7.6500000000000012E-2</v>
      </c>
      <c r="AC61" s="63">
        <f t="shared" si="21"/>
        <v>0.6120000000000001</v>
      </c>
      <c r="AD61" s="63">
        <f t="shared" si="22"/>
        <v>15.912000000000003</v>
      </c>
      <c r="AE61" s="63">
        <f t="shared" si="41"/>
        <v>9.75E-3</v>
      </c>
      <c r="AF61" s="63">
        <f t="shared" si="42"/>
        <v>4.875E-3</v>
      </c>
      <c r="AG61" s="63">
        <f t="shared" si="43"/>
        <v>3.2500000000000003E-3</v>
      </c>
      <c r="AH61" s="63">
        <f t="shared" si="44"/>
        <v>1.6250000000000001E-3</v>
      </c>
      <c r="AI61" s="63">
        <f t="shared" si="23"/>
        <v>1.95E-2</v>
      </c>
      <c r="AJ61" s="63">
        <v>0.5</v>
      </c>
      <c r="AK61" s="63">
        <f t="shared" si="38"/>
        <v>1.21875E-2</v>
      </c>
      <c r="AL61" s="63">
        <f t="shared" si="24"/>
        <v>9.7500000000000003E-2</v>
      </c>
      <c r="AM61" s="104">
        <f t="shared" si="25"/>
        <v>2.5350000000000001</v>
      </c>
      <c r="AN61" s="62">
        <v>1</v>
      </c>
      <c r="AO61" s="66">
        <f t="shared" si="39"/>
        <v>58.2</v>
      </c>
      <c r="AP61" s="66">
        <f t="shared" si="26"/>
        <v>2.2384615384615385</v>
      </c>
      <c r="AQ61" s="66">
        <f t="shared" si="27"/>
        <v>0.27980769230769231</v>
      </c>
      <c r="AR61" s="69"/>
      <c r="AS61" s="66"/>
      <c r="AT61" s="67"/>
      <c r="AU61" s="72">
        <f t="shared" si="28"/>
        <v>2334.3218055555553</v>
      </c>
      <c r="AV61" s="51">
        <f t="shared" si="29"/>
        <v>90.393607905982904</v>
      </c>
      <c r="AW61" s="73">
        <f t="shared" si="30"/>
        <v>11.299200988247863</v>
      </c>
    </row>
    <row r="62" spans="2:49" ht="70.5" customHeight="1" x14ac:dyDescent="0.25">
      <c r="B62" s="62" t="s">
        <v>706</v>
      </c>
      <c r="C62" s="63" t="str">
        <f>VLOOKUP(B62,'Equip. List CSI'!$K$4:$N$159,4,0)</f>
        <v>02700440</v>
      </c>
      <c r="D62" s="106" t="s">
        <v>797</v>
      </c>
      <c r="E62" s="105" t="s">
        <v>783</v>
      </c>
      <c r="F62" s="64">
        <v>16875</v>
      </c>
      <c r="G62" s="65">
        <f t="shared" si="6"/>
        <v>1687.5</v>
      </c>
      <c r="H62" s="63">
        <v>48</v>
      </c>
      <c r="I62" s="66">
        <f t="shared" si="7"/>
        <v>316.40625</v>
      </c>
      <c r="J62" s="66">
        <f t="shared" si="8"/>
        <v>12.169471153846153</v>
      </c>
      <c r="K62" s="67">
        <f t="shared" si="9"/>
        <v>1.5211838942307692</v>
      </c>
      <c r="L62" s="62" t="s">
        <v>818</v>
      </c>
      <c r="M62" s="69">
        <f>VLOOKUP(L62,'Manual Manpower Database'!$G$5:$AY$160,45,0)</f>
        <v>2215.3868055555558</v>
      </c>
      <c r="N62" s="66">
        <f t="shared" si="10"/>
        <v>85.207184829059841</v>
      </c>
      <c r="O62" s="67">
        <f t="shared" si="11"/>
        <v>10.65089810363248</v>
      </c>
      <c r="P62" s="68" t="s">
        <v>870</v>
      </c>
      <c r="Q62" s="63">
        <f t="shared" si="12"/>
        <v>0.17</v>
      </c>
      <c r="R62" s="63">
        <v>20</v>
      </c>
      <c r="S62" s="63">
        <f t="shared" si="13"/>
        <v>0.54</v>
      </c>
      <c r="T62" s="63">
        <f t="shared" si="14"/>
        <v>0.84</v>
      </c>
      <c r="U62" s="66" t="str">
        <f t="shared" si="15"/>
        <v/>
      </c>
      <c r="V62" s="66">
        <f t="shared" si="16"/>
        <v>1.5422400000000003</v>
      </c>
      <c r="W62" s="63">
        <v>0.6</v>
      </c>
      <c r="X62" s="63">
        <v>0.45</v>
      </c>
      <c r="Y62" s="63">
        <f t="shared" si="17"/>
        <v>0</v>
      </c>
      <c r="Z62" s="66">
        <f t="shared" si="18"/>
        <v>0</v>
      </c>
      <c r="AA62" s="66">
        <f t="shared" si="19"/>
        <v>0</v>
      </c>
      <c r="AB62" s="63">
        <f t="shared" si="20"/>
        <v>7.6500000000000012E-2</v>
      </c>
      <c r="AC62" s="63">
        <f t="shared" si="21"/>
        <v>0.6120000000000001</v>
      </c>
      <c r="AD62" s="63">
        <f t="shared" si="22"/>
        <v>15.912000000000003</v>
      </c>
      <c r="AE62" s="63">
        <f t="shared" si="41"/>
        <v>1.4999999999999998E-2</v>
      </c>
      <c r="AF62" s="63">
        <f t="shared" si="42"/>
        <v>7.4999999999999989E-3</v>
      </c>
      <c r="AG62" s="63">
        <f t="shared" si="43"/>
        <v>5.0000000000000001E-3</v>
      </c>
      <c r="AH62" s="63">
        <f t="shared" si="44"/>
        <v>2.5000000000000001E-3</v>
      </c>
      <c r="AI62" s="63">
        <f t="shared" si="23"/>
        <v>2.9999999999999995E-2</v>
      </c>
      <c r="AJ62" s="63">
        <v>0.5</v>
      </c>
      <c r="AK62" s="63">
        <f t="shared" si="38"/>
        <v>1.8749999999999996E-2</v>
      </c>
      <c r="AL62" s="63">
        <f t="shared" si="24"/>
        <v>0.14999999999999997</v>
      </c>
      <c r="AM62" s="104">
        <f t="shared" si="25"/>
        <v>3.899999999999999</v>
      </c>
      <c r="AN62" s="62">
        <v>1</v>
      </c>
      <c r="AO62" s="66">
        <f t="shared" si="39"/>
        <v>316.40625</v>
      </c>
      <c r="AP62" s="66">
        <f t="shared" si="26"/>
        <v>12.169471153846153</v>
      </c>
      <c r="AQ62" s="66">
        <f t="shared" si="27"/>
        <v>1.5211838942307692</v>
      </c>
      <c r="AR62" s="69"/>
      <c r="AS62" s="66"/>
      <c r="AT62" s="67"/>
      <c r="AU62" s="72">
        <f t="shared" si="28"/>
        <v>2852.0993055555559</v>
      </c>
      <c r="AV62" s="51">
        <f t="shared" si="29"/>
        <v>110.30812713675215</v>
      </c>
      <c r="AW62" s="73">
        <f t="shared" si="30"/>
        <v>13.788515892094019</v>
      </c>
    </row>
    <row r="63" spans="2:49" ht="70.5" customHeight="1" x14ac:dyDescent="0.25">
      <c r="B63" s="62" t="s">
        <v>784</v>
      </c>
      <c r="C63" s="63" t="str">
        <f>VLOOKUP(B63,'Equip. List CSI'!$K$4:$N$159,4,0)</f>
        <v>09900405</v>
      </c>
      <c r="D63" s="106" t="s">
        <v>796</v>
      </c>
      <c r="E63" s="105" t="s">
        <v>785</v>
      </c>
      <c r="F63" s="64">
        <f>30000+23941</f>
        <v>53941</v>
      </c>
      <c r="G63" s="65">
        <f t="shared" si="6"/>
        <v>5394.1</v>
      </c>
      <c r="H63" s="63">
        <v>60</v>
      </c>
      <c r="I63" s="66">
        <f t="shared" si="7"/>
        <v>809.11500000000001</v>
      </c>
      <c r="J63" s="66">
        <f t="shared" si="8"/>
        <v>31.119807692307692</v>
      </c>
      <c r="K63" s="67">
        <f t="shared" si="9"/>
        <v>3.8899759615384615</v>
      </c>
      <c r="L63" s="62" t="s">
        <v>817</v>
      </c>
      <c r="M63" s="69">
        <f>VLOOKUP(L63,'Manual Manpower Database'!$G$5:$AY$160,45,0)</f>
        <v>1617.3055555555557</v>
      </c>
      <c r="N63" s="66">
        <f t="shared" si="10"/>
        <v>62.20405982905983</v>
      </c>
      <c r="O63" s="67">
        <f t="shared" si="11"/>
        <v>7.7755074786324787</v>
      </c>
      <c r="P63" s="68" t="s">
        <v>869</v>
      </c>
      <c r="Q63" s="63">
        <f t="shared" si="12"/>
        <v>0.21</v>
      </c>
      <c r="R63" s="63">
        <v>13</v>
      </c>
      <c r="S63" s="63">
        <f t="shared" si="13"/>
        <v>0.54</v>
      </c>
      <c r="T63" s="63">
        <f t="shared" si="14"/>
        <v>0.72</v>
      </c>
      <c r="U63" s="66">
        <f t="shared" si="15"/>
        <v>2.0475000000000003</v>
      </c>
      <c r="V63" s="63" t="str">
        <f t="shared" si="16"/>
        <v/>
      </c>
      <c r="W63" s="63">
        <v>0.6</v>
      </c>
      <c r="X63" s="63">
        <v>0.45</v>
      </c>
      <c r="Y63" s="63">
        <f t="shared" si="17"/>
        <v>1.2285000000000001</v>
      </c>
      <c r="Z63" s="66">
        <f t="shared" si="18"/>
        <v>9.8280000000000012</v>
      </c>
      <c r="AA63" s="66">
        <f t="shared" si="19"/>
        <v>255.52800000000002</v>
      </c>
      <c r="AB63" s="63">
        <f t="shared" si="20"/>
        <v>0</v>
      </c>
      <c r="AC63" s="63">
        <f t="shared" si="21"/>
        <v>0</v>
      </c>
      <c r="AD63" s="63">
        <f t="shared" si="22"/>
        <v>0</v>
      </c>
      <c r="AE63" s="63">
        <f t="shared" si="41"/>
        <v>9.75E-3</v>
      </c>
      <c r="AF63" s="63">
        <f t="shared" si="42"/>
        <v>4.875E-3</v>
      </c>
      <c r="AG63" s="63">
        <f t="shared" si="43"/>
        <v>3.2500000000000003E-3</v>
      </c>
      <c r="AH63" s="63">
        <f t="shared" si="44"/>
        <v>1.6250000000000001E-3</v>
      </c>
      <c r="AI63" s="63">
        <f t="shared" si="23"/>
        <v>1.95E-2</v>
      </c>
      <c r="AJ63" s="63">
        <v>0.5</v>
      </c>
      <c r="AK63" s="63">
        <f t="shared" si="38"/>
        <v>1.21875E-2</v>
      </c>
      <c r="AL63" s="63">
        <f t="shared" si="24"/>
        <v>9.7500000000000003E-2</v>
      </c>
      <c r="AM63" s="104">
        <f t="shared" si="25"/>
        <v>2.5350000000000001</v>
      </c>
      <c r="AN63" s="62">
        <v>0.5</v>
      </c>
      <c r="AO63" s="66">
        <f t="shared" si="39"/>
        <v>404.5575</v>
      </c>
      <c r="AP63" s="66">
        <f t="shared" si="26"/>
        <v>15.559903846153846</v>
      </c>
      <c r="AQ63" s="66">
        <f t="shared" si="27"/>
        <v>1.9449879807692307</v>
      </c>
      <c r="AR63" s="69">
        <f t="shared" si="40"/>
        <v>80.911500000000004</v>
      </c>
      <c r="AS63" s="66">
        <f t="shared" si="32"/>
        <v>3.1119807692307693</v>
      </c>
      <c r="AT63" s="67">
        <f t="shared" si="33"/>
        <v>0.38899759615384616</v>
      </c>
      <c r="AU63" s="72">
        <f t="shared" si="28"/>
        <v>3169.9525555555556</v>
      </c>
      <c r="AV63" s="51">
        <f t="shared" si="29"/>
        <v>121.92125213675213</v>
      </c>
      <c r="AW63" s="73">
        <f t="shared" si="30"/>
        <v>15.240156517094016</v>
      </c>
    </row>
    <row r="64" spans="2:49" ht="90.75" customHeight="1" x14ac:dyDescent="0.25">
      <c r="B64" s="62" t="s">
        <v>707</v>
      </c>
      <c r="C64" s="63" t="str">
        <f>VLOOKUP(B64,'Equip. List CSI'!$K$4:$N$159,4,0)</f>
        <v>02700410</v>
      </c>
      <c r="D64" s="106" t="s">
        <v>796</v>
      </c>
      <c r="E64" s="105" t="s">
        <v>786</v>
      </c>
      <c r="F64" s="64">
        <v>122000</v>
      </c>
      <c r="G64" s="65">
        <f t="shared" si="6"/>
        <v>12200</v>
      </c>
      <c r="H64" s="63">
        <v>69</v>
      </c>
      <c r="I64" s="66">
        <f t="shared" si="7"/>
        <v>1591.304347826087</v>
      </c>
      <c r="J64" s="66">
        <f t="shared" si="8"/>
        <v>61.204013377926422</v>
      </c>
      <c r="K64" s="67">
        <f t="shared" si="9"/>
        <v>7.6505016722408028</v>
      </c>
      <c r="L64" s="62" t="s">
        <v>809</v>
      </c>
      <c r="M64" s="69">
        <f>VLOOKUP(L64,'Manual Manpower Database'!$G$5:$AY$160,45,0)</f>
        <v>1447.5793964646466</v>
      </c>
      <c r="N64" s="66">
        <f t="shared" si="10"/>
        <v>55.676130633255639</v>
      </c>
      <c r="O64" s="67">
        <f t="shared" si="11"/>
        <v>6.9595163291569548</v>
      </c>
      <c r="P64" s="68" t="s">
        <v>869</v>
      </c>
      <c r="Q64" s="63">
        <f t="shared" si="12"/>
        <v>0.21</v>
      </c>
      <c r="R64" s="63">
        <v>34</v>
      </c>
      <c r="S64" s="63">
        <f t="shared" si="13"/>
        <v>0.54</v>
      </c>
      <c r="T64" s="63">
        <f t="shared" si="14"/>
        <v>0.72</v>
      </c>
      <c r="U64" s="66">
        <f t="shared" si="15"/>
        <v>5.3550000000000004</v>
      </c>
      <c r="V64" s="63" t="str">
        <f t="shared" si="16"/>
        <v/>
      </c>
      <c r="W64" s="63">
        <v>0.6</v>
      </c>
      <c r="X64" s="63">
        <v>0.45</v>
      </c>
      <c r="Y64" s="63">
        <f t="shared" si="17"/>
        <v>3.2130000000000001</v>
      </c>
      <c r="Z64" s="66">
        <f t="shared" si="18"/>
        <v>25.704000000000001</v>
      </c>
      <c r="AA64" s="66">
        <f t="shared" si="19"/>
        <v>668.30399999999997</v>
      </c>
      <c r="AB64" s="63">
        <f t="shared" si="20"/>
        <v>0</v>
      </c>
      <c r="AC64" s="63">
        <f t="shared" si="21"/>
        <v>0</v>
      </c>
      <c r="AD64" s="63">
        <f t="shared" si="22"/>
        <v>0</v>
      </c>
      <c r="AE64" s="63">
        <f t="shared" si="41"/>
        <v>2.5499999999999998E-2</v>
      </c>
      <c r="AF64" s="63">
        <f t="shared" si="42"/>
        <v>1.2749999999999999E-2</v>
      </c>
      <c r="AG64" s="63">
        <f t="shared" si="43"/>
        <v>8.5000000000000006E-3</v>
      </c>
      <c r="AH64" s="63">
        <f t="shared" si="44"/>
        <v>4.2500000000000003E-3</v>
      </c>
      <c r="AI64" s="63">
        <f t="shared" si="23"/>
        <v>5.1000000000000004E-2</v>
      </c>
      <c r="AJ64" s="63">
        <v>0.5</v>
      </c>
      <c r="AK64" s="63">
        <f t="shared" si="38"/>
        <v>3.1875000000000001E-2</v>
      </c>
      <c r="AL64" s="63">
        <f t="shared" si="24"/>
        <v>0.255</v>
      </c>
      <c r="AM64" s="104">
        <f t="shared" si="25"/>
        <v>6.63</v>
      </c>
      <c r="AN64" s="62">
        <v>1</v>
      </c>
      <c r="AO64" s="66">
        <f t="shared" si="39"/>
        <v>1591.304347826087</v>
      </c>
      <c r="AP64" s="66">
        <f t="shared" si="26"/>
        <v>61.204013377926422</v>
      </c>
      <c r="AQ64" s="66">
        <f t="shared" si="27"/>
        <v>7.6505016722408028</v>
      </c>
      <c r="AR64" s="69"/>
      <c r="AS64" s="66"/>
      <c r="AT64" s="67"/>
      <c r="AU64" s="72">
        <f t="shared" si="28"/>
        <v>5305.1220921168206</v>
      </c>
      <c r="AV64" s="51">
        <f t="shared" si="29"/>
        <v>204.0431573891085</v>
      </c>
      <c r="AW64" s="73">
        <f t="shared" si="30"/>
        <v>25.505394673638563</v>
      </c>
    </row>
    <row r="65" spans="2:49" ht="70.5" customHeight="1" x14ac:dyDescent="0.25">
      <c r="B65" s="62" t="s">
        <v>707</v>
      </c>
      <c r="C65" s="63" t="str">
        <f>VLOOKUP(B65,'Equip. List CSI'!$K$4:$N$159,4,0)</f>
        <v>02700410</v>
      </c>
      <c r="D65" s="106" t="s">
        <v>797</v>
      </c>
      <c r="E65" s="105" t="s">
        <v>787</v>
      </c>
      <c r="F65" s="64">
        <v>93000</v>
      </c>
      <c r="G65" s="65">
        <f t="shared" si="6"/>
        <v>9300</v>
      </c>
      <c r="H65" s="63">
        <v>69</v>
      </c>
      <c r="I65" s="66">
        <f t="shared" si="7"/>
        <v>1213.0434782608695</v>
      </c>
      <c r="J65" s="66">
        <f t="shared" si="8"/>
        <v>46.65551839464883</v>
      </c>
      <c r="K65" s="67">
        <f t="shared" si="9"/>
        <v>5.8319397993311037</v>
      </c>
      <c r="L65" s="62" t="s">
        <v>809</v>
      </c>
      <c r="M65" s="69">
        <f>VLOOKUP(L65,'Manual Manpower Database'!$G$5:$AY$160,45,0)</f>
        <v>1447.5793964646466</v>
      </c>
      <c r="N65" s="66">
        <f t="shared" si="10"/>
        <v>55.676130633255639</v>
      </c>
      <c r="O65" s="67">
        <f t="shared" si="11"/>
        <v>6.9595163291569548</v>
      </c>
      <c r="P65" s="68" t="s">
        <v>869</v>
      </c>
      <c r="Q65" s="63">
        <f t="shared" si="12"/>
        <v>0.21</v>
      </c>
      <c r="R65" s="63">
        <v>21.6</v>
      </c>
      <c r="S65" s="63">
        <f t="shared" si="13"/>
        <v>0.54</v>
      </c>
      <c r="T65" s="63">
        <f t="shared" si="14"/>
        <v>0.72</v>
      </c>
      <c r="U65" s="66">
        <f t="shared" si="15"/>
        <v>3.402000000000001</v>
      </c>
      <c r="V65" s="63" t="str">
        <f t="shared" si="16"/>
        <v/>
      </c>
      <c r="W65" s="63">
        <v>0.6</v>
      </c>
      <c r="X65" s="63">
        <v>0.45</v>
      </c>
      <c r="Y65" s="63">
        <f t="shared" si="17"/>
        <v>2.0412000000000003</v>
      </c>
      <c r="Z65" s="66">
        <f t="shared" si="18"/>
        <v>16.329600000000003</v>
      </c>
      <c r="AA65" s="66">
        <f t="shared" si="19"/>
        <v>424.56960000000009</v>
      </c>
      <c r="AB65" s="63">
        <f t="shared" si="20"/>
        <v>0</v>
      </c>
      <c r="AC65" s="63">
        <f t="shared" si="21"/>
        <v>0</v>
      </c>
      <c r="AD65" s="63">
        <f t="shared" si="22"/>
        <v>0</v>
      </c>
      <c r="AE65" s="63">
        <f t="shared" si="41"/>
        <v>1.6199999999999999E-2</v>
      </c>
      <c r="AF65" s="63">
        <f t="shared" si="42"/>
        <v>8.0999999999999996E-3</v>
      </c>
      <c r="AG65" s="63">
        <f t="shared" si="43"/>
        <v>5.4000000000000012E-3</v>
      </c>
      <c r="AH65" s="63">
        <f t="shared" si="44"/>
        <v>2.7000000000000006E-3</v>
      </c>
      <c r="AI65" s="63">
        <f t="shared" si="23"/>
        <v>3.2399999999999998E-2</v>
      </c>
      <c r="AJ65" s="63">
        <v>0.5</v>
      </c>
      <c r="AK65" s="63">
        <f t="shared" si="38"/>
        <v>2.0249999999999997E-2</v>
      </c>
      <c r="AL65" s="63">
        <f t="shared" si="24"/>
        <v>0.16199999999999998</v>
      </c>
      <c r="AM65" s="104">
        <f t="shared" si="25"/>
        <v>4.2119999999999997</v>
      </c>
      <c r="AN65" s="62">
        <v>1</v>
      </c>
      <c r="AO65" s="66">
        <f t="shared" si="39"/>
        <v>1213.0434782608695</v>
      </c>
      <c r="AP65" s="66">
        <f t="shared" si="26"/>
        <v>46.65551839464883</v>
      </c>
      <c r="AQ65" s="66">
        <f t="shared" si="27"/>
        <v>5.8319397993311037</v>
      </c>
      <c r="AR65" s="69"/>
      <c r="AS65" s="66"/>
      <c r="AT65" s="67"/>
      <c r="AU65" s="72">
        <f t="shared" si="28"/>
        <v>4302.4479529863856</v>
      </c>
      <c r="AV65" s="51">
        <f t="shared" si="29"/>
        <v>165.47876742255329</v>
      </c>
      <c r="AW65" s="73">
        <f t="shared" si="30"/>
        <v>20.684845927819161</v>
      </c>
    </row>
    <row r="66" spans="2:49" ht="70.5" customHeight="1" x14ac:dyDescent="0.25">
      <c r="B66" s="62" t="s">
        <v>707</v>
      </c>
      <c r="C66" s="63" t="str">
        <f>VLOOKUP(B66,'Equip. List CSI'!$K$4:$N$159,4,0)</f>
        <v>02700410</v>
      </c>
      <c r="D66" s="106" t="s">
        <v>798</v>
      </c>
      <c r="E66" s="105" t="s">
        <v>788</v>
      </c>
      <c r="F66" s="64">
        <v>325000</v>
      </c>
      <c r="G66" s="65">
        <f t="shared" si="6"/>
        <v>32500</v>
      </c>
      <c r="H66" s="63">
        <v>84</v>
      </c>
      <c r="I66" s="66">
        <f t="shared" si="7"/>
        <v>3482.1428571428573</v>
      </c>
      <c r="J66" s="66">
        <f t="shared" si="8"/>
        <v>133.92857142857144</v>
      </c>
      <c r="K66" s="67">
        <f t="shared" si="9"/>
        <v>16.741071428571431</v>
      </c>
      <c r="L66" s="62" t="s">
        <v>809</v>
      </c>
      <c r="M66" s="69">
        <f>VLOOKUP(L66,'Manual Manpower Database'!$G$5:$AY$160,45,0)</f>
        <v>1447.5793964646466</v>
      </c>
      <c r="N66" s="66">
        <f t="shared" si="10"/>
        <v>55.676130633255639</v>
      </c>
      <c r="O66" s="67">
        <f t="shared" si="11"/>
        <v>6.9595163291569548</v>
      </c>
      <c r="P66" s="68" t="s">
        <v>869</v>
      </c>
      <c r="Q66" s="63">
        <f t="shared" si="12"/>
        <v>0.21</v>
      </c>
      <c r="R66" s="63">
        <v>130</v>
      </c>
      <c r="S66" s="63">
        <f t="shared" si="13"/>
        <v>0.54</v>
      </c>
      <c r="T66" s="63">
        <f t="shared" si="14"/>
        <v>0.72</v>
      </c>
      <c r="U66" s="66">
        <f t="shared" si="15"/>
        <v>20.475000000000001</v>
      </c>
      <c r="V66" s="63" t="str">
        <f t="shared" si="16"/>
        <v/>
      </c>
      <c r="W66" s="63">
        <v>0.6</v>
      </c>
      <c r="X66" s="63">
        <v>0.45</v>
      </c>
      <c r="Y66" s="63">
        <f t="shared" si="17"/>
        <v>12.285</v>
      </c>
      <c r="Z66" s="66">
        <f t="shared" si="18"/>
        <v>98.28</v>
      </c>
      <c r="AA66" s="66">
        <f t="shared" si="19"/>
        <v>2555.2800000000002</v>
      </c>
      <c r="AB66" s="63">
        <f t="shared" si="20"/>
        <v>0</v>
      </c>
      <c r="AC66" s="63">
        <f t="shared" si="21"/>
        <v>0</v>
      </c>
      <c r="AD66" s="63">
        <f t="shared" si="22"/>
        <v>0</v>
      </c>
      <c r="AE66" s="63">
        <f t="shared" si="41"/>
        <v>9.7500000000000003E-2</v>
      </c>
      <c r="AF66" s="63">
        <f t="shared" si="42"/>
        <v>4.8750000000000002E-2</v>
      </c>
      <c r="AG66" s="63">
        <f t="shared" si="43"/>
        <v>3.2500000000000001E-2</v>
      </c>
      <c r="AH66" s="63">
        <f t="shared" si="44"/>
        <v>1.6250000000000001E-2</v>
      </c>
      <c r="AI66" s="63">
        <f t="shared" si="23"/>
        <v>0.19500000000000001</v>
      </c>
      <c r="AJ66" s="63">
        <v>0.5</v>
      </c>
      <c r="AK66" s="63">
        <f t="shared" si="38"/>
        <v>0.12187500000000001</v>
      </c>
      <c r="AL66" s="63">
        <f t="shared" si="24"/>
        <v>0.97500000000000009</v>
      </c>
      <c r="AM66" s="104">
        <f t="shared" si="25"/>
        <v>25.35</v>
      </c>
      <c r="AN66" s="62">
        <v>1</v>
      </c>
      <c r="AO66" s="66">
        <f t="shared" si="39"/>
        <v>3482.1428571428573</v>
      </c>
      <c r="AP66" s="66">
        <f t="shared" si="26"/>
        <v>133.92857142857144</v>
      </c>
      <c r="AQ66" s="66">
        <f t="shared" si="27"/>
        <v>16.741071428571431</v>
      </c>
      <c r="AR66" s="69"/>
      <c r="AS66" s="66"/>
      <c r="AT66" s="67"/>
      <c r="AU66" s="72">
        <f t="shared" si="28"/>
        <v>10992.495110750362</v>
      </c>
      <c r="AV66" s="51">
        <f t="shared" si="29"/>
        <v>422.78827349039852</v>
      </c>
      <c r="AW66" s="73">
        <f t="shared" si="30"/>
        <v>52.848534186299815</v>
      </c>
    </row>
    <row r="67" spans="2:49" ht="80.25" customHeight="1" x14ac:dyDescent="0.25">
      <c r="B67" s="62" t="s">
        <v>707</v>
      </c>
      <c r="C67" s="63" t="str">
        <f>VLOOKUP(B67,'Equip. List CSI'!$K$4:$N$159,4,0)</f>
        <v>02700410</v>
      </c>
      <c r="D67" s="106" t="s">
        <v>799</v>
      </c>
      <c r="E67" s="105" t="s">
        <v>789</v>
      </c>
      <c r="F67" s="64">
        <v>135000</v>
      </c>
      <c r="G67" s="65">
        <f t="shared" ref="G67:G71" si="45">F67*0.1</f>
        <v>13500</v>
      </c>
      <c r="H67" s="63">
        <v>60</v>
      </c>
      <c r="I67" s="66">
        <f t="shared" ref="I67:I71" si="46">(F67-G67)/H67</f>
        <v>2025</v>
      </c>
      <c r="J67" s="66">
        <f t="shared" ref="J67:J71" si="47">I67/26</f>
        <v>77.884615384615387</v>
      </c>
      <c r="K67" s="67">
        <f t="shared" ref="K67:K71" si="48">J67/8</f>
        <v>9.7355769230769234</v>
      </c>
      <c r="L67" s="62" t="s">
        <v>809</v>
      </c>
      <c r="M67" s="69">
        <f>VLOOKUP(L67,'Manual Manpower Database'!$G$5:$AY$160,45,0)</f>
        <v>1447.5793964646466</v>
      </c>
      <c r="N67" s="66">
        <f t="shared" ref="N67:N71" si="49">M67/26</f>
        <v>55.676130633255639</v>
      </c>
      <c r="O67" s="67">
        <f t="shared" ref="O67:O71" si="50">N67/8</f>
        <v>6.9595163291569548</v>
      </c>
      <c r="P67" s="68" t="s">
        <v>869</v>
      </c>
      <c r="Q67" s="63">
        <f t="shared" si="12"/>
        <v>0.21</v>
      </c>
      <c r="R67" s="63">
        <v>33</v>
      </c>
      <c r="S67" s="63">
        <f t="shared" si="13"/>
        <v>0.54</v>
      </c>
      <c r="T67" s="63">
        <f t="shared" si="14"/>
        <v>0.72</v>
      </c>
      <c r="U67" s="66">
        <f t="shared" si="15"/>
        <v>5.1974999999999998</v>
      </c>
      <c r="V67" s="63" t="str">
        <f t="shared" si="16"/>
        <v/>
      </c>
      <c r="W67" s="63">
        <v>0.6</v>
      </c>
      <c r="X67" s="63">
        <v>0.45</v>
      </c>
      <c r="Y67" s="63">
        <f t="shared" si="17"/>
        <v>3.1184999999999996</v>
      </c>
      <c r="Z67" s="66">
        <f t="shared" si="18"/>
        <v>24.947999999999997</v>
      </c>
      <c r="AA67" s="66">
        <f t="shared" si="19"/>
        <v>648.64799999999991</v>
      </c>
      <c r="AB67" s="63">
        <f t="shared" si="20"/>
        <v>0</v>
      </c>
      <c r="AC67" s="63">
        <f t="shared" si="21"/>
        <v>0</v>
      </c>
      <c r="AD67" s="63">
        <f t="shared" si="22"/>
        <v>0</v>
      </c>
      <c r="AE67" s="63">
        <f t="shared" si="41"/>
        <v>2.4749999999999998E-2</v>
      </c>
      <c r="AF67" s="63">
        <f t="shared" si="42"/>
        <v>1.2374999999999999E-2</v>
      </c>
      <c r="AG67" s="63">
        <f t="shared" si="43"/>
        <v>8.2500000000000004E-3</v>
      </c>
      <c r="AH67" s="63">
        <f t="shared" si="44"/>
        <v>4.1250000000000002E-3</v>
      </c>
      <c r="AI67" s="63">
        <f t="shared" si="23"/>
        <v>4.9500000000000002E-2</v>
      </c>
      <c r="AJ67" s="63">
        <v>0.5</v>
      </c>
      <c r="AK67" s="63">
        <f t="shared" si="38"/>
        <v>3.09375E-2</v>
      </c>
      <c r="AL67" s="63">
        <f t="shared" si="24"/>
        <v>0.2475</v>
      </c>
      <c r="AM67" s="104">
        <f t="shared" si="25"/>
        <v>6.4349999999999996</v>
      </c>
      <c r="AN67" s="62">
        <v>1</v>
      </c>
      <c r="AO67" s="66">
        <f t="shared" si="39"/>
        <v>2025</v>
      </c>
      <c r="AP67" s="66">
        <f t="shared" si="26"/>
        <v>77.884615384615387</v>
      </c>
      <c r="AQ67" s="66">
        <f t="shared" si="27"/>
        <v>9.7355769230769234</v>
      </c>
      <c r="AR67" s="69">
        <f t="shared" si="40"/>
        <v>202.5</v>
      </c>
      <c r="AS67" s="66">
        <f t="shared" si="32"/>
        <v>7.7884615384615383</v>
      </c>
      <c r="AT67" s="67">
        <f t="shared" si="33"/>
        <v>0.97355769230769229</v>
      </c>
      <c r="AU67" s="72">
        <f t="shared" si="28"/>
        <v>6355.1623964646469</v>
      </c>
      <c r="AV67" s="51">
        <f t="shared" si="29"/>
        <v>244.42932294094797</v>
      </c>
      <c r="AW67" s="73">
        <f t="shared" si="30"/>
        <v>30.553665367618496</v>
      </c>
    </row>
    <row r="68" spans="2:49" ht="80.25" customHeight="1" x14ac:dyDescent="0.25">
      <c r="B68" s="62" t="s">
        <v>715</v>
      </c>
      <c r="C68" s="63" t="str">
        <f>VLOOKUP(B68,'Equip. List CSI'!$K$4:$N$159,4,0)</f>
        <v>02300450</v>
      </c>
      <c r="D68" s="106" t="s">
        <v>796</v>
      </c>
      <c r="E68" s="105" t="s">
        <v>790</v>
      </c>
      <c r="F68" s="64">
        <v>90000</v>
      </c>
      <c r="G68" s="65">
        <f t="shared" si="45"/>
        <v>9000</v>
      </c>
      <c r="H68" s="63">
        <v>60</v>
      </c>
      <c r="I68" s="66">
        <f t="shared" si="46"/>
        <v>1350</v>
      </c>
      <c r="J68" s="66">
        <f t="shared" si="47"/>
        <v>51.92307692307692</v>
      </c>
      <c r="K68" s="67">
        <f t="shared" si="48"/>
        <v>6.490384615384615</v>
      </c>
      <c r="L68" s="62" t="s">
        <v>819</v>
      </c>
      <c r="M68" s="69">
        <f>VLOOKUP(L68,'Manual Manpower Database'!$G$5:$AY$160,45,0)</f>
        <v>1366.1465643274855</v>
      </c>
      <c r="N68" s="66">
        <f t="shared" si="49"/>
        <v>52.544098627980212</v>
      </c>
      <c r="O68" s="67">
        <f t="shared" si="50"/>
        <v>6.5680123284975265</v>
      </c>
      <c r="P68" s="68" t="s">
        <v>869</v>
      </c>
      <c r="Q68" s="63">
        <f t="shared" si="12"/>
        <v>0.21</v>
      </c>
      <c r="R68" s="63">
        <v>53</v>
      </c>
      <c r="S68" s="63">
        <f t="shared" si="13"/>
        <v>0.54</v>
      </c>
      <c r="T68" s="63">
        <f t="shared" si="14"/>
        <v>0.72</v>
      </c>
      <c r="U68" s="66">
        <f t="shared" si="15"/>
        <v>8.3475000000000001</v>
      </c>
      <c r="V68" s="63" t="str">
        <f t="shared" si="16"/>
        <v/>
      </c>
      <c r="W68" s="63">
        <v>0.6</v>
      </c>
      <c r="X68" s="63">
        <v>0.45</v>
      </c>
      <c r="Y68" s="63">
        <f t="shared" si="17"/>
        <v>5.0084999999999997</v>
      </c>
      <c r="Z68" s="66">
        <f t="shared" si="18"/>
        <v>40.067999999999998</v>
      </c>
      <c r="AA68" s="66">
        <f t="shared" si="19"/>
        <v>1041.768</v>
      </c>
      <c r="AB68" s="63">
        <f t="shared" si="20"/>
        <v>0</v>
      </c>
      <c r="AC68" s="63">
        <f t="shared" si="21"/>
        <v>0</v>
      </c>
      <c r="AD68" s="63">
        <f t="shared" si="22"/>
        <v>0</v>
      </c>
      <c r="AE68" s="63">
        <f t="shared" si="41"/>
        <v>3.9749999999999994E-2</v>
      </c>
      <c r="AF68" s="63">
        <f t="shared" si="42"/>
        <v>1.9874999999999997E-2</v>
      </c>
      <c r="AG68" s="63">
        <f t="shared" si="43"/>
        <v>1.325E-2</v>
      </c>
      <c r="AH68" s="63">
        <f t="shared" si="44"/>
        <v>6.6249999999999998E-3</v>
      </c>
      <c r="AI68" s="63">
        <f t="shared" si="23"/>
        <v>7.9500000000000001E-2</v>
      </c>
      <c r="AJ68" s="63">
        <v>0.5</v>
      </c>
      <c r="AK68" s="63">
        <f t="shared" si="38"/>
        <v>4.9687500000000002E-2</v>
      </c>
      <c r="AL68" s="63">
        <f t="shared" si="24"/>
        <v>0.39750000000000002</v>
      </c>
      <c r="AM68" s="104">
        <f t="shared" si="25"/>
        <v>10.335000000000001</v>
      </c>
      <c r="AN68" s="62">
        <v>0.6</v>
      </c>
      <c r="AO68" s="66">
        <f t="shared" si="39"/>
        <v>810</v>
      </c>
      <c r="AP68" s="66">
        <f t="shared" si="26"/>
        <v>31.153846153846153</v>
      </c>
      <c r="AQ68" s="66">
        <f t="shared" si="27"/>
        <v>3.8942307692307692</v>
      </c>
      <c r="AR68" s="69">
        <f t="shared" si="40"/>
        <v>135</v>
      </c>
      <c r="AS68" s="66">
        <f t="shared" si="32"/>
        <v>5.1923076923076925</v>
      </c>
      <c r="AT68" s="67">
        <f t="shared" si="33"/>
        <v>0.64903846153846156</v>
      </c>
      <c r="AU68" s="72">
        <f t="shared" si="28"/>
        <v>4713.2495643274851</v>
      </c>
      <c r="AV68" s="51">
        <f t="shared" si="29"/>
        <v>181.27882939721098</v>
      </c>
      <c r="AW68" s="73">
        <f t="shared" si="30"/>
        <v>22.659853674651373</v>
      </c>
    </row>
    <row r="69" spans="2:49" ht="80.25" customHeight="1" x14ac:dyDescent="0.25">
      <c r="B69" s="62" t="s">
        <v>715</v>
      </c>
      <c r="C69" s="63" t="str">
        <f>VLOOKUP(B69,'Equip. List CSI'!$K$4:$N$159,4,0)</f>
        <v>02300450</v>
      </c>
      <c r="D69" s="106" t="s">
        <v>797</v>
      </c>
      <c r="E69" s="105" t="s">
        <v>793</v>
      </c>
      <c r="F69" s="64">
        <v>345000</v>
      </c>
      <c r="G69" s="65">
        <f t="shared" si="45"/>
        <v>34500</v>
      </c>
      <c r="H69" s="63">
        <v>92</v>
      </c>
      <c r="I69" s="66">
        <f t="shared" ref="I69" si="51">(F69-G69)/H69</f>
        <v>3375</v>
      </c>
      <c r="J69" s="66">
        <f t="shared" si="47"/>
        <v>129.80769230769232</v>
      </c>
      <c r="K69" s="67">
        <f t="shared" si="48"/>
        <v>16.22596153846154</v>
      </c>
      <c r="L69" s="62" t="s">
        <v>820</v>
      </c>
      <c r="M69" s="69">
        <f>VLOOKUP(L69,'Manual Manpower Database'!$G$5:$AY$160,45,0)</f>
        <v>1977.812134502924</v>
      </c>
      <c r="N69" s="66">
        <f t="shared" si="49"/>
        <v>76.069697480881686</v>
      </c>
      <c r="O69" s="67">
        <f t="shared" si="50"/>
        <v>9.5087121851102108</v>
      </c>
      <c r="P69" s="68" t="s">
        <v>869</v>
      </c>
      <c r="Q69" s="63">
        <f t="shared" ref="Q69:Q71" si="52">IF(P69="G",0.21,0.17)</f>
        <v>0.21</v>
      </c>
      <c r="R69" s="63">
        <v>100</v>
      </c>
      <c r="S69" s="63">
        <f t="shared" ref="S69:S71" si="53">0.54</f>
        <v>0.54</v>
      </c>
      <c r="T69" s="63">
        <f t="shared" si="14"/>
        <v>0.72</v>
      </c>
      <c r="U69" s="66">
        <f t="shared" si="15"/>
        <v>15.75</v>
      </c>
      <c r="V69" s="63" t="str">
        <f t="shared" si="16"/>
        <v/>
      </c>
      <c r="W69" s="63">
        <v>0.6</v>
      </c>
      <c r="X69" s="63">
        <v>0.45</v>
      </c>
      <c r="Y69" s="63">
        <f t="shared" si="17"/>
        <v>9.4499999999999993</v>
      </c>
      <c r="Z69" s="66">
        <f t="shared" si="18"/>
        <v>75.599999999999994</v>
      </c>
      <c r="AA69" s="66">
        <f t="shared" si="19"/>
        <v>1965.6</v>
      </c>
      <c r="AB69" s="63">
        <f t="shared" si="20"/>
        <v>0</v>
      </c>
      <c r="AC69" s="63">
        <f t="shared" si="21"/>
        <v>0</v>
      </c>
      <c r="AD69" s="63">
        <f t="shared" si="22"/>
        <v>0</v>
      </c>
      <c r="AE69" s="63">
        <f t="shared" si="41"/>
        <v>7.4999999999999997E-2</v>
      </c>
      <c r="AF69" s="63">
        <f t="shared" si="42"/>
        <v>3.7499999999999999E-2</v>
      </c>
      <c r="AG69" s="63">
        <f t="shared" si="43"/>
        <v>2.5000000000000001E-2</v>
      </c>
      <c r="AH69" s="63">
        <f t="shared" si="44"/>
        <v>1.2500000000000001E-2</v>
      </c>
      <c r="AI69" s="63">
        <f t="shared" si="23"/>
        <v>0.15</v>
      </c>
      <c r="AJ69" s="63">
        <v>0.5</v>
      </c>
      <c r="AK69" s="63">
        <f t="shared" si="38"/>
        <v>9.375E-2</v>
      </c>
      <c r="AL69" s="63">
        <f t="shared" si="24"/>
        <v>0.75</v>
      </c>
      <c r="AM69" s="104">
        <f t="shared" si="25"/>
        <v>19.5</v>
      </c>
      <c r="AN69" s="62">
        <v>0.6</v>
      </c>
      <c r="AO69" s="66">
        <f t="shared" ref="AO69:AO71" si="54">AN69*I69</f>
        <v>2025</v>
      </c>
      <c r="AP69" s="66">
        <f t="shared" si="26"/>
        <v>77.884615384615387</v>
      </c>
      <c r="AQ69" s="66">
        <f t="shared" si="27"/>
        <v>9.7355769230769234</v>
      </c>
      <c r="AR69" s="69">
        <f t="shared" si="40"/>
        <v>337.5</v>
      </c>
      <c r="AS69" s="66">
        <f t="shared" si="32"/>
        <v>12.98076923076923</v>
      </c>
      <c r="AT69" s="67">
        <f t="shared" si="33"/>
        <v>1.6225961538461537</v>
      </c>
      <c r="AU69" s="72">
        <f t="shared" si="28"/>
        <v>9700.4121345029234</v>
      </c>
      <c r="AV69" s="51">
        <f t="shared" si="29"/>
        <v>373.09277440395857</v>
      </c>
      <c r="AW69" s="73">
        <f t="shared" si="30"/>
        <v>46.636596800494821</v>
      </c>
    </row>
    <row r="70" spans="2:49" ht="80.25" customHeight="1" x14ac:dyDescent="0.25">
      <c r="B70" s="62" t="s">
        <v>716</v>
      </c>
      <c r="C70" s="63" t="str">
        <f>VLOOKUP(B70,'Equip. List CSI'!$K$4:$N$159,4,0)</f>
        <v>02300455</v>
      </c>
      <c r="D70" s="106" t="s">
        <v>796</v>
      </c>
      <c r="E70" s="105" t="s">
        <v>791</v>
      </c>
      <c r="F70" s="64">
        <v>230000</v>
      </c>
      <c r="G70" s="65">
        <f t="shared" si="45"/>
        <v>23000</v>
      </c>
      <c r="H70" s="63">
        <v>72</v>
      </c>
      <c r="I70" s="66">
        <f t="shared" si="46"/>
        <v>2875</v>
      </c>
      <c r="J70" s="66">
        <f t="shared" si="47"/>
        <v>110.57692307692308</v>
      </c>
      <c r="K70" s="67">
        <f t="shared" si="48"/>
        <v>13.822115384615385</v>
      </c>
      <c r="L70" s="62" t="s">
        <v>820</v>
      </c>
      <c r="M70" s="69">
        <f>VLOOKUP(L70,'Manual Manpower Database'!$G$5:$AY$160,45,0)</f>
        <v>1977.812134502924</v>
      </c>
      <c r="N70" s="66">
        <f t="shared" si="49"/>
        <v>76.069697480881686</v>
      </c>
      <c r="O70" s="67">
        <f t="shared" si="50"/>
        <v>9.5087121851102108</v>
      </c>
      <c r="P70" s="68" t="s">
        <v>869</v>
      </c>
      <c r="Q70" s="63">
        <f t="shared" si="12"/>
        <v>0.21</v>
      </c>
      <c r="R70" s="63">
        <v>92</v>
      </c>
      <c r="S70" s="63">
        <f t="shared" si="13"/>
        <v>0.54</v>
      </c>
      <c r="T70" s="63">
        <f t="shared" si="14"/>
        <v>0.72</v>
      </c>
      <c r="U70" s="66">
        <f t="shared" si="15"/>
        <v>14.49</v>
      </c>
      <c r="V70" s="63" t="str">
        <f t="shared" si="16"/>
        <v/>
      </c>
      <c r="W70" s="63">
        <v>0.6</v>
      </c>
      <c r="X70" s="63">
        <v>0.45</v>
      </c>
      <c r="Y70" s="63">
        <f t="shared" ref="Y70:Y71" si="55">IF(P70="G",U70*W70,0)</f>
        <v>8.6939999999999991</v>
      </c>
      <c r="Z70" s="66">
        <f t="shared" ref="Z70:Z71" si="56">Y70*8</f>
        <v>69.551999999999992</v>
      </c>
      <c r="AA70" s="66">
        <f t="shared" ref="AA70:AA71" si="57">Z70*26</f>
        <v>1808.3519999999999</v>
      </c>
      <c r="AB70" s="63">
        <f t="shared" ref="AB70:AB71" si="58">IF(P70="D",X70*Q70,0)</f>
        <v>0</v>
      </c>
      <c r="AC70" s="63">
        <f t="shared" ref="AC70:AC71" si="59">AB70*8</f>
        <v>0</v>
      </c>
      <c r="AD70" s="63">
        <f t="shared" ref="AD70:AD71" si="60">AC70*26</f>
        <v>0</v>
      </c>
      <c r="AE70" s="63">
        <f t="shared" si="41"/>
        <v>6.8999999999999992E-2</v>
      </c>
      <c r="AF70" s="63">
        <f t="shared" si="42"/>
        <v>3.4499999999999996E-2</v>
      </c>
      <c r="AG70" s="63">
        <f t="shared" si="43"/>
        <v>2.3E-2</v>
      </c>
      <c r="AH70" s="63">
        <f t="shared" si="44"/>
        <v>1.15E-2</v>
      </c>
      <c r="AI70" s="63">
        <f t="shared" si="23"/>
        <v>0.13799999999999998</v>
      </c>
      <c r="AJ70" s="63">
        <v>0.5</v>
      </c>
      <c r="AK70" s="63">
        <f t="shared" ref="AK70:AK71" si="61">(AJ70*AI70)*1.25</f>
        <v>8.6249999999999993E-2</v>
      </c>
      <c r="AL70" s="63">
        <f t="shared" ref="AL70:AL71" si="62">AK70*8</f>
        <v>0.69</v>
      </c>
      <c r="AM70" s="104">
        <f t="shared" ref="AM70:AM71" si="63">AL70*26</f>
        <v>17.939999999999998</v>
      </c>
      <c r="AN70" s="62">
        <v>1</v>
      </c>
      <c r="AO70" s="66">
        <f t="shared" si="54"/>
        <v>2875</v>
      </c>
      <c r="AP70" s="66">
        <f t="shared" ref="AP70:AP71" si="64">AO70/26</f>
        <v>110.57692307692308</v>
      </c>
      <c r="AQ70" s="66">
        <f t="shared" ref="AQ70:AQ71" si="65">AP70/8</f>
        <v>13.822115384615385</v>
      </c>
      <c r="AR70" s="69">
        <f t="shared" si="40"/>
        <v>287.5</v>
      </c>
      <c r="AS70" s="66">
        <f t="shared" ref="AS70:AS71" si="66">AR70/26</f>
        <v>11.057692307692308</v>
      </c>
      <c r="AT70" s="67">
        <f t="shared" ref="AT70:AT71" si="67">AS70/8</f>
        <v>1.3822115384615385</v>
      </c>
      <c r="AU70" s="72">
        <f t="shared" ref="AU70:AU71" si="68">I70+M70+AA70+AM70+AO70+AR70</f>
        <v>9841.6041345029225</v>
      </c>
      <c r="AV70" s="51">
        <f t="shared" ref="AV70:AV71" si="69">J70+N70+Z70+AC70+AP70+AS70+AL70</f>
        <v>378.52323594242017</v>
      </c>
      <c r="AW70" s="73">
        <f t="shared" ref="AW70:AW71" si="70">K70+O70+AB70+Y70+AK70+AQ70+AT70</f>
        <v>47.315404492802521</v>
      </c>
    </row>
    <row r="71" spans="2:49" ht="80.25" customHeight="1" x14ac:dyDescent="0.25">
      <c r="B71" s="62" t="s">
        <v>716</v>
      </c>
      <c r="C71" s="63" t="str">
        <f>VLOOKUP(B71,'Equip. List CSI'!$K$4:$N$159,4,0)</f>
        <v>02300455</v>
      </c>
      <c r="D71" s="106" t="s">
        <v>797</v>
      </c>
      <c r="E71" s="105" t="s">
        <v>792</v>
      </c>
      <c r="F71" s="64">
        <v>248000</v>
      </c>
      <c r="G71" s="65">
        <f t="shared" si="45"/>
        <v>24800</v>
      </c>
      <c r="H71" s="63">
        <v>92</v>
      </c>
      <c r="I71" s="66">
        <f t="shared" si="46"/>
        <v>2426.086956521739</v>
      </c>
      <c r="J71" s="66">
        <f t="shared" si="47"/>
        <v>93.31103678929766</v>
      </c>
      <c r="K71" s="67">
        <f t="shared" si="48"/>
        <v>11.663879598662207</v>
      </c>
      <c r="L71" s="62" t="s">
        <v>820</v>
      </c>
      <c r="M71" s="69">
        <f>VLOOKUP(L71,'Manual Manpower Database'!$G$5:$AY$160,45,0)</f>
        <v>1977.812134502924</v>
      </c>
      <c r="N71" s="66">
        <f t="shared" si="49"/>
        <v>76.069697480881686</v>
      </c>
      <c r="O71" s="67">
        <f t="shared" si="50"/>
        <v>9.5087121851102108</v>
      </c>
      <c r="P71" s="68" t="s">
        <v>869</v>
      </c>
      <c r="Q71" s="63">
        <f t="shared" si="52"/>
        <v>0.21</v>
      </c>
      <c r="R71" s="63">
        <v>93</v>
      </c>
      <c r="S71" s="63">
        <f t="shared" si="53"/>
        <v>0.54</v>
      </c>
      <c r="T71" s="63">
        <f t="shared" ref="T71" si="71">IF(P71="G",0.72,0.84)</f>
        <v>0.72</v>
      </c>
      <c r="U71" s="66">
        <f t="shared" ref="U71" si="72">IF(P71="G",(Q71*R71*S71)/T71,"")</f>
        <v>14.647499999999999</v>
      </c>
      <c r="V71" s="63" t="str">
        <f t="shared" ref="V71" si="73">IF(P71="D",Q71*R71*S71*T71,"")</f>
        <v/>
      </c>
      <c r="W71" s="63">
        <v>0.6</v>
      </c>
      <c r="X71" s="63">
        <v>0.45</v>
      </c>
      <c r="Y71" s="63">
        <f t="shared" si="55"/>
        <v>8.7884999999999991</v>
      </c>
      <c r="Z71" s="66">
        <f t="shared" si="56"/>
        <v>70.307999999999993</v>
      </c>
      <c r="AA71" s="66">
        <f t="shared" si="57"/>
        <v>1828.0079999999998</v>
      </c>
      <c r="AB71" s="63">
        <f t="shared" si="58"/>
        <v>0</v>
      </c>
      <c r="AC71" s="63">
        <f t="shared" si="59"/>
        <v>0</v>
      </c>
      <c r="AD71" s="63">
        <f t="shared" si="60"/>
        <v>0</v>
      </c>
      <c r="AE71" s="63">
        <f t="shared" si="41"/>
        <v>6.9749999999999993E-2</v>
      </c>
      <c r="AF71" s="63">
        <f t="shared" si="42"/>
        <v>3.4874999999999996E-2</v>
      </c>
      <c r="AG71" s="63">
        <f t="shared" si="43"/>
        <v>2.3250000000000003E-2</v>
      </c>
      <c r="AH71" s="63">
        <f t="shared" si="44"/>
        <v>1.1625000000000002E-2</v>
      </c>
      <c r="AI71" s="63">
        <f t="shared" ref="AI71" si="74">SUM(AE71:AH71)</f>
        <v>0.13949999999999999</v>
      </c>
      <c r="AJ71" s="63">
        <v>0.5</v>
      </c>
      <c r="AK71" s="63">
        <f t="shared" si="61"/>
        <v>8.7187499999999987E-2</v>
      </c>
      <c r="AL71" s="63">
        <f t="shared" si="62"/>
        <v>0.6974999999999999</v>
      </c>
      <c r="AM71" s="104">
        <f t="shared" si="63"/>
        <v>18.134999999999998</v>
      </c>
      <c r="AN71" s="62">
        <v>1</v>
      </c>
      <c r="AO71" s="66">
        <f t="shared" si="54"/>
        <v>2426.086956521739</v>
      </c>
      <c r="AP71" s="66">
        <f t="shared" si="64"/>
        <v>93.31103678929766</v>
      </c>
      <c r="AQ71" s="66">
        <f t="shared" si="65"/>
        <v>11.663879598662207</v>
      </c>
      <c r="AR71" s="69">
        <f t="shared" si="40"/>
        <v>242.60869565217391</v>
      </c>
      <c r="AS71" s="66">
        <f t="shared" si="66"/>
        <v>9.3311036789297663</v>
      </c>
      <c r="AT71" s="67">
        <f t="shared" si="67"/>
        <v>1.1663879598662208</v>
      </c>
      <c r="AU71" s="72">
        <f t="shared" si="68"/>
        <v>8918.7377431985751</v>
      </c>
      <c r="AV71" s="51">
        <f t="shared" si="69"/>
        <v>343.02837473840674</v>
      </c>
      <c r="AW71" s="73">
        <f t="shared" si="70"/>
        <v>42.878546842300842</v>
      </c>
    </row>
  </sheetData>
  <autoFilter ref="B4:AY71" xr:uid="{00000000-0009-0000-0000-00000F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</vt:i4>
      </vt:variant>
    </vt:vector>
  </HeadingPairs>
  <TitlesOfParts>
    <vt:vector size="18" baseType="lpstr">
      <vt:lpstr>Manual Manpower Database</vt:lpstr>
      <vt:lpstr>Activity List CSI</vt:lpstr>
      <vt:lpstr>Resource Unique List </vt:lpstr>
      <vt:lpstr>Mat. List CSI</vt:lpstr>
      <vt:lpstr>Material Unique List</vt:lpstr>
      <vt:lpstr>Manpower List</vt:lpstr>
      <vt:lpstr>Manpower PR</vt:lpstr>
      <vt:lpstr>MP. List CSI</vt:lpstr>
      <vt:lpstr>ManPower Unique List</vt:lpstr>
      <vt:lpstr>SUBC. List CSI</vt:lpstr>
      <vt:lpstr>Sub-Contractors Unique List</vt:lpstr>
      <vt:lpstr>Machinary PR</vt:lpstr>
      <vt:lpstr>Machinary PR2</vt:lpstr>
      <vt:lpstr>Equip. List CSI</vt:lpstr>
      <vt:lpstr>Machine List</vt:lpstr>
      <vt:lpstr>List of Unique Machinary</vt:lpstr>
      <vt:lpstr>'Machinary PR'!Print_Area</vt:lpstr>
      <vt:lpstr>'Machinary PR2'!Print_Area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Adel</dc:creator>
  <cp:lastModifiedBy>pc</cp:lastModifiedBy>
  <cp:lastPrinted>2021-02-14T05:34:11Z</cp:lastPrinted>
  <dcterms:created xsi:type="dcterms:W3CDTF">2014-05-31T07:08:33Z</dcterms:created>
  <dcterms:modified xsi:type="dcterms:W3CDTF">2026-09-14T11:05:10Z</dcterms:modified>
</cp:coreProperties>
</file>